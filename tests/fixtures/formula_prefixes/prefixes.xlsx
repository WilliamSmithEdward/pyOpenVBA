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EE235E0C-8C1E-4E3C-87A6-044EB20EA5D9}" xr6:coauthVersionLast="47" xr6:coauthVersionMax="47" xr10:uidLastSave="{00000000-0000-0000-0000-000000000000}"/>
  <bookViews>
    <workbookView xWindow="1560" yWindow="1560" windowWidth="19440" windowHeight="11220" xr2:uid="{FF20DD4F-7DC2-4C08-B597-6058646EE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4" i="1" l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F340-3BC7-458B-B0C6-17A7E9CB719F}">
  <dimension ref="A1:C44"/>
  <sheetViews>
    <sheetView tabSelected="1" workbookViewId="0"/>
  </sheetViews>
  <sheetFormatPr defaultRowHeight="15" x14ac:dyDescent="0.25"/>
  <sheetData>
    <row r="1" spans="1:3" x14ac:dyDescent="0.25">
      <c r="A1">
        <v>1</v>
      </c>
      <c r="C1">
        <f>SUMIFS(A1:A4,A1:A4,"&gt;1")</f>
        <v>9</v>
      </c>
    </row>
    <row r="2" spans="1:3" x14ac:dyDescent="0.25">
      <c r="A2">
        <v>2</v>
      </c>
      <c r="C2">
        <f>IFERROR(1/0,2)</f>
        <v>2</v>
      </c>
    </row>
    <row r="3" spans="1:3" x14ac:dyDescent="0.25">
      <c r="A3">
        <v>3</v>
      </c>
      <c r="C3">
        <f>_xlfn.AGGREGATE(9,6,A1:A4)</f>
        <v>10</v>
      </c>
    </row>
    <row r="4" spans="1:3" x14ac:dyDescent="0.25">
      <c r="A4">
        <v>4</v>
      </c>
      <c r="C4">
        <f>_xlfn.NORM.DIST(1,0,1,TRUE)</f>
        <v>0.84134474606854304</v>
      </c>
    </row>
    <row r="5" spans="1:3" x14ac:dyDescent="0.25">
      <c r="C5">
        <f>_xlfn.PERCENTILE.INC(A1:A4,0.5)</f>
        <v>2.5</v>
      </c>
    </row>
    <row r="6" spans="1:3" x14ac:dyDescent="0.25">
      <c r="C6">
        <f>NETWORKDAYS.INTL(1,10)</f>
        <v>7</v>
      </c>
    </row>
    <row r="7" spans="1:3" x14ac:dyDescent="0.25">
      <c r="C7">
        <f>_xlfn.CEILING.MATH(2.5)</f>
        <v>3</v>
      </c>
    </row>
    <row r="8" spans="1:3" x14ac:dyDescent="0.25">
      <c r="C8">
        <f>_xlfn.DAYS(10,1)</f>
        <v>9</v>
      </c>
    </row>
    <row r="9" spans="1:3" x14ac:dyDescent="0.25">
      <c r="C9" t="b">
        <f>_xlfn.ISFORMULA(A1)</f>
        <v>0</v>
      </c>
    </row>
    <row r="10" spans="1:3" x14ac:dyDescent="0.25">
      <c r="C10">
        <f ca="1">_xlfn.SHEET()</f>
        <v>1</v>
      </c>
    </row>
    <row r="11" spans="1:3" x14ac:dyDescent="0.25">
      <c r="C11" t="str">
        <f>_xlfn.ENCODEURL("a b")</f>
        <v>a%20b</v>
      </c>
    </row>
    <row r="12" spans="1:3" x14ac:dyDescent="0.25">
      <c r="C12" t="str">
        <f>_xlfn.CONCAT(A1,A2)</f>
        <v>12</v>
      </c>
    </row>
    <row r="13" spans="1:3" x14ac:dyDescent="0.25">
      <c r="C13" t="str">
        <f>_xlfn.TEXTJOIN(",",TRUE,A1:A4)</f>
        <v>1,2,3,4</v>
      </c>
    </row>
    <row r="14" spans="1:3" x14ac:dyDescent="0.25">
      <c r="C14">
        <f>_xlfn.IFS(A1&gt;0,1)</f>
        <v>1</v>
      </c>
    </row>
    <row r="15" spans="1:3" x14ac:dyDescent="0.25">
      <c r="C15" t="str">
        <f>_xlfn.SWITCH(A1,1,"one","other")</f>
        <v>one</v>
      </c>
    </row>
    <row r="16" spans="1:3" x14ac:dyDescent="0.25">
      <c r="C16">
        <f>_xlfn.MAXIFS(A1:A4,A1:A4,"&gt;1")</f>
        <v>4</v>
      </c>
    </row>
    <row r="17" spans="3:3" x14ac:dyDescent="0.25">
      <c r="C17">
        <f>_xlfn.STDEV.S(A1:A4)</f>
        <v>1.2909944487358056</v>
      </c>
    </row>
    <row r="18" spans="3:3" x14ac:dyDescent="0.25">
      <c r="C18">
        <f>_xlfn.FORECAST.LINEAR(5,A1:A4,A1:A4)</f>
        <v>5</v>
      </c>
    </row>
    <row r="19" spans="3:3" x14ac:dyDescent="0.25">
      <c r="C19">
        <f>_xlfn.XLOOKUP(2,A1:A4,A1:A4)</f>
        <v>2</v>
      </c>
    </row>
    <row r="20" spans="3:3" x14ac:dyDescent="0.25">
      <c r="C20">
        <f>_xlfn.XMATCH(2,A1:A4)</f>
        <v>2</v>
      </c>
    </row>
    <row r="21" spans="3:3" x14ac:dyDescent="0.25">
      <c r="C21">
        <f>_xlfn._xlws.FILTER(A1:A4,A1:A4&gt;2)</f>
        <v>3</v>
      </c>
    </row>
    <row r="22" spans="3:3" x14ac:dyDescent="0.25">
      <c r="C22">
        <f>_xlfn._xlws.SORT(A1:A4)</f>
        <v>1</v>
      </c>
    </row>
    <row r="23" spans="3:3" x14ac:dyDescent="0.25">
      <c r="C23">
        <f>_xlfn.SORTBY(A1:A4,A1:A4)</f>
        <v>1</v>
      </c>
    </row>
    <row r="24" spans="3:3" x14ac:dyDescent="0.25">
      <c r="C24">
        <f>_xlfn.UNIQUE(A1:A4)</f>
        <v>1</v>
      </c>
    </row>
    <row r="25" spans="3:3" x14ac:dyDescent="0.25">
      <c r="C25">
        <f>_xlfn.SEQUENCE(2)</f>
        <v>1</v>
      </c>
    </row>
    <row r="26" spans="3:3" x14ac:dyDescent="0.25">
      <c r="C26">
        <f>_xlfn.LET(_xlpm.x,A1,_xlpm.x*2)</f>
        <v>2</v>
      </c>
    </row>
    <row r="27" spans="3:3" x14ac:dyDescent="0.25">
      <c r="C27">
        <f>_xlfn.LET(_xlpm.a,1,_xlpm.b,2,_xlpm.a+_xlpm.b)</f>
        <v>3</v>
      </c>
    </row>
    <row r="28" spans="3:3" x14ac:dyDescent="0.25">
      <c r="C28">
        <f>_xlfn.LAMBDA(_xlpm.x,_xlpm.x*2)(A2)</f>
        <v>4</v>
      </c>
    </row>
    <row r="29" spans="3:3" x14ac:dyDescent="0.25">
      <c r="C29">
        <f>_xlfn.MAP(A1:A2,_xlfn.LAMBDA(_xlpm.v,_xlpm.v+1))</f>
        <v>2</v>
      </c>
    </row>
    <row r="30" spans="3:3" x14ac:dyDescent="0.25">
      <c r="C30">
        <f>_xlfn.BYROW(A1:A2,_xlfn.LAMBDA(_xlpm.r,SUM(_xlpm.r)))</f>
        <v>1</v>
      </c>
    </row>
    <row r="31" spans="3:3" x14ac:dyDescent="0.25">
      <c r="C31">
        <f>_xlfn.REDUCE(0,A1:A4,_xlfn.LAMBDA(_xlpm.a,_xlpm.v,_xlpm.a+_xlpm.v))</f>
        <v>10</v>
      </c>
    </row>
    <row r="32" spans="3:3" x14ac:dyDescent="0.25">
      <c r="C32" t="e">
        <f>_xlfn.TAKE(A1:A4,2)</f>
        <v>#VALUE!</v>
      </c>
    </row>
    <row r="33" spans="3:3" x14ac:dyDescent="0.25">
      <c r="C33">
        <f>_xlfn.CHOOSECOLS(A1:A4,1)</f>
        <v>1</v>
      </c>
    </row>
    <row r="34" spans="3:3" x14ac:dyDescent="0.25">
      <c r="C34">
        <f>_xlfn.VSTACK(A1,A2)</f>
        <v>1</v>
      </c>
    </row>
    <row r="35" spans="3:3" x14ac:dyDescent="0.25">
      <c r="C35">
        <f>_xlfn.HSTACK(A1,A2)</f>
        <v>1</v>
      </c>
    </row>
    <row r="36" spans="3:3" x14ac:dyDescent="0.25">
      <c r="C36">
        <f>_xlfn.TOCOL(A1:A2)</f>
        <v>1</v>
      </c>
    </row>
    <row r="37" spans="3:3" x14ac:dyDescent="0.25">
      <c r="C37" t="str">
        <f>_xlfn.TEXTBEFORE("a-b","-")</f>
        <v>a</v>
      </c>
    </row>
    <row r="38" spans="3:3" x14ac:dyDescent="0.25">
      <c r="C38" t="str">
        <f>_xlfn.ARRAYTOTEXT(A1:A2)</f>
        <v>1, 2</v>
      </c>
    </row>
    <row r="39" spans="3:3" x14ac:dyDescent="0.25">
      <c r="C39" t="e">
        <f>_xlfn.TRIMRANGE(A1:A4)</f>
        <v>#VALUE!</v>
      </c>
    </row>
    <row r="40" spans="3:3" x14ac:dyDescent="0.25">
      <c r="C40" t="b">
        <f>_xlfn.REGEXTEST("abc","b")</f>
        <v>1</v>
      </c>
    </row>
    <row r="41" spans="3:3" x14ac:dyDescent="0.25">
      <c r="C41">
        <f>_xlfn.PERCENTOF(A1,A1:A4)</f>
        <v>0.1</v>
      </c>
    </row>
    <row r="42" spans="3:3" x14ac:dyDescent="0.25">
      <c r="C42">
        <f>_xlfn.SINGLE(A1)</f>
        <v>1</v>
      </c>
    </row>
    <row r="43" spans="3:3" x14ac:dyDescent="0.25">
      <c r="C43" t="e">
        <f ca="1">NOTAFUNCTION(1)</f>
        <v>#NAME?</v>
      </c>
    </row>
    <row r="44" spans="3:3" x14ac:dyDescent="0.25">
      <c r="C44">
        <f>SUM(A1:A4)+_xlfn.XLOOKUP(2,A1:A4,A1:A4)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2026-09-23T22:23:40Z</dcterms:created>
  <dcterms:modified xsi:type="dcterms:W3CDTF">2026-09-23T22:23:40Z</dcterms:modified>
</cp:coreProperties>
</file>