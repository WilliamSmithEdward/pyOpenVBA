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tables\totals_row\"/>
    </mc:Choice>
  </mc:AlternateContent>
  <xr:revisionPtr revIDLastSave="0" documentId="8_{F257C0AC-6583-4CBB-A27F-215551CC5B12}" xr6:coauthVersionLast="47" xr6:coauthVersionMax="47" xr10:uidLastSave="{00000000-0000-0000-0000-000000000000}"/>
  <bookViews>
    <workbookView xWindow="2340" yWindow="2340" windowWidth="19440" windowHeight="11220" xr2:uid="{789AFD65-F07B-4B06-A2F8-445E75EB5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J4" i="1"/>
  <c r="I4" i="1"/>
  <c r="H4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<sst xmlns="http://schemas.openxmlformats.org/spreadsheetml/2006/main" count="13" uniqueCount="13">
  <si>
    <t>Label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</si>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</sst>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7B6406-6BB0-4972-BB96-1EF04CF6A92B}" name="Table1" displayName="Table1" ref="A1:K4" totalsRowCount="1">
  <autoFilter ref="A1:K3" xr:uid="{7D7B6406-6BB0-4972-BB96-1EF04CF6A92B}"/>
  <tableColumns count="11">
    <tableColumn id="1" xr3:uid="{5A199B58-F192-44B1-8907-E658E1AD2BF8}" name="Label" totalsRowFunction="count"/>
    <tableColumn id="2" xr3:uid="{2FF35D31-6AEB-4A7B-8DB4-B7801982EAF4}" name="n0"/>
    <tableColumn id="3" xr3:uid="{11A1EA9D-C18B-4A6A-9374-2C696B830492}" name="n1" totalsRowFunction="sum"/>
    <tableColumn id="4" xr3:uid="{AD749D67-7595-4D63-9D8D-8F9A5CCE8ED3}" name="n2" totalsRowFunction="average"/>
    <tableColumn id="5" xr3:uid="{CF765D4D-112F-42B2-9973-AF072EA7AC6A}" name="n3" totalsRowFunction="count"/>
    <tableColumn id="6" xr3:uid="{B397CC5E-41B3-4A1A-A704-8B15B32149FF}" name="n4" totalsRowFunction="countNums"/>
    <tableColumn id="7" xr3:uid="{8EF8B40F-E602-41BC-B354-D0CD7A992FCF}" name="n5" totalsRowFunction="min"/>
    <tableColumn id="8" xr3:uid="{B0C744CB-AEF0-42EF-8BEA-5C03E7ABEE6A}" name="n6" totalsRowFunction="max"/>
    <tableColumn id="9" xr3:uid="{A28FE2E9-FA58-468D-9076-B309EDE9B00A}" name="n7" totalsRowFunction="stdDev"/>
    <tableColumn id="10" xr3:uid="{66C5109F-A298-4E77-9BF1-29A1795053BA}" name="n8" totalsRowFunction="var"/>
    <tableColumn id="11" xr3:uid="{F3FE82D4-E10F-4F44-8C4C-AE3DEE8FD7F9}" name="n9" totalsRowFunction="cust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1644-F96E-4ADE-99EA-0CD8EDFEB1F3}">
  <dimension ref="A1:M4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>
        <v>0</v>
      </c>
    </row>
    <row r="2" spans="1:13" x14ac:dyDescent="0.25">
      <c r="A2" t="s">
        <v>11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</row>
    <row r="3" spans="1:13" x14ac:dyDescent="0.25">
      <c r="A3" t="s">
        <v>12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</row>
    <row r="4" spans="1:13" x14ac:dyDescent="0.25">
      <c r="A4">
        <f>SUBTOTAL(103,Table1[Label])</f>
        <v>2</v>
      </c>
      <c r="C4">
        <f>SUBTOTAL(109,Table1[n1])</f>
        <v>5</v>
      </c>
      <c r="D4">
        <f>SUBTOTAL(101,Table1[n2])</f>
        <v>3.5</v>
      </c>
      <c r="E4">
        <f>SUBTOTAL(103,Table1[n3])</f>
        <v>2</v>
      </c>
      <c r="F4">
        <f>SUBTOTAL(102,Table1[n4])</f>
        <v>2</v>
      </c>
      <c r="G4">
        <f>SUBTOTAL(105,Table1[n5])</f>
        <v>6</v>
      </c>
      <c r="H4">
        <f>SUBTOTAL(104,Table1[n6])</f>
        <v>8</v>
      </c>
      <c r="I4">
        <f>SUBTOTAL(107,Table1[n7])</f>
        <v>0.70710678118654757</v>
      </c>
      <c r="J4">
        <f>SUBTOTAL(110,Table1[n8])</f>
        <v>0.5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