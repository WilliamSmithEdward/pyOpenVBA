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CEED05D-1163-4CF3-AF95-149774983E49}" xr6:coauthVersionLast="47" xr6:coauthVersionMax="47" xr10:uidLastSave="{00000000-0000-0000-0000-000000000000}"/>
  <bookViews>
    <workbookView xWindow="390" yWindow="390" windowWidth="7200" windowHeight="4425" xr2:uid="{ED800A1E-5C30-4C86-B3F5-89AAC8F52AC3}"/>
  </bookViews>
  <sheets>
    <sheet name="scratch" sheetId="1" r:id="rId1"/>
    <sheet name="fn_sum" sheetId="2" r:id="rId2"/>
    <sheet name="fn_count" sheetId="3" r:id="rId3"/>
    <sheet name="fn_average" sheetId="4" r:id="rId4"/>
    <sheet name="fn_max" sheetId="5" r:id="rId5"/>
    <sheet name="fn_min" sheetId="6" r:id="rId6"/>
    <sheet name="fn_product" sheetId="7" r:id="rId7"/>
    <sheet name="fn_countnums" sheetId="8" r:id="rId8"/>
    <sheet name="fn_stdev" sheetId="9" r:id="rId9"/>
    <sheet name="fn_stdevp" sheetId="10" r:id="rId10"/>
    <sheet name="fn_var" sheetId="11" r:id="rId11"/>
    <sheet name="fn_varp" sheetId="12" r:id="rId12"/>
    <sheet name="above" sheetId="13" r:id="rId13"/>
    <sheet name="below_named" sheetId="14" r:id="rId14"/>
    <sheet name="cell_inside" sheetId="15" r:id="rId15"/>
    <sheet name="range_rows" sheetId="16" r:id="rId16"/>
    <sheet name="range_columns" sheetId="17" r:id="rId17"/>
    <sheet name="range_wider" sheetId="18" r:id="rId18"/>
    <sheet name="whole_columns" sheetId="19" r:id="rId19"/>
    <sheet name="whole_rows" sheetId="20" r:id="rId20"/>
    <sheet name="header_only" sheetId="21" r:id="rId21"/>
    <sheet name="one_row" sheetId="22" r:id="rId22"/>
    <sheet name="no_header" sheetId="23" r:id="rId23"/>
    <sheet name="empty_cell" sheetId="24" r:id="rId24"/>
    <sheet name="offset_list" sheetId="25" r:id="rId25"/>
    <sheet name="outside_cells" sheetId="26" r:id="rId26"/>
    <sheet name="outside_formulas" sheetId="27" r:id="rId27"/>
    <sheet name="list_formulas" sheetId="28" r:id="rId28"/>
    <sheet name="values_kinds" sheetId="29" r:id="rId29"/>
    <sheet name="values_numbers" sheetId="30" r:id="rId30"/>
    <sheet name="values_narrow" sheetId="31" r:id="rId31"/>
    <sheet name="values_blanks" sheetId="32" r:id="rId32"/>
    <sheet name="values_leading_blank" sheetId="33" r:id="rId33"/>
    <sheet name="values_all_blank" sheetId="34" r:id="rId34"/>
    <sheet name="values_formula_text" sheetId="35" r:id="rId35"/>
    <sheet name="values_dates" sheetId="36" r:id="rId36"/>
    <sheet name="total_scalar" sheetId="37" r:id="rId37"/>
    <sheet name="total_text_column" sheetId="38" r:id="rId38"/>
    <sheet name="total_groupby" sheetId="39" r:id="rId39"/>
    <sheet name="total_groupby_only" sheetId="40" r:id="rId40"/>
    <sheet name="total_duplicate" sheetId="41" r:id="rId41"/>
    <sheet name="total_order" sheetId="42" r:id="rId42"/>
    <sheet name="total_beyond" sheetId="43" r:id="rId43"/>
    <sheet name="total_zero" sheetId="44" r:id="rId44"/>
    <sheet name="total_empty" sheetId="45" r:id="rId45"/>
    <sheet name="total_string" sheetId="46" r:id="rId46"/>
    <sheet name="total_count_text" sheetId="47" r:id="rId47"/>
    <sheet name="groupby_zero" sheetId="48" r:id="rId48"/>
    <sheet name="groupby_beyond" sheetId="49" r:id="rId49"/>
    <sheet name="groupby_string" sheetId="50" r:id="rId50"/>
    <sheet name="groupby_last" sheetId="51" r:id="rId51"/>
    <sheet name="function_bad" sheetId="52" r:id="rId52"/>
    <sheet name="function_zero" sheetId="53" r:id="rId53"/>
    <sheet name="summary_bad" sheetId="54" r:id="rId54"/>
    <sheet name="nested_sum" sheetId="55" r:id="rId55"/>
    <sheet name="nested_count" sheetId="56" r:id="rId56"/>
    <sheet name="nested_same_column" sheetId="57" r:id="rId57"/>
    <sheet name="nested_above" sheetId="58" r:id="rId58"/>
    <sheet name="nested_mixed" sheetId="59" r:id="rId59"/>
    <sheet name="nested_three" sheetId="60" r:id="rId60"/>
    <sheet name="nested_inner_cell" sheetId="61" r:id="rId61"/>
    <sheet name="replace_true" sheetId="62" r:id="rId62"/>
    <sheet name="replace_above_below" sheetId="63" r:id="rId63"/>
    <sheet name="replace_false_fresh" sheetId="64" r:id="rId64"/>
    <sheet name="twice_same" sheetId="65" r:id="rId65"/>
    <sheet name="large" sheetId="66" r:id="rId66"/>
    <sheet name="remove_basic" sheetId="67" r:id="rId67"/>
    <sheet name="remove_nested" sheetId="68" r:id="rId68"/>
    <sheet name="remove_above" sheetId="69" r:id="rId69"/>
    <sheet name="remove_none" sheetId="70" r:id="rId70"/>
    <sheet name="remove_empty_cell" sheetId="71" r:id="rId71"/>
    <sheet name="remove_manual_formula" sheetId="72" r:id="rId72"/>
    <sheet name="remove_manual_in_list" sheetId="73" r:id="rId73"/>
    <sheet name="remove_other_function" sheetId="74" r:id="rId74"/>
    <sheet name="remove_inner_cell" sheetId="75" r:id="rId75"/>
    <sheet name="remove_range_rows" sheetId="76" r:id="rId76"/>
    <sheet name="remove_edited_label" sheetId="77" r:id="rId77"/>
    <sheet name="returns" sheetId="78" r:id="rId78"/>
    <sheet name="outline_in_list" sheetId="79" r:id="rId79"/>
    <sheet name="outline_elsewhere" sheetId="80" r:id="rId80"/>
    <sheet name="outline_columns" sheetId="81" r:id="rId81"/>
    <sheet name="remove_outline_in_list" sheetId="82" r:id="rId82"/>
    <sheet name="remove_outline_elsewhere" sheetId="83" r:id="rId83"/>
    <sheet name="remove_outline_columns" sheetId="84" r:id="rId84"/>
    <sheet name="summary_was_above" sheetId="85" r:id="rId85"/>
    <sheet name="collapsed" sheetId="86" r:id="rId86"/>
    <sheet name="collapsed_then_replace" sheetId="87" r:id="rId87"/>
    <sheet name="collapsed_then_remove" sheetId="88" r:id="rId88"/>
    <sheet name="hidden_row" sheetId="89" r:id="rId89"/>
    <sheet name="formats_currency" sheetId="90" r:id="rId90"/>
    <sheet name="formats_rows" sheetId="91" r:id="rId91"/>
    <sheet name="formats_header_above" sheetId="92" r:id="rId92"/>
    <sheet name="formats_header_below" sheetId="93" r:id="rId93"/>
    <sheet name="formats_label_bold" sheetId="94" r:id="rId94"/>
    <sheet name="formats_whole_row" sheetId="95" r:id="rId95"/>
    <sheet name="breaks_below" sheetId="96" r:id="rId96"/>
    <sheet name="breaks_above" sheetId="97" r:id="rId97"/>
    <sheet name="breaks_nested" sheetId="98" r:id="rId98"/>
    <sheet name="breaks_nested_inner" sheetId="99" r:id="rId99"/>
    <sheet name="breaks_remove" sheetId="100" r:id="rId100"/>
    <sheet name="breaks_replace" sheetId="101" r:id="rId101"/>
    <sheet name="breaks_manual_kept" sheetId="102" r:id="rId102"/>
    <sheet name="protected" sheetId="103" r:id="rId103"/>
    <sheet name="protected_remove" sheetId="104" r:id="rId104"/>
    <sheet name="table" sheetId="105" r:id="rId105"/>
    <sheet name="filtered" sheetId="106" r:id="rId106"/>
    <sheet name="manual_calculation" sheetId="107" r:id="rId107"/>
    <sheet name="range_two_regions" sheetId="108" r:id="rId108"/>
    <sheet name="single_column" sheetId="109" r:id="rId109"/>
    <sheet name="groupby_middle_total" sheetId="110" r:id="rId110"/>
    <sheet name="groupby_total_outside" sheetId="111" r:id="rId111"/>
    <sheet name="groupby_total_remove" sheetId="112" r:id="rId112"/>
    <sheet name="groupby_total_twice" sheetId="113" r:id="rId113"/>
    <sheet name="replace_deletes_manual" sheetId="114" r:id="rId114"/>
    <sheet name="values_spaces" sheetId="115" r:id="rId115"/>
    <sheet name="values_all_blank_above" sheetId="116" r:id="rId116"/>
    <sheet name="summary_two" sheetId="117" r:id="rId117"/>
    <sheet name="summary_negative" sheetId="118" r:id="rId118"/>
    <sheet name="summary_text" sheetId="119" r:id="rId119"/>
    <sheet name="nested_mixed_reverse" sheetId="120" r:id="rId120"/>
    <sheet name="outline_in_list_above" sheetId="121" r:id="rId121"/>
    <sheet name="outline_in_list_keep" sheetId="122" r:id="rId122"/>
    <sheet name="outline_columns_keep" sheetId="123" r:id="rId123"/>
    <sheet name="remove_hidden_manual" sheetId="124" r:id="rId124"/>
    <sheet name="collapsed_then_nested" sheetId="125" r:id="rId125"/>
    <sheet name="remove_nested_function" sheetId="126" r:id="rId126"/>
    <sheet name="remove_text" sheetId="127" r:id="rId127"/>
    <sheet name="breaks_default_after_manual" sheetId="128" r:id="rId128"/>
    <sheet name="breaks_inner_after_reset" sheetId="129" r:id="rId129"/>
    <sheet name="register_set" sheetId="130" r:id="rId130"/>
    <sheet name="register_read" sheetId="131" r:id="rId131"/>
    <sheet name="register_read_address" sheetId="132" r:id="rId132"/>
    <sheet name="register_read_empty" sheetId="133" r:id="rId133"/>
    <sheet name="register_read_first" sheetId="134" r:id="rId134"/>
    <sheet name="register_style" sheetId="135" r:id="rId135"/>
    <sheet name="register_font" sheetId="136" r:id="rId136"/>
    <sheet name="register_fill" sheetId="137" r:id="rId137"/>
    <sheet name="register_write_empty" sheetId="138" r:id="rId138"/>
    <sheet name="register_write_kept" sheetId="139" r:id="rId139"/>
    <sheet name="register_clear_contents" sheetId="140" r:id="rId140"/>
    <sheet name="register_entire_row" sheetId="141" r:id="rId141"/>
    <sheet name="register_sort" sheetId="142" r:id="rId142"/>
    <sheet name="register_copied" sheetId="143" r:id="rId143"/>
    <sheet name="register_above" sheetId="144" r:id="rId144"/>
    <sheet name="register_nested" sheetId="145" r:id="rId145"/>
    <sheet name="register_after_subtotal" sheetId="146" r:id="rId146"/>
    <sheet name="register_remove" sheetId="147" r:id="rId147"/>
    <sheet name="groupby_third_total" sheetId="148" r:id="rId148"/>
    <sheet name="groupby_total_left_taken" sheetId="149" r:id="rId149"/>
    <sheet name="values_blanks_above" sheetId="150" r:id="rId150"/>
    <sheet name="nested_above_count" sheetId="151" r:id="rId151"/>
    <sheet name="remove_formula_plus" sheetId="152" r:id="rId152"/>
    <sheet name="groupby_total_skip_left" sheetId="153" r:id="rId153"/>
    <sheet name="nested_grand_again" sheetId="154" r:id="rId154"/>
    <sheet name="fn_code_2" sheetId="155" r:id="rId155"/>
    <sheet name="fn_code_3" sheetId="156" r:id="rId156"/>
    <sheet name="fn_code_4" sheetId="157" r:id="rId157"/>
    <sheet name="fn_code_5" sheetId="158" r:id="rId158"/>
    <sheet name="fn_code_6" sheetId="159" r:id="rId159"/>
    <sheet name="fn_code_7" sheetId="160" r:id="rId160"/>
    <sheet name="fn_code_8" sheetId="161" r:id="rId161"/>
    <sheet name="fn_code_9" sheetId="162" r:id="rId162"/>
    <sheet name="fn_code_10" sheetId="163" r:id="rId163"/>
    <sheet name="fn_code_11" sheetId="164" r:id="rId164"/>
    <sheet name="fn_code_12" sheetId="165" r:id="rId165"/>
    <sheet name="fn_code_13" sheetId="166" r:id="rId166"/>
    <sheet name="fn_code_minus_4100" sheetId="167" r:id="rId167"/>
    <sheet name="fn_code_1000" sheetId="168" r:id="rId168"/>
  </sheets>
  <definedNames>
    <definedName name="_xlnm._FilterDatabase" localSheetId="105" hidden="1">filtered!$A$1:$C$7</definedName>
    <definedName name="Second" localSheetId="145">register_after_subtotal!$A$9</definedName>
    <definedName name="Sold" localSheetId="26">outside_formulas!$C$2:$C$8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64" l="1"/>
  <c r="C7" i="164"/>
  <c r="C4" i="164"/>
  <c r="C10" i="164" s="1"/>
  <c r="C9" i="163"/>
  <c r="C7" i="163"/>
  <c r="C4" i="163"/>
  <c r="C10" i="163" s="1"/>
  <c r="C9" i="162"/>
  <c r="C7" i="162"/>
  <c r="C4" i="162"/>
  <c r="C10" i="162" s="1"/>
  <c r="C9" i="161"/>
  <c r="C7" i="161"/>
  <c r="C4" i="161"/>
  <c r="C10" i="161" s="1"/>
  <c r="C9" i="160"/>
  <c r="C7" i="160"/>
  <c r="C4" i="160"/>
  <c r="C10" i="160" s="1"/>
  <c r="C9" i="159"/>
  <c r="C7" i="159"/>
  <c r="C4" i="159"/>
  <c r="C10" i="159" s="1"/>
  <c r="C9" i="158"/>
  <c r="C7" i="158"/>
  <c r="C4" i="158"/>
  <c r="C10" i="158" s="1"/>
  <c r="C9" i="157"/>
  <c r="C7" i="157"/>
  <c r="C4" i="157"/>
  <c r="C10" i="157" s="1"/>
  <c r="C9" i="156"/>
  <c r="C7" i="156"/>
  <c r="C4" i="156"/>
  <c r="C10" i="156" s="1"/>
  <c r="C9" i="155"/>
  <c r="C7" i="155"/>
  <c r="C4" i="155"/>
  <c r="C10" i="155" s="1"/>
  <c r="C14" i="154"/>
  <c r="C11" i="154"/>
  <c r="C7" i="154"/>
  <c r="C4" i="154"/>
  <c r="C15" i="154"/>
  <c r="C12" i="154"/>
  <c r="C16" i="154" s="1"/>
  <c r="C8" i="154"/>
  <c r="C5" i="154"/>
  <c r="C7" i="153"/>
  <c r="B7" i="153"/>
  <c r="C5" i="153"/>
  <c r="B5" i="153"/>
  <c r="C3" i="153"/>
  <c r="C8" i="153" s="1"/>
  <c r="B3" i="153"/>
  <c r="B8" i="153" s="1"/>
  <c r="D3" i="152"/>
  <c r="C4" i="151"/>
  <c r="C7" i="151"/>
  <c r="C3" i="151" s="1"/>
  <c r="C10" i="151"/>
  <c r="C12" i="151"/>
  <c r="C9" i="151"/>
  <c r="C2" i="151" s="1"/>
  <c r="B3" i="150"/>
  <c r="B6" i="150"/>
  <c r="B2" i="150" s="1"/>
  <c r="B8" i="150"/>
  <c r="B10" i="150"/>
  <c r="B12" i="150"/>
  <c r="B14" i="150"/>
  <c r="D11" i="149"/>
  <c r="C11" i="149"/>
  <c r="B11" i="149"/>
  <c r="D9" i="149"/>
  <c r="C9" i="149"/>
  <c r="B9" i="149"/>
  <c r="D7" i="149"/>
  <c r="C7" i="149"/>
  <c r="B7" i="149"/>
  <c r="D5" i="149"/>
  <c r="C5" i="149"/>
  <c r="B5" i="149"/>
  <c r="D3" i="149"/>
  <c r="D12" i="149" s="1"/>
  <c r="C3" i="149"/>
  <c r="C12" i="149" s="1"/>
  <c r="B3" i="149"/>
  <c r="B12" i="149" s="1"/>
  <c r="C8" i="148"/>
  <c r="D7" i="148"/>
  <c r="C7" i="148"/>
  <c r="D5" i="148"/>
  <c r="C5" i="148"/>
  <c r="D3" i="148"/>
  <c r="D8" i="148" s="1"/>
  <c r="C3" i="148"/>
  <c r="C9" i="147"/>
  <c r="C7" i="147"/>
  <c r="C4" i="147"/>
  <c r="C10" i="147" s="1"/>
  <c r="B13" i="146"/>
  <c r="B11" i="146"/>
  <c r="B14" i="146" s="1"/>
  <c r="B5" i="146"/>
  <c r="B3" i="146"/>
  <c r="B6" i="146" s="1"/>
  <c r="C11" i="145"/>
  <c r="C9" i="145"/>
  <c r="C12" i="145" s="1"/>
  <c r="C6" i="145"/>
  <c r="C4" i="145"/>
  <c r="C7" i="145" s="1"/>
  <c r="C13" i="145" s="1"/>
  <c r="C3" i="144"/>
  <c r="C6" i="144"/>
  <c r="C2" i="144" s="1"/>
  <c r="C9" i="144"/>
  <c r="C6" i="143"/>
  <c r="C4" i="143"/>
  <c r="C7" i="143" s="1"/>
  <c r="C9" i="142"/>
  <c r="C6" i="142"/>
  <c r="C4" i="142"/>
  <c r="C10" i="142" s="1"/>
  <c r="C9" i="141"/>
  <c r="C7" i="141"/>
  <c r="C4" i="141"/>
  <c r="C10" i="141" s="1"/>
  <c r="C9" i="140"/>
  <c r="C7" i="140"/>
  <c r="C4" i="140"/>
  <c r="C10" i="140" s="1"/>
  <c r="C9" i="139"/>
  <c r="C7" i="139"/>
  <c r="C4" i="139"/>
  <c r="C10" i="139" s="1"/>
  <c r="C9" i="138"/>
  <c r="C7" i="138"/>
  <c r="C4" i="138"/>
  <c r="C10" i="138" s="1"/>
  <c r="C9" i="137"/>
  <c r="C7" i="137"/>
  <c r="C4" i="137"/>
  <c r="C10" i="137" s="1"/>
  <c r="C9" i="136"/>
  <c r="C7" i="136"/>
  <c r="C4" i="136"/>
  <c r="C10" i="136" s="1"/>
  <c r="C9" i="135"/>
  <c r="C7" i="135"/>
  <c r="C4" i="135"/>
  <c r="C10" i="135" s="1"/>
  <c r="C9" i="134"/>
  <c r="C7" i="134"/>
  <c r="C4" i="134"/>
  <c r="C10" i="134" s="1"/>
  <c r="C9" i="133"/>
  <c r="C7" i="133"/>
  <c r="C4" i="133"/>
  <c r="C10" i="133" s="1"/>
  <c r="C9" i="132"/>
  <c r="C7" i="132"/>
  <c r="C4" i="132"/>
  <c r="C10" i="132" s="1"/>
  <c r="C9" i="131"/>
  <c r="C7" i="131"/>
  <c r="C4" i="131"/>
  <c r="C10" i="131" s="1"/>
  <c r="C9" i="130"/>
  <c r="C7" i="130"/>
  <c r="C4" i="130"/>
  <c r="C10" i="130" s="1"/>
  <c r="C11" i="129"/>
  <c r="C9" i="129"/>
  <c r="C6" i="129"/>
  <c r="C4" i="129"/>
  <c r="C12" i="129"/>
  <c r="C7" i="129"/>
  <c r="C13" i="129" s="1"/>
  <c r="C9" i="128"/>
  <c r="C7" i="128"/>
  <c r="C4" i="128"/>
  <c r="C10" i="128" s="1"/>
  <c r="D3" i="126"/>
  <c r="C11" i="125"/>
  <c r="C9" i="125"/>
  <c r="C6" i="125"/>
  <c r="C4" i="125"/>
  <c r="C7" i="125" s="1"/>
  <c r="C13" i="125" s="1"/>
  <c r="C12" i="125"/>
  <c r="C9" i="123"/>
  <c r="C7" i="123"/>
  <c r="C4" i="123"/>
  <c r="C10" i="123" s="1"/>
  <c r="C9" i="122"/>
  <c r="C7" i="122"/>
  <c r="C4" i="122"/>
  <c r="C10" i="122" s="1"/>
  <c r="C3" i="121"/>
  <c r="C6" i="121"/>
  <c r="C2" i="121" s="1"/>
  <c r="C9" i="121"/>
  <c r="C4" i="120"/>
  <c r="C7" i="120"/>
  <c r="C3" i="120" s="1"/>
  <c r="C10" i="120"/>
  <c r="C12" i="120"/>
  <c r="C9" i="120" s="1"/>
  <c r="C2" i="120" s="1"/>
  <c r="C9" i="118"/>
  <c r="C7" i="118"/>
  <c r="C4" i="118"/>
  <c r="C10" i="118" s="1"/>
  <c r="C9" i="117"/>
  <c r="C7" i="117"/>
  <c r="C4" i="117"/>
  <c r="C10" i="117" s="1"/>
  <c r="B3" i="116"/>
  <c r="B5" i="116"/>
  <c r="B2" i="116" s="1"/>
  <c r="B12" i="115"/>
  <c r="B9" i="115"/>
  <c r="B7" i="115"/>
  <c r="B5" i="115"/>
  <c r="B13" i="115" s="1"/>
  <c r="C8" i="114"/>
  <c r="C6" i="114"/>
  <c r="C3" i="114"/>
  <c r="C9" i="114" s="1"/>
  <c r="D9" i="113"/>
  <c r="D7" i="113"/>
  <c r="D4" i="113"/>
  <c r="D10" i="113" s="1"/>
  <c r="E6" i="111"/>
  <c r="C6" i="111"/>
  <c r="E4" i="111"/>
  <c r="E7" i="111" s="1"/>
  <c r="C4" i="111"/>
  <c r="C7" i="111" s="1"/>
  <c r="C11" i="110"/>
  <c r="B11" i="110"/>
  <c r="C9" i="110"/>
  <c r="B9" i="110"/>
  <c r="C7" i="110"/>
  <c r="B7" i="110"/>
  <c r="C5" i="110"/>
  <c r="B5" i="110"/>
  <c r="C3" i="110"/>
  <c r="C12" i="110" s="1"/>
  <c r="B3" i="110"/>
  <c r="B12" i="110" s="1"/>
  <c r="B6" i="109"/>
  <c r="B4" i="109"/>
  <c r="B7" i="109" s="1"/>
  <c r="C11" i="108"/>
  <c r="C6" i="108"/>
  <c r="C4" i="108"/>
  <c r="C12" i="108" s="1"/>
  <c r="C9" i="107"/>
  <c r="C7" i="107"/>
  <c r="C4" i="107"/>
  <c r="C10" i="107" s="1"/>
  <c r="C4" i="106"/>
  <c r="C8" i="106" s="1"/>
  <c r="C9" i="104"/>
  <c r="C7" i="104"/>
  <c r="C4" i="104"/>
  <c r="C10" i="104" s="1"/>
  <c r="C11" i="101"/>
  <c r="C9" i="101"/>
  <c r="C7" i="101"/>
  <c r="C5" i="101"/>
  <c r="C3" i="101"/>
  <c r="C12" i="101" s="1"/>
  <c r="C11" i="99"/>
  <c r="C9" i="99"/>
  <c r="C6" i="99"/>
  <c r="C4" i="99"/>
  <c r="C12" i="99"/>
  <c r="C7" i="99"/>
  <c r="C13" i="99" s="1"/>
  <c r="C11" i="98"/>
  <c r="C9" i="98"/>
  <c r="C12" i="98" s="1"/>
  <c r="C6" i="98"/>
  <c r="C4" i="98"/>
  <c r="C7" i="98" s="1"/>
  <c r="C13" i="98" s="1"/>
  <c r="C3" i="97"/>
  <c r="C6" i="97"/>
  <c r="C2" i="97" s="1"/>
  <c r="C9" i="97"/>
  <c r="C9" i="96"/>
  <c r="C7" i="96"/>
  <c r="C4" i="96"/>
  <c r="C10" i="96" s="1"/>
  <c r="C10" i="95"/>
  <c r="C9" i="95"/>
  <c r="C7" i="95"/>
  <c r="C4" i="95"/>
  <c r="C9" i="94"/>
  <c r="C7" i="94"/>
  <c r="C4" i="94"/>
  <c r="C10" i="94" s="1"/>
  <c r="C9" i="93"/>
  <c r="C7" i="93"/>
  <c r="C4" i="93"/>
  <c r="C10" i="93" s="1"/>
  <c r="C3" i="92"/>
  <c r="C6" i="92"/>
  <c r="C2" i="92" s="1"/>
  <c r="C9" i="92"/>
  <c r="C9" i="91"/>
  <c r="C7" i="91"/>
  <c r="C4" i="91"/>
  <c r="C10" i="91" s="1"/>
  <c r="C6" i="90"/>
  <c r="B6" i="90"/>
  <c r="C4" i="90"/>
  <c r="C7" i="90" s="1"/>
  <c r="B4" i="90"/>
  <c r="B7" i="90" s="1"/>
  <c r="C9" i="89"/>
  <c r="C7" i="89"/>
  <c r="C4" i="89"/>
  <c r="C10" i="89" s="1"/>
  <c r="C10" i="87"/>
  <c r="C8" i="87"/>
  <c r="C6" i="87"/>
  <c r="C4" i="87"/>
  <c r="C11" i="87" s="1"/>
  <c r="C9" i="86"/>
  <c r="C7" i="86"/>
  <c r="C4" i="86"/>
  <c r="C10" i="86" s="1"/>
  <c r="C3" i="85"/>
  <c r="C6" i="85"/>
  <c r="C2" i="85" s="1"/>
  <c r="C9" i="85"/>
  <c r="C9" i="81"/>
  <c r="C7" i="81"/>
  <c r="C4" i="81"/>
  <c r="C10" i="81" s="1"/>
  <c r="C9" i="80"/>
  <c r="C7" i="80"/>
  <c r="C4" i="80"/>
  <c r="C10" i="80" s="1"/>
  <c r="C9" i="79"/>
  <c r="C7" i="79"/>
  <c r="C4" i="79"/>
  <c r="C10" i="79" s="1"/>
  <c r="C8" i="76"/>
  <c r="C6" i="76"/>
  <c r="C9" i="76" s="1"/>
  <c r="D3" i="74"/>
  <c r="D56" i="66"/>
  <c r="D53" i="66"/>
  <c r="D48" i="66"/>
  <c r="D42" i="66"/>
  <c r="D39" i="66"/>
  <c r="D34" i="66"/>
  <c r="D28" i="66"/>
  <c r="D25" i="66"/>
  <c r="D20" i="66"/>
  <c r="D14" i="66"/>
  <c r="D11" i="66"/>
  <c r="D6" i="66"/>
  <c r="D57" i="66"/>
  <c r="C57" i="66"/>
  <c r="D43" i="66"/>
  <c r="C43" i="66"/>
  <c r="D29" i="66"/>
  <c r="C29" i="66"/>
  <c r="C15" i="66"/>
  <c r="C59" i="66" s="1"/>
  <c r="C9" i="65"/>
  <c r="C7" i="65"/>
  <c r="C4" i="65"/>
  <c r="C10" i="65" s="1"/>
  <c r="C9" i="64"/>
  <c r="C7" i="64"/>
  <c r="C4" i="64"/>
  <c r="C10" i="64" s="1"/>
  <c r="C3" i="63"/>
  <c r="C6" i="63"/>
  <c r="C2" i="63" s="1"/>
  <c r="C8" i="63"/>
  <c r="C10" i="63"/>
  <c r="C10" i="62"/>
  <c r="C8" i="62"/>
  <c r="C6" i="62"/>
  <c r="C4" i="62"/>
  <c r="C11" i="62" s="1"/>
  <c r="C11" i="61"/>
  <c r="C9" i="61"/>
  <c r="C12" i="61" s="1"/>
  <c r="C6" i="61"/>
  <c r="C4" i="61"/>
  <c r="C7" i="61"/>
  <c r="C13" i="61" s="1"/>
  <c r="D15" i="60"/>
  <c r="D13" i="60"/>
  <c r="D9" i="60"/>
  <c r="D6" i="60"/>
  <c r="D4" i="60"/>
  <c r="D11" i="60" s="1"/>
  <c r="D18" i="60" s="1"/>
  <c r="D16" i="60"/>
  <c r="D10" i="60"/>
  <c r="D7" i="60"/>
  <c r="D17" i="60"/>
  <c r="C11" i="59"/>
  <c r="C9" i="59"/>
  <c r="C6" i="59"/>
  <c r="C4" i="59"/>
  <c r="C7" i="59" s="1"/>
  <c r="C13" i="59" s="1"/>
  <c r="C12" i="59"/>
  <c r="C4" i="58"/>
  <c r="C7" i="58"/>
  <c r="C10" i="58"/>
  <c r="C12" i="58"/>
  <c r="C3" i="58"/>
  <c r="C9" i="58"/>
  <c r="C2" i="58" s="1"/>
  <c r="C9" i="57"/>
  <c r="C5" i="57"/>
  <c r="C11" i="57" s="1"/>
  <c r="C10" i="57"/>
  <c r="C6" i="57"/>
  <c r="C12" i="57" s="1"/>
  <c r="C11" i="56"/>
  <c r="C9" i="56"/>
  <c r="C12" i="56" s="1"/>
  <c r="C6" i="56"/>
  <c r="C4" i="56"/>
  <c r="C13" i="56" s="1"/>
  <c r="C7" i="56"/>
  <c r="C11" i="55"/>
  <c r="C9" i="55"/>
  <c r="C6" i="55"/>
  <c r="C4" i="55"/>
  <c r="C12" i="55"/>
  <c r="C7" i="55"/>
  <c r="C9" i="54"/>
  <c r="C7" i="54"/>
  <c r="C4" i="54"/>
  <c r="C10" i="54" s="1"/>
  <c r="C9" i="52"/>
  <c r="C7" i="52"/>
  <c r="C4" i="52"/>
  <c r="C10" i="52" s="1"/>
  <c r="A11" i="51"/>
  <c r="A9" i="51"/>
  <c r="A7" i="51"/>
  <c r="A5" i="51"/>
  <c r="A3" i="51"/>
  <c r="A12" i="51" s="1"/>
  <c r="C9" i="50"/>
  <c r="C7" i="50"/>
  <c r="C4" i="50"/>
  <c r="C10" i="50" s="1"/>
  <c r="B9" i="47"/>
  <c r="B7" i="47"/>
  <c r="B4" i="47"/>
  <c r="B10" i="47" s="1"/>
  <c r="C9" i="46"/>
  <c r="C7" i="46"/>
  <c r="C4" i="46"/>
  <c r="C10" i="46" s="1"/>
  <c r="B9" i="42"/>
  <c r="C9" i="42"/>
  <c r="B7" i="42"/>
  <c r="C7" i="42"/>
  <c r="B4" i="42"/>
  <c r="B10" i="42" s="1"/>
  <c r="C4" i="42"/>
  <c r="C10" i="42" s="1"/>
  <c r="C9" i="41"/>
  <c r="C7" i="41"/>
  <c r="C4" i="41"/>
  <c r="C10" i="41" s="1"/>
  <c r="B10" i="40"/>
  <c r="B9" i="40"/>
  <c r="B7" i="40"/>
  <c r="B4" i="40"/>
  <c r="D9" i="39"/>
  <c r="B9" i="39"/>
  <c r="D7" i="39"/>
  <c r="B7" i="39"/>
  <c r="D4" i="39"/>
  <c r="D10" i="39" s="1"/>
  <c r="B4" i="39"/>
  <c r="B10" i="39" s="1"/>
  <c r="C9" i="38"/>
  <c r="B9" i="38"/>
  <c r="C7" i="38"/>
  <c r="B7" i="38"/>
  <c r="C4" i="38"/>
  <c r="C10" i="38" s="1"/>
  <c r="B4" i="38"/>
  <c r="B10" i="38" s="1"/>
  <c r="C9" i="37"/>
  <c r="C7" i="37"/>
  <c r="C4" i="37"/>
  <c r="C10" i="37" s="1"/>
  <c r="B7" i="36"/>
  <c r="B5" i="36"/>
  <c r="B3" i="36"/>
  <c r="B8" i="36" s="1"/>
  <c r="B7" i="35"/>
  <c r="B6" i="35"/>
  <c r="A4" i="35"/>
  <c r="A2" i="35"/>
  <c r="B4" i="34"/>
  <c r="B6" i="33"/>
  <c r="B5" i="33"/>
  <c r="B11" i="32"/>
  <c r="B7" i="32"/>
  <c r="B4" i="32"/>
  <c r="B12" i="32" s="1"/>
  <c r="B8" i="31"/>
  <c r="B6" i="31"/>
  <c r="B4" i="31"/>
  <c r="B9" i="31" s="1"/>
  <c r="B15" i="30"/>
  <c r="B13" i="30"/>
  <c r="B11" i="30"/>
  <c r="B9" i="30"/>
  <c r="B7" i="30"/>
  <c r="B5" i="30"/>
  <c r="B3" i="30"/>
  <c r="B16" i="30" s="1"/>
  <c r="B33" i="29"/>
  <c r="B29" i="29"/>
  <c r="B23" i="29"/>
  <c r="B21" i="29"/>
  <c r="B19" i="29"/>
  <c r="B16" i="29"/>
  <c r="B12" i="29"/>
  <c r="B10" i="29"/>
  <c r="B8" i="29"/>
  <c r="B6" i="29"/>
  <c r="B34" i="29" s="1"/>
  <c r="A30" i="29"/>
  <c r="A18" i="29"/>
  <c r="A17" i="29"/>
  <c r="A5" i="29"/>
  <c r="B6" i="28"/>
  <c r="B4" i="28"/>
  <c r="B7" i="28" s="1"/>
  <c r="C5" i="28"/>
  <c r="C6" i="28" s="1"/>
  <c r="C3" i="28"/>
  <c r="C2" i="28"/>
  <c r="C9" i="27"/>
  <c r="C7" i="27"/>
  <c r="C4" i="27"/>
  <c r="F2" i="27"/>
  <c r="C9" i="26"/>
  <c r="C7" i="26"/>
  <c r="C4" i="26"/>
  <c r="C10" i="26" s="1"/>
  <c r="D10" i="25"/>
  <c r="D8" i="25"/>
  <c r="D11" i="25" s="1"/>
  <c r="B5" i="23"/>
  <c r="B3" i="23"/>
  <c r="B6" i="23" s="1"/>
  <c r="B4" i="22"/>
  <c r="B3" i="22"/>
  <c r="C9" i="20"/>
  <c r="C7" i="20"/>
  <c r="C4" i="20"/>
  <c r="C10" i="20" s="1"/>
  <c r="C9" i="19"/>
  <c r="C7" i="19"/>
  <c r="C4" i="19"/>
  <c r="C10" i="19" s="1"/>
  <c r="C9" i="18"/>
  <c r="C7" i="18"/>
  <c r="C4" i="18"/>
  <c r="C10" i="18" s="1"/>
  <c r="C11" i="17"/>
  <c r="C9" i="17"/>
  <c r="C7" i="17"/>
  <c r="C5" i="17"/>
  <c r="C3" i="17"/>
  <c r="C12" i="17" s="1"/>
  <c r="C6" i="16"/>
  <c r="C4" i="16"/>
  <c r="C7" i="16" s="1"/>
  <c r="C9" i="15"/>
  <c r="C7" i="15"/>
  <c r="C4" i="15"/>
  <c r="C10" i="15" s="1"/>
  <c r="C9" i="14"/>
  <c r="C7" i="14"/>
  <c r="C4" i="14"/>
  <c r="C10" i="14" s="1"/>
  <c r="C3" i="13"/>
  <c r="C6" i="13"/>
  <c r="C2" i="13" s="1"/>
  <c r="C9" i="13"/>
  <c r="C9" i="12"/>
  <c r="C7" i="12"/>
  <c r="C4" i="12"/>
  <c r="C10" i="12" s="1"/>
  <c r="C9" i="11"/>
  <c r="C7" i="11"/>
  <c r="C4" i="11"/>
  <c r="C10" i="11" s="1"/>
  <c r="C9" i="10"/>
  <c r="C7" i="10"/>
  <c r="C4" i="10"/>
  <c r="C10" i="10" s="1"/>
  <c r="C9" i="9"/>
  <c r="C7" i="9"/>
  <c r="C4" i="9"/>
  <c r="C10" i="9" s="1"/>
  <c r="C9" i="8"/>
  <c r="C7" i="8"/>
  <c r="C4" i="8"/>
  <c r="C10" i="8" s="1"/>
  <c r="C9" i="7"/>
  <c r="C7" i="7"/>
  <c r="C10" i="7" s="1"/>
  <c r="C4" i="7"/>
  <c r="C9" i="6"/>
  <c r="C7" i="6"/>
  <c r="C10" i="6" s="1"/>
  <c r="C4" i="6"/>
  <c r="C9" i="5"/>
  <c r="C7" i="5"/>
  <c r="C4" i="5"/>
  <c r="C10" i="5" s="1"/>
  <c r="C9" i="4"/>
  <c r="C7" i="4"/>
  <c r="C4" i="4"/>
  <c r="C10" i="4" s="1"/>
  <c r="C9" i="3"/>
  <c r="C7" i="3"/>
  <c r="C4" i="3"/>
  <c r="C10" i="3" s="1"/>
  <c r="C9" i="2"/>
  <c r="C7" i="2"/>
  <c r="C4" i="2"/>
  <c r="C10" i="2" s="1"/>
  <c r="C9" i="154" l="1"/>
  <c r="D58" i="66"/>
  <c r="D15" i="66"/>
  <c r="D59" i="66" s="1"/>
  <c r="C14" i="56"/>
  <c r="C13" i="55"/>
  <c r="C7" i="28"/>
  <c r="C4" i="28"/>
  <c r="C10" i="27"/>
  <c r="F1" i="27"/>
  <c r="C19" i="154" l="1"/>
  <c r="C18" i="154"/>
</calcChain>
</file>

<file path=xl/sharedStrings.xml><?xml version="1.0" encoding="utf-8"?>
<sst xmlns="http://schemas.openxmlformats.org/spreadsheetml/2006/main" count="2652" uniqueCount="139">
  <si>
    <t>Region</t>
  </si>
  <si>
    <t>Product</t>
  </si>
  <si>
    <t>Sales</t>
  </si>
  <si>
    <t>East</t>
  </si>
  <si>
    <t>A</t>
  </si>
  <si>
    <t>B</t>
  </si>
  <si>
    <t>West</t>
  </si>
  <si>
    <t>C</t>
  </si>
  <si>
    <t>North</t>
  </si>
  <si>
    <t>East Total</t>
  </si>
  <si>
    <t>West Total</t>
  </si>
  <si>
    <t>North Total</t>
  </si>
  <si>
    <t>Grand Total</t>
  </si>
  <si>
    <t>East Count</t>
  </si>
  <si>
    <t>West Count</t>
  </si>
  <si>
    <t>North Count</t>
  </si>
  <si>
    <t>Grand Count</t>
  </si>
  <si>
    <t>East Average</t>
  </si>
  <si>
    <t>West Average</t>
  </si>
  <si>
    <t>North Average</t>
  </si>
  <si>
    <t>Grand Average</t>
  </si>
  <si>
    <t>East Max</t>
  </si>
  <si>
    <t>West Max</t>
  </si>
  <si>
    <t>North Max</t>
  </si>
  <si>
    <t>Grand Max</t>
  </si>
  <si>
    <t>East Min</t>
  </si>
  <si>
    <t>West Min</t>
  </si>
  <si>
    <t>North Min</t>
  </si>
  <si>
    <t>Grand Min</t>
  </si>
  <si>
    <t>East Product</t>
  </si>
  <si>
    <t>West Product</t>
  </si>
  <si>
    <t>North Product</t>
  </si>
  <si>
    <t>Grand Product</t>
  </si>
  <si>
    <t>East StdDev</t>
  </si>
  <si>
    <t>West StdDev</t>
  </si>
  <si>
    <t>North StdDev</t>
  </si>
  <si>
    <t>Grand StdDev</t>
  </si>
  <si>
    <t>East StdDevp</t>
  </si>
  <si>
    <t>West StdDevp</t>
  </si>
  <si>
    <t>North StdDevp</t>
  </si>
  <si>
    <t>Grand StdDevp</t>
  </si>
  <si>
    <t>East Var</t>
  </si>
  <si>
    <t>West Var</t>
  </si>
  <si>
    <t>North Var</t>
  </si>
  <si>
    <t>Grand Var</t>
  </si>
  <si>
    <t>East Varp</t>
  </si>
  <si>
    <t>West Varp</t>
  </si>
  <si>
    <t>North Varp</t>
  </si>
  <si>
    <t>Grand Varp</t>
  </si>
  <si>
    <t>A Total</t>
  </si>
  <si>
    <t>B Total</t>
  </si>
  <si>
    <t>C Total</t>
  </si>
  <si>
    <t>1 Total</t>
  </si>
  <si>
    <t>2 Total</t>
  </si>
  <si>
    <t>side</t>
  </si>
  <si>
    <t>low side</t>
  </si>
  <si>
    <t>after</t>
  </si>
  <si>
    <t>Double</t>
  </si>
  <si>
    <t>Key</t>
  </si>
  <si>
    <t>5</t>
  </si>
  <si>
    <t>east</t>
  </si>
  <si>
    <t>EAST</t>
  </si>
  <si>
    <t xml:space="preserve">East </t>
  </si>
  <si>
    <t xml:space="preserve"> </t>
  </si>
  <si>
    <t>x</t>
  </si>
  <si>
    <t>5 Total</t>
  </si>
  <si>
    <t>TRUE Total</t>
  </si>
  <si>
    <t>0 Total</t>
  </si>
  <si>
    <t>#N/A Total</t>
  </si>
  <si>
    <t>#DIV/0! Total</t>
  </si>
  <si>
    <t>1/2/2024 Total</t>
  </si>
  <si>
    <t>45293 Total</t>
  </si>
  <si>
    <t>east Total</t>
  </si>
  <si>
    <t>x Total</t>
  </si>
  <si>
    <t>1.23457E+12 Total</t>
  </si>
  <si>
    <t>0.123456789 Total</t>
  </si>
  <si>
    <t>1.00E+20 Total</t>
  </si>
  <si>
    <t>3.50 Total</t>
  </si>
  <si>
    <t>$7.00  Total</t>
  </si>
  <si>
    <t>50% Total</t>
  </si>
  <si>
    <t>-2 Total</t>
  </si>
  <si>
    <t>abcdefghijk</t>
  </si>
  <si>
    <t>123456 Total</t>
  </si>
  <si>
    <t>abcdefghijk Total</t>
  </si>
  <si>
    <t>AB</t>
  </si>
  <si>
    <t>ab</t>
  </si>
  <si>
    <t>AB Total</t>
  </si>
  <si>
    <t>1/2/2024 12:00 Total</t>
  </si>
  <si>
    <t>Jan 3 Total</t>
  </si>
  <si>
    <t>10 Count</t>
  </si>
  <si>
    <t>20 Count</t>
  </si>
  <si>
    <t>30 Count</t>
  </si>
  <si>
    <t>40 Count</t>
  </si>
  <si>
    <t>5 Count</t>
  </si>
  <si>
    <t>A Count</t>
  </si>
  <si>
    <t>B Count</t>
  </si>
  <si>
    <t>C Count</t>
  </si>
  <si>
    <t>V</t>
  </si>
  <si>
    <t>p</t>
  </si>
  <si>
    <t>q</t>
  </si>
  <si>
    <t>y</t>
  </si>
  <si>
    <t>y Total</t>
  </si>
  <si>
    <t>p Total</t>
  </si>
  <si>
    <t>q Total</t>
  </si>
  <si>
    <t>Units</t>
  </si>
  <si>
    <t>Bolt</t>
  </si>
  <si>
    <t>Nut</t>
  </si>
  <si>
    <t>Screw</t>
  </si>
  <si>
    <t>South</t>
  </si>
  <si>
    <t>South Total</t>
  </si>
  <si>
    <t>Bolt Count</t>
  </si>
  <si>
    <t>Nut Count</t>
  </si>
  <si>
    <t>Screw Count</t>
  </si>
  <si>
    <t>Price</t>
  </si>
  <si>
    <t>a</t>
  </si>
  <si>
    <t>b</t>
  </si>
  <si>
    <t>a Total</t>
  </si>
  <si>
    <t>b Total</t>
  </si>
  <si>
    <t>a Count</t>
  </si>
  <si>
    <t>b Count</t>
  </si>
  <si>
    <t>below</t>
  </si>
  <si>
    <t>right</t>
  </si>
  <si>
    <t>left</t>
  </si>
  <si>
    <t xml:space="preserve"> East</t>
  </si>
  <si>
    <t>Ea st</t>
  </si>
  <si>
    <t xml:space="preserve">  </t>
  </si>
  <si>
    <t>East  Total</t>
  </si>
  <si>
    <t>Ea st Total</t>
  </si>
  <si>
    <t xml:space="preserve"> Total</t>
  </si>
  <si>
    <t>=SUBTOTAL(9,C2:C3)</t>
  </si>
  <si>
    <t>c</t>
  </si>
  <si>
    <t>d</t>
  </si>
  <si>
    <t>c Total</t>
  </si>
  <si>
    <t>d Total</t>
  </si>
  <si>
    <t>Kind</t>
  </si>
  <si>
    <t>k</t>
  </si>
  <si>
    <t>A Average</t>
  </si>
  <si>
    <t>B Average</t>
  </si>
  <si>
    <t>C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</si>
</sst>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mmm\ d"/>
    <numFmt numFmtId="165" formatCode="0.0"/>
    <numFmt numFmtId="166" formatCode="0.000"/>
    <numFmt numFmtId="167" formatCode="0.0000"/>
    <numFmt numFmtId="168" formatCode="0.0%"/>
    <numFmt numFmtId="169" formatCode="0.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8C8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1020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0" borderId="0" xfId="0" quotePrefix="1"/>
    <xf numFmtId="14" fontId="0" fillId="0" borderId="0" xfId="0" applyNumberFormat="1"/>
    <xf numFmtId="14" fontId="2" fillId="0" borderId="0" xfId="0" applyNumberFormat="1" applyFont="1"/>
    <xf numFmtId="11" fontId="0" fillId="0" borderId="0" xfId="0" applyNumberFormat="1"/>
    <xf numFmtId="8" fontId="0" fillId="0" borderId="0" xfId="0" applyNumberFormat="1"/>
    <xf numFmtId="9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1" fontId="2" fillId="0" borderId="0" xfId="0" applyNumberFormat="1" applyFont="1"/>
    <xf numFmtId="8" fontId="2" fillId="0" borderId="0" xfId="0" applyNumberFormat="1" applyFont="1"/>
    <xf numFmtId="9" fontId="2" fillId="0" borderId="0" xfId="0" applyNumberFormat="1" applyFont="1"/>
    <xf numFmtId="0" fontId="2" fillId="0" borderId="0" xfId="0" applyNumberFormat="1" applyFont="1"/>
    <xf numFmtId="22" fontId="0" fillId="0" borderId="0" xfId="0" applyNumberFormat="1"/>
    <xf numFmtId="164" fontId="0" fillId="0" borderId="0" xfId="0" applyNumberFormat="1"/>
    <xf numFmtId="22" fontId="2" fillId="0" borderId="0" xfId="0" applyNumberFormat="1" applyFont="1"/>
    <xf numFmtId="164" fontId="2" fillId="0" borderId="0" xfId="0" applyNumberFormat="1" applyFont="1"/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5" fontId="4" fillId="2" borderId="0" xfId="0" applyNumberFormat="1" applyFont="1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166" fontId="0" fillId="0" borderId="0" xfId="0" applyNumberFormat="1"/>
    <xf numFmtId="166" fontId="2" fillId="0" borderId="0" xfId="0" applyNumberFormat="1" applyFont="1"/>
    <xf numFmtId="167" fontId="0" fillId="0" borderId="0" xfId="0" applyNumberFormat="1"/>
    <xf numFmtId="167" fontId="2" fillId="0" borderId="0" xfId="0" applyNumberFormat="1" applyFont="1"/>
    <xf numFmtId="168" fontId="0" fillId="0" borderId="0" xfId="0" applyNumberFormat="1"/>
    <xf numFmtId="168" fontId="2" fillId="0" borderId="0" xfId="0" applyNumberFormat="1" applyFont="1"/>
    <xf numFmtId="9" fontId="0" fillId="0" borderId="0" xfId="1" applyFont="1"/>
    <xf numFmtId="169" fontId="0" fillId="0" borderId="0" xfId="0" applyNumberFormat="1"/>
    <xf numFmtId="169" fontId="0" fillId="5" borderId="0" xfId="0" applyNumberFormat="1" applyFill="1"/>
    <xf numFmtId="169" fontId="2" fillId="0" borderId="0" xfId="0" applyNumberFormat="1" applyFont="1"/>
    <xf numFmtId="165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D7289-B80B-45E8-9F46-7345EDFC6D21}" name="Table1" displayName="Table1" ref="A1:C6" totalsRowShown="0">
  <autoFilter ref="A1:C6" xr:uid="{514D7289-B80B-45E8-9F46-7345EDFC6D21}"/>
  <tableColumns count="3">
    <tableColumn id="1" xr3:uid="{44786416-AFB4-420A-BB50-D03699DE407F}" name="Region"/>
    <tableColumn id="2" xr3:uid="{5B23124A-6F59-4ED8-874F-7C2B8A2F9EC1}" name="Product"/>
    <tableColumn id="3" xr3:uid="{C67E70DE-186D-49E2-B2C3-ABAA299BA28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6B2F-5C2C-45CA-9131-C73F6A382627}">
  <dimension ref="A1:C13"/>
  <sheetViews>
    <sheetView tabSelected="1" workbookViewId="0"/>
  </sheetViews>
  <sheetFormatPr defaultRowHeight="15" x14ac:dyDescent="0.25"/>
  <sheetData>
    <row r="1" spans="1:3" x14ac:dyDescent="0.25">
      <c r="A1" s="1"/>
      <c r="B1" s="20"/>
      <c r="C1" s="30"/>
    </row>
    <row r="2" spans="1:3" x14ac:dyDescent="0.25">
      <c r="B2" s="28">
        <v>7</v>
      </c>
      <c r="C2" s="8"/>
    </row>
    <row r="3" spans="1:3" x14ac:dyDescent="0.25">
      <c r="B3" s="9"/>
    </row>
    <row r="4" spans="1:3" x14ac:dyDescent="0.25">
      <c r="B4" s="20"/>
    </row>
    <row r="5" spans="1:3" x14ac:dyDescent="0.25">
      <c r="B5" s="32"/>
    </row>
    <row r="6" spans="1:3" x14ac:dyDescent="0.25">
      <c r="B6" s="20"/>
    </row>
    <row r="7" spans="1:3" x14ac:dyDescent="0.25">
      <c r="B7" s="2"/>
    </row>
    <row r="8" spans="1:3" x14ac:dyDescent="0.25">
      <c r="B8" s="34"/>
    </row>
    <row r="9" spans="1:3" x14ac:dyDescent="0.25">
      <c r="B9" s="20"/>
    </row>
    <row r="10" spans="1:3" x14ac:dyDescent="0.25">
      <c r="B10">
        <v>5</v>
      </c>
    </row>
    <row r="11" spans="1:3" x14ac:dyDescent="0.25">
      <c r="B11" s="33">
        <v>6</v>
      </c>
    </row>
    <row r="12" spans="1:3" x14ac:dyDescent="0.25">
      <c r="B12" s="9"/>
    </row>
    <row r="13" spans="1:3" x14ac:dyDescent="0.25">
      <c r="A13" s="2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5A86-66FD-4ABC-8989-3ECF8485D292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2932-475E-45E8-A0CB-44279EE8A7FD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13</v>
      </c>
      <c r="C4">
        <f>SUBTOTAL(3,C2:C3)</f>
        <v>2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14</v>
      </c>
      <c r="C7">
        <f>SUBTOTAL(3,C5:C6)</f>
        <v>2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15</v>
      </c>
      <c r="C9">
        <f>SUBTOTAL(3,C8:C8)</f>
        <v>1</v>
      </c>
    </row>
    <row r="10" spans="1:3" x14ac:dyDescent="0.25">
      <c r="A10" s="2" t="s">
        <v>16</v>
      </c>
      <c r="C10">
        <f>SUBTOTAL(3,C2:C8)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C0C4-9811-42A3-88FB-BEF109F4073E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17</v>
      </c>
      <c r="C4">
        <f>SUBTOTAL(1,C2:C3)</f>
        <v>15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18</v>
      </c>
      <c r="C7">
        <f>SUBTOTAL(1,C5:C6)</f>
        <v>35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19</v>
      </c>
      <c r="C9">
        <f>SUBTOTAL(1,C8:C8)</f>
        <v>5</v>
      </c>
    </row>
    <row r="10" spans="1:3" x14ac:dyDescent="0.25">
      <c r="A10" s="2" t="s">
        <v>20</v>
      </c>
      <c r="C10">
        <f>SUBTOTAL(1,C2:C8)</f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8EDE-F398-49DD-98EB-F8C2E8EA4773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21</v>
      </c>
      <c r="C4">
        <f>SUBTOTAL(4,C2:C3)</f>
        <v>20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22</v>
      </c>
      <c r="C7">
        <f>SUBTOTAL(4,C5:C6)</f>
        <v>40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23</v>
      </c>
      <c r="C9">
        <f>SUBTOTAL(4,C8:C8)</f>
        <v>5</v>
      </c>
    </row>
    <row r="10" spans="1:3" x14ac:dyDescent="0.25">
      <c r="A10" s="2" t="s">
        <v>24</v>
      </c>
      <c r="C10">
        <f>SUBTOTAL(4,C2:C8)</f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75D1-5575-4340-A616-456CF92ABA88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25</v>
      </c>
      <c r="C4">
        <f>SUBTOTAL(5,C2:C3)</f>
        <v>10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26</v>
      </c>
      <c r="C7">
        <f>SUBTOTAL(5,C5:C6)</f>
        <v>30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27</v>
      </c>
      <c r="C9">
        <f>SUBTOTAL(5,C8:C8)</f>
        <v>5</v>
      </c>
    </row>
    <row r="10" spans="1:3" x14ac:dyDescent="0.25">
      <c r="A10" s="2" t="s">
        <v>28</v>
      </c>
      <c r="C10">
        <f>SUBTOTAL(5,C2:C8)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94EC-BFBB-45DC-B3F3-4B1B557A72DB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29</v>
      </c>
      <c r="C4">
        <f>SUBTOTAL(6,C2:C3)</f>
        <v>200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30</v>
      </c>
      <c r="C7">
        <f>SUBTOTAL(6,C5:C6)</f>
        <v>1200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31</v>
      </c>
      <c r="C9">
        <f>SUBTOTAL(6,C8:C8)</f>
        <v>5</v>
      </c>
    </row>
    <row r="10" spans="1:3" x14ac:dyDescent="0.25">
      <c r="A10" s="2" t="s">
        <v>32</v>
      </c>
      <c r="C10">
        <f>SUBTOTAL(6,C2:C8)</f>
        <v>1200000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1A2F-5A7A-459B-9DBC-FEFA43A5B9B0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13</v>
      </c>
      <c r="C4">
        <f>SUBTOTAL(2,C2:C3)</f>
        <v>2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14</v>
      </c>
      <c r="C7">
        <f>SUBTOTAL(2,C5:C6)</f>
        <v>2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15</v>
      </c>
      <c r="C9">
        <f>SUBTOTAL(2,C8:C8)</f>
        <v>1</v>
      </c>
    </row>
    <row r="10" spans="1:3" x14ac:dyDescent="0.25">
      <c r="A10" s="2" t="s">
        <v>16</v>
      </c>
      <c r="C10">
        <f>SUBTOTAL(2,C2:C8)</f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37C-69F0-4882-94D9-9561F9BBD5A1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33</v>
      </c>
      <c r="C4">
        <f>SUBTOTAL(7,C2:C3)</f>
        <v>7.0710678118654755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34</v>
      </c>
      <c r="C7">
        <f>SUBTOTAL(7,C5:C6)</f>
        <v>7.0710678118654755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35</v>
      </c>
      <c r="C9" t="e">
        <f>SUBTOTAL(7,C8:C8)</f>
        <v>#DIV/0!</v>
      </c>
    </row>
    <row r="10" spans="1:3" x14ac:dyDescent="0.25">
      <c r="A10" s="2" t="s">
        <v>36</v>
      </c>
      <c r="C10">
        <f>SUBTOTAL(7,C2:C8)</f>
        <v>14.317821063276353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07E6-AA3B-4EE4-89FC-1DC41E3A62A3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37</v>
      </c>
      <c r="C4">
        <f>SUBTOTAL(8,C2:C3)</f>
        <v>5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38</v>
      </c>
      <c r="C7">
        <f>SUBTOTAL(8,C5:C6)</f>
        <v>5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39</v>
      </c>
      <c r="C9">
        <f>SUBTOTAL(8,C8:C8)</f>
        <v>0</v>
      </c>
    </row>
    <row r="10" spans="1:3" x14ac:dyDescent="0.25">
      <c r="A10" s="2" t="s">
        <v>40</v>
      </c>
      <c r="C10">
        <f>SUBTOTAL(8,C2:C8)</f>
        <v>12.806248474865697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DBE6-F194-4886-9578-DEFF3BA910DE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41</v>
      </c>
      <c r="C4">
        <f>SUBTOTAL(10,C2:C3)</f>
        <v>50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42</v>
      </c>
      <c r="C7">
        <f>SUBTOTAL(10,C5:C6)</f>
        <v>50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43</v>
      </c>
      <c r="C9" t="e">
        <f>SUBTOTAL(10,C8:C8)</f>
        <v>#DIV/0!</v>
      </c>
    </row>
    <row r="10" spans="1:3" x14ac:dyDescent="0.25">
      <c r="A10" s="2" t="s">
        <v>44</v>
      </c>
      <c r="C10">
        <f>SUBTOTAL(10,C2:C8)</f>
        <v>205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734C-2BA7-4F6F-8C12-9A5097956E01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45</v>
      </c>
      <c r="C4">
        <f>SUBTOTAL(11,C2:C3)</f>
        <v>25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46</v>
      </c>
      <c r="C7">
        <f>SUBTOTAL(11,C5:C6)</f>
        <v>25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47</v>
      </c>
      <c r="C9">
        <f>SUBTOTAL(11,C8:C8)</f>
        <v>0</v>
      </c>
    </row>
    <row r="10" spans="1:3" x14ac:dyDescent="0.25">
      <c r="A10" s="2" t="s">
        <v>48</v>
      </c>
      <c r="C10">
        <f>SUBTOTAL(11,C2:C8)</f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E47C-9011-48D8-B6BB-38F41503EB2A}">
  <sheetPr>
    <outlinePr summaryBelow="0"/>
  </sheetPr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SUBTOTAL(9,C4:C10)</f>
        <v>105</v>
      </c>
    </row>
    <row r="3" spans="1:3" outlineLevel="1" x14ac:dyDescent="0.25">
      <c r="A3" s="2" t="s">
        <v>9</v>
      </c>
      <c r="C3">
        <f>SUBTOTAL(9,C4:C5)</f>
        <v>30</v>
      </c>
    </row>
    <row r="4" spans="1:3" outlineLevel="2" x14ac:dyDescent="0.25">
      <c r="A4" t="s">
        <v>3</v>
      </c>
      <c r="B4" t="s">
        <v>4</v>
      </c>
      <c r="C4">
        <v>10</v>
      </c>
    </row>
    <row r="5" spans="1:3" outlineLevel="2" x14ac:dyDescent="0.25">
      <c r="A5" t="s">
        <v>3</v>
      </c>
      <c r="B5" t="s">
        <v>5</v>
      </c>
      <c r="C5">
        <v>20</v>
      </c>
    </row>
    <row r="6" spans="1:3" outlineLevel="1" x14ac:dyDescent="0.25">
      <c r="A6" s="2" t="s">
        <v>10</v>
      </c>
      <c r="C6">
        <f>SUBTOTAL(9,C7:C8)</f>
        <v>70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" t="s">
        <v>11</v>
      </c>
      <c r="C9">
        <f>SUBTOTAL(9,C10:C10)</f>
        <v>5</v>
      </c>
    </row>
    <row r="10" spans="1:3" outlineLevel="2" x14ac:dyDescent="0.25">
      <c r="A10" t="s">
        <v>8</v>
      </c>
      <c r="B10" t="s">
        <v>4</v>
      </c>
      <c r="C10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67B8-65E0-427A-A0F7-ED26F6C8C239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3DD4-6335-4F83-B30A-7F0DC668D7B6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BA4A-EEA2-4549-9607-D650F49B6D31}">
  <dimension ref="A1:C9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1" x14ac:dyDescent="0.25">
      <c r="A6" s="2" t="s">
        <v>10</v>
      </c>
      <c r="C6">
        <f>SUBTOTAL(9,C5:C5)</f>
        <v>30</v>
      </c>
    </row>
    <row r="7" spans="1:3" x14ac:dyDescent="0.25">
      <c r="A7" s="2" t="s">
        <v>12</v>
      </c>
      <c r="C7">
        <f>SUBTOTAL(9,C2:C5)</f>
        <v>60</v>
      </c>
    </row>
    <row r="8" spans="1:3" x14ac:dyDescent="0.25">
      <c r="A8" t="s">
        <v>6</v>
      </c>
      <c r="B8" t="s">
        <v>7</v>
      </c>
      <c r="C8">
        <v>40</v>
      </c>
    </row>
    <row r="9" spans="1:3" x14ac:dyDescent="0.25">
      <c r="A9" t="s">
        <v>8</v>
      </c>
      <c r="B9" t="s">
        <v>4</v>
      </c>
      <c r="C9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E031-1729-4788-A4C5-E706B32AB97A}">
  <dimension ref="A1:C12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1" x14ac:dyDescent="0.25">
      <c r="B3" s="2" t="s">
        <v>49</v>
      </c>
      <c r="C3">
        <f>SUBTOTAL(9,C2:C2)</f>
        <v>10</v>
      </c>
    </row>
    <row r="4" spans="1:3" outlineLevel="2" x14ac:dyDescent="0.25">
      <c r="A4" t="s">
        <v>3</v>
      </c>
      <c r="B4" t="s">
        <v>5</v>
      </c>
      <c r="C4">
        <v>20</v>
      </c>
    </row>
    <row r="5" spans="1:3" outlineLevel="1" x14ac:dyDescent="0.25">
      <c r="B5" s="2" t="s">
        <v>50</v>
      </c>
      <c r="C5">
        <f>SUBTOTAL(9,C4:C4)</f>
        <v>20</v>
      </c>
    </row>
    <row r="6" spans="1:3" outlineLevel="2" x14ac:dyDescent="0.25">
      <c r="A6" t="s">
        <v>6</v>
      </c>
      <c r="B6" t="s">
        <v>4</v>
      </c>
      <c r="C6">
        <v>30</v>
      </c>
    </row>
    <row r="7" spans="1:3" outlineLevel="1" x14ac:dyDescent="0.25">
      <c r="B7" s="2" t="s">
        <v>49</v>
      </c>
      <c r="C7">
        <f>SUBTOTAL(9,C6:C6)</f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B9" s="2" t="s">
        <v>51</v>
      </c>
      <c r="C9">
        <f>SUBTOTAL(9,C8:C8)</f>
        <v>40</v>
      </c>
    </row>
    <row r="10" spans="1:3" outlineLevel="2" x14ac:dyDescent="0.25">
      <c r="A10" t="s">
        <v>8</v>
      </c>
      <c r="B10" t="s">
        <v>4</v>
      </c>
      <c r="C10">
        <v>5</v>
      </c>
    </row>
    <row r="11" spans="1:3" outlineLevel="1" x14ac:dyDescent="0.25">
      <c r="B11" s="2" t="s">
        <v>49</v>
      </c>
      <c r="C11">
        <f>SUBTOTAL(9,C10:C10)</f>
        <v>5</v>
      </c>
    </row>
    <row r="12" spans="1:3" x14ac:dyDescent="0.25">
      <c r="B12" s="2" t="s">
        <v>12</v>
      </c>
      <c r="C12">
        <f>SUBTOTAL(9,C2:C10)</f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A628-CD13-42A9-9919-8C04956C3B8B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5F67-8A1E-47E5-84D4-E03B874046D3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6B31-CF24-4A2A-9A07-6B8D3591A4FE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33F1-C37C-46B2-89FB-D2E23902D85E}">
  <dimension ref="A1:C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F7E0-2413-4545-98DF-56E80D632FD3}">
  <dimension ref="A1:B4"/>
  <sheetViews>
    <sheetView workbookViewId="0"/>
  </sheetViews>
  <sheetFormatPr defaultRowHeight="15" outlineLevelRow="2" x14ac:dyDescent="0.25"/>
  <sheetData>
    <row r="1" spans="1:2" x14ac:dyDescent="0.25">
      <c r="A1" t="s">
        <v>0</v>
      </c>
      <c r="B1" t="s">
        <v>2</v>
      </c>
    </row>
    <row r="2" spans="1:2" outlineLevel="2" x14ac:dyDescent="0.25">
      <c r="A2" t="s">
        <v>3</v>
      </c>
      <c r="B2">
        <v>10</v>
      </c>
    </row>
    <row r="3" spans="1:2" outlineLevel="1" x14ac:dyDescent="0.25">
      <c r="A3" s="2" t="s">
        <v>9</v>
      </c>
      <c r="B3">
        <f>SUBTOTAL(9,B2:B2)</f>
        <v>10</v>
      </c>
    </row>
    <row r="4" spans="1:2" x14ac:dyDescent="0.25">
      <c r="A4" s="2" t="s">
        <v>12</v>
      </c>
      <c r="B4">
        <f>SUBTOTAL(9,B2:B2)</f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BC16-2B77-4A95-9016-F69BC97AD3A9}">
  <dimension ref="A1:B6"/>
  <sheetViews>
    <sheetView workbookViewId="0"/>
  </sheetViews>
  <sheetFormatPr defaultRowHeight="15" outlineLevelRow="2" x14ac:dyDescent="0.25"/>
  <sheetData>
    <row r="1" spans="1:2" x14ac:dyDescent="0.25">
      <c r="A1">
        <v>1</v>
      </c>
      <c r="B1">
        <v>10</v>
      </c>
    </row>
    <row r="2" spans="1:2" outlineLevel="2" x14ac:dyDescent="0.25">
      <c r="A2">
        <v>1</v>
      </c>
      <c r="B2">
        <v>20</v>
      </c>
    </row>
    <row r="3" spans="1:2" outlineLevel="1" x14ac:dyDescent="0.25">
      <c r="A3" s="2" t="s">
        <v>52</v>
      </c>
      <c r="B3">
        <f>SUBTOTAL(9,B2:B2)</f>
        <v>20</v>
      </c>
    </row>
    <row r="4" spans="1:2" outlineLevel="2" x14ac:dyDescent="0.25">
      <c r="A4">
        <v>2</v>
      </c>
      <c r="B4">
        <v>30</v>
      </c>
    </row>
    <row r="5" spans="1:2" outlineLevel="1" x14ac:dyDescent="0.25">
      <c r="A5" s="2" t="s">
        <v>53</v>
      </c>
      <c r="B5">
        <f>SUBTOTAL(9,B4:B4)</f>
        <v>30</v>
      </c>
    </row>
    <row r="6" spans="1:2" x14ac:dyDescent="0.25">
      <c r="A6" s="2" t="s">
        <v>12</v>
      </c>
      <c r="B6">
        <f>SUBTOTAL(9,B2:B4)</f>
        <v>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2171-5EE6-4216-8323-609E8DCE1F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F947-35D3-4476-B2BA-F3CD89E776DA}">
  <dimension ref="C5:D11"/>
  <sheetViews>
    <sheetView workbookViewId="0"/>
  </sheetViews>
  <sheetFormatPr defaultRowHeight="15" outlineLevelRow="2" x14ac:dyDescent="0.25"/>
  <sheetData>
    <row r="5" spans="3:4" x14ac:dyDescent="0.25">
      <c r="C5" t="s">
        <v>0</v>
      </c>
      <c r="D5" t="s">
        <v>2</v>
      </c>
    </row>
    <row r="6" spans="3:4" outlineLevel="2" x14ac:dyDescent="0.25">
      <c r="C6" t="s">
        <v>3</v>
      </c>
      <c r="D6">
        <v>10</v>
      </c>
    </row>
    <row r="7" spans="3:4" outlineLevel="2" x14ac:dyDescent="0.25">
      <c r="C7" t="s">
        <v>3</v>
      </c>
      <c r="D7">
        <v>20</v>
      </c>
    </row>
    <row r="8" spans="3:4" outlineLevel="1" x14ac:dyDescent="0.25">
      <c r="C8" s="2" t="s">
        <v>9</v>
      </c>
      <c r="D8">
        <f>SUBTOTAL(9,D6:D7)</f>
        <v>30</v>
      </c>
    </row>
    <row r="9" spans="3:4" outlineLevel="2" x14ac:dyDescent="0.25">
      <c r="C9" t="s">
        <v>6</v>
      </c>
      <c r="D9">
        <v>30</v>
      </c>
    </row>
    <row r="10" spans="3:4" outlineLevel="1" x14ac:dyDescent="0.25">
      <c r="C10" s="2" t="s">
        <v>10</v>
      </c>
      <c r="D10">
        <f>SUBTOTAL(9,D9:D9)</f>
        <v>30</v>
      </c>
    </row>
    <row r="11" spans="3:4" x14ac:dyDescent="0.25">
      <c r="C11" s="2" t="s">
        <v>12</v>
      </c>
      <c r="D11">
        <f>SUBTOTAL(9,D6:D9)</f>
        <v>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19CB-32D7-4C91-8057-6952A369CE8D}">
  <dimension ref="A1:F14"/>
  <sheetViews>
    <sheetView workbookViewId="0"/>
  </sheetViews>
  <sheetFormatPr defaultRowHeight="15" outlineLevelRow="2" x14ac:dyDescent="0.25"/>
  <sheetData>
    <row r="1" spans="1:6" x14ac:dyDescent="0.25">
      <c r="A1" t="s">
        <v>0</v>
      </c>
      <c r="B1" t="s">
        <v>1</v>
      </c>
      <c r="C1" t="s">
        <v>2</v>
      </c>
    </row>
    <row r="2" spans="1:6" outlineLevel="2" x14ac:dyDescent="0.25">
      <c r="A2" t="s">
        <v>3</v>
      </c>
      <c r="B2" t="s">
        <v>4</v>
      </c>
      <c r="C2">
        <v>10</v>
      </c>
      <c r="F2" t="s">
        <v>54</v>
      </c>
    </row>
    <row r="3" spans="1:6" outlineLevel="2" x14ac:dyDescent="0.25">
      <c r="A3" t="s">
        <v>3</v>
      </c>
      <c r="B3" t="s">
        <v>5</v>
      </c>
      <c r="C3">
        <v>20</v>
      </c>
    </row>
    <row r="4" spans="1:6" outlineLevel="1" x14ac:dyDescent="0.25">
      <c r="A4" s="2" t="s">
        <v>9</v>
      </c>
      <c r="C4">
        <f>SUBTOTAL(9,C2:C3)</f>
        <v>30</v>
      </c>
    </row>
    <row r="5" spans="1:6" outlineLevel="2" x14ac:dyDescent="0.25">
      <c r="A5" t="s">
        <v>6</v>
      </c>
      <c r="B5" t="s">
        <v>4</v>
      </c>
      <c r="C5">
        <v>30</v>
      </c>
    </row>
    <row r="6" spans="1:6" outlineLevel="2" x14ac:dyDescent="0.25">
      <c r="A6" t="s">
        <v>6</v>
      </c>
      <c r="B6" t="s">
        <v>7</v>
      </c>
      <c r="C6">
        <v>40</v>
      </c>
    </row>
    <row r="7" spans="1:6" outlineLevel="1" x14ac:dyDescent="0.25">
      <c r="A7" s="2" t="s">
        <v>10</v>
      </c>
      <c r="C7">
        <f>SUBTOTAL(9,C5:C6)</f>
        <v>70</v>
      </c>
    </row>
    <row r="8" spans="1:6" outlineLevel="2" x14ac:dyDescent="0.25">
      <c r="A8" t="s">
        <v>8</v>
      </c>
      <c r="B8" t="s">
        <v>4</v>
      </c>
      <c r="C8">
        <v>5</v>
      </c>
    </row>
    <row r="9" spans="1:6" outlineLevel="1" x14ac:dyDescent="0.25">
      <c r="A9" s="2" t="s">
        <v>11</v>
      </c>
      <c r="C9">
        <f>SUBTOTAL(9,C8:C8)</f>
        <v>5</v>
      </c>
    </row>
    <row r="10" spans="1:6" x14ac:dyDescent="0.25">
      <c r="A10" s="2" t="s">
        <v>12</v>
      </c>
      <c r="C10">
        <f>SUBTOTAL(9,C2:C8)</f>
        <v>105</v>
      </c>
    </row>
    <row r="13" spans="1:6" x14ac:dyDescent="0.25">
      <c r="F13" t="s">
        <v>55</v>
      </c>
    </row>
    <row r="14" spans="1:6" x14ac:dyDescent="0.25">
      <c r="A14" t="s">
        <v>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4146-3866-4888-AEAC-6A7CAD057C56}">
  <dimension ref="A1:F10"/>
  <sheetViews>
    <sheetView workbookViewId="0"/>
  </sheetViews>
  <sheetFormatPr defaultRowHeight="15" outlineLevelRow="2" x14ac:dyDescent="0.25"/>
  <sheetData>
    <row r="1" spans="1:6" x14ac:dyDescent="0.25">
      <c r="A1" t="s">
        <v>0</v>
      </c>
      <c r="B1" t="s">
        <v>1</v>
      </c>
      <c r="C1" t="s">
        <v>2</v>
      </c>
      <c r="F1">
        <f>SUM(C2:C8)</f>
        <v>205</v>
      </c>
    </row>
    <row r="2" spans="1:6" outlineLevel="2" x14ac:dyDescent="0.25">
      <c r="A2" t="s">
        <v>3</v>
      </c>
      <c r="B2" t="s">
        <v>4</v>
      </c>
      <c r="C2">
        <v>10</v>
      </c>
      <c r="F2">
        <f>C8</f>
        <v>5</v>
      </c>
    </row>
    <row r="3" spans="1:6" outlineLevel="2" x14ac:dyDescent="0.25">
      <c r="A3" t="s">
        <v>3</v>
      </c>
      <c r="B3" t="s">
        <v>5</v>
      </c>
      <c r="C3">
        <v>20</v>
      </c>
    </row>
    <row r="4" spans="1:6" outlineLevel="1" x14ac:dyDescent="0.25">
      <c r="A4" s="2" t="s">
        <v>9</v>
      </c>
      <c r="C4">
        <f>SUBTOTAL(9,C2:C3)</f>
        <v>30</v>
      </c>
    </row>
    <row r="5" spans="1:6" outlineLevel="2" x14ac:dyDescent="0.25">
      <c r="A5" t="s">
        <v>6</v>
      </c>
      <c r="B5" t="s">
        <v>4</v>
      </c>
      <c r="C5">
        <v>30</v>
      </c>
    </row>
    <row r="6" spans="1:6" outlineLevel="2" x14ac:dyDescent="0.25">
      <c r="A6" t="s">
        <v>6</v>
      </c>
      <c r="B6" t="s">
        <v>7</v>
      </c>
      <c r="C6">
        <v>40</v>
      </c>
    </row>
    <row r="7" spans="1:6" outlineLevel="1" x14ac:dyDescent="0.25">
      <c r="A7" s="2" t="s">
        <v>10</v>
      </c>
      <c r="C7">
        <f>SUBTOTAL(9,C5:C6)</f>
        <v>70</v>
      </c>
    </row>
    <row r="8" spans="1:6" outlineLevel="2" x14ac:dyDescent="0.25">
      <c r="A8" t="s">
        <v>8</v>
      </c>
      <c r="B8" t="s">
        <v>4</v>
      </c>
      <c r="C8">
        <v>5</v>
      </c>
    </row>
    <row r="9" spans="1:6" outlineLevel="1" x14ac:dyDescent="0.25">
      <c r="A9" s="2" t="s">
        <v>11</v>
      </c>
      <c r="C9">
        <f>SUBTOTAL(9,C8:C8)</f>
        <v>5</v>
      </c>
    </row>
    <row r="10" spans="1:6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323C-ADB5-4DC2-8D7C-FC7CEB623277}">
  <dimension ref="A1:C7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2</v>
      </c>
      <c r="C1" t="s">
        <v>57</v>
      </c>
    </row>
    <row r="2" spans="1:3" outlineLevel="2" x14ac:dyDescent="0.25">
      <c r="A2" t="s">
        <v>3</v>
      </c>
      <c r="B2">
        <v>10</v>
      </c>
      <c r="C2">
        <f>B2*2</f>
        <v>20</v>
      </c>
    </row>
    <row r="3" spans="1:3" outlineLevel="2" x14ac:dyDescent="0.25">
      <c r="A3" t="s">
        <v>3</v>
      </c>
      <c r="B3">
        <v>20</v>
      </c>
      <c r="C3">
        <f>B3*2</f>
        <v>40</v>
      </c>
    </row>
    <row r="4" spans="1:3" outlineLevel="1" x14ac:dyDescent="0.25">
      <c r="A4" s="2" t="s">
        <v>9</v>
      </c>
      <c r="B4">
        <f>SUBTOTAL(9,B2:B3)</f>
        <v>30</v>
      </c>
      <c r="C4">
        <f>SUBTOTAL(9,C2:C3)</f>
        <v>60</v>
      </c>
    </row>
    <row r="5" spans="1:3" outlineLevel="2" x14ac:dyDescent="0.25">
      <c r="A5" t="s">
        <v>6</v>
      </c>
      <c r="B5">
        <v>30</v>
      </c>
      <c r="C5">
        <f>B5*2</f>
        <v>60</v>
      </c>
    </row>
    <row r="6" spans="1:3" outlineLevel="1" x14ac:dyDescent="0.25">
      <c r="A6" s="2" t="s">
        <v>10</v>
      </c>
      <c r="B6">
        <f>SUBTOTAL(9,B5:B5)</f>
        <v>30</v>
      </c>
      <c r="C6">
        <f>SUBTOTAL(9,C5:C5)</f>
        <v>60</v>
      </c>
    </row>
    <row r="7" spans="1:3" x14ac:dyDescent="0.25">
      <c r="A7" s="2" t="s">
        <v>12</v>
      </c>
      <c r="B7">
        <f>SUBTOTAL(9,B2:B5)</f>
        <v>60</v>
      </c>
      <c r="C7">
        <f>SUBTOTAL(9,C2:C5)</f>
        <v>120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DD1B-081F-42DB-827D-54149FC7BFAE}">
  <dimension ref="A1:B34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outlineLevel="2" x14ac:dyDescent="0.25">
      <c r="A2">
        <v>5</v>
      </c>
      <c r="B2">
        <v>1</v>
      </c>
    </row>
    <row r="3" spans="1:2" outlineLevel="2" x14ac:dyDescent="0.25">
      <c r="A3">
        <v>5</v>
      </c>
      <c r="B3">
        <v>2</v>
      </c>
    </row>
    <row r="4" spans="1:2" outlineLevel="2" x14ac:dyDescent="0.25">
      <c r="A4" s="3" t="s">
        <v>59</v>
      </c>
      <c r="B4">
        <v>3</v>
      </c>
    </row>
    <row r="5" spans="1:2" outlineLevel="2" x14ac:dyDescent="0.25">
      <c r="A5">
        <f>5</f>
        <v>5</v>
      </c>
      <c r="B5">
        <v>4</v>
      </c>
    </row>
    <row r="6" spans="1:2" outlineLevel="1" x14ac:dyDescent="0.25">
      <c r="A6" s="2" t="s">
        <v>65</v>
      </c>
      <c r="B6">
        <f>SUBTOTAL(9,B2:B5)</f>
        <v>10</v>
      </c>
    </row>
    <row r="7" spans="1:2" outlineLevel="2" x14ac:dyDescent="0.25">
      <c r="A7" t="b">
        <v>1</v>
      </c>
      <c r="B7">
        <v>5</v>
      </c>
    </row>
    <row r="8" spans="1:2" outlineLevel="1" x14ac:dyDescent="0.25">
      <c r="A8" s="2" t="s">
        <v>66</v>
      </c>
      <c r="B8">
        <f>SUBTOTAL(9,B7:B7)</f>
        <v>5</v>
      </c>
    </row>
    <row r="9" spans="1:2" outlineLevel="2" x14ac:dyDescent="0.25">
      <c r="A9">
        <v>1</v>
      </c>
      <c r="B9">
        <v>6</v>
      </c>
    </row>
    <row r="10" spans="1:2" outlineLevel="1" x14ac:dyDescent="0.25">
      <c r="A10" s="2" t="s">
        <v>52</v>
      </c>
      <c r="B10">
        <f>SUBTOTAL(9,B9:B9)</f>
        <v>6</v>
      </c>
    </row>
    <row r="11" spans="1:2" outlineLevel="2" x14ac:dyDescent="0.25">
      <c r="A11">
        <v>0</v>
      </c>
      <c r="B11">
        <v>7</v>
      </c>
    </row>
    <row r="12" spans="1:2" outlineLevel="1" x14ac:dyDescent="0.25">
      <c r="A12" s="2" t="s">
        <v>67</v>
      </c>
      <c r="B12">
        <f>SUBTOTAL(9,B11:B11)</f>
        <v>7</v>
      </c>
    </row>
    <row r="13" spans="1:2" outlineLevel="1" x14ac:dyDescent="0.25">
      <c r="B13">
        <v>8</v>
      </c>
    </row>
    <row r="14" spans="1:2" outlineLevel="2" x14ac:dyDescent="0.25">
      <c r="A14" t="e">
        <v>#N/A</v>
      </c>
      <c r="B14">
        <v>9</v>
      </c>
    </row>
    <row r="15" spans="1:2" outlineLevel="2" x14ac:dyDescent="0.25">
      <c r="A15" t="e">
        <v>#N/A</v>
      </c>
      <c r="B15">
        <v>10</v>
      </c>
    </row>
    <row r="16" spans="1:2" outlineLevel="1" x14ac:dyDescent="0.25">
      <c r="A16" s="2" t="s">
        <v>68</v>
      </c>
      <c r="B16">
        <f>SUBTOTAL(9,B14:B15)</f>
        <v>19</v>
      </c>
    </row>
    <row r="17" spans="1:2" outlineLevel="2" x14ac:dyDescent="0.25">
      <c r="A17" t="e">
        <f>1/0</f>
        <v>#DIV/0!</v>
      </c>
      <c r="B17">
        <v>11</v>
      </c>
    </row>
    <row r="18" spans="1:2" outlineLevel="2" x14ac:dyDescent="0.25">
      <c r="A18" t="e">
        <f>0/0</f>
        <v>#DIV/0!</v>
      </c>
      <c r="B18">
        <v>12</v>
      </c>
    </row>
    <row r="19" spans="1:2" outlineLevel="1" x14ac:dyDescent="0.25">
      <c r="A19" s="2" t="s">
        <v>69</v>
      </c>
      <c r="B19">
        <f>SUBTOTAL(9,B17:B18)</f>
        <v>23</v>
      </c>
    </row>
    <row r="20" spans="1:2" outlineLevel="2" x14ac:dyDescent="0.25">
      <c r="A20" s="4">
        <v>45293</v>
      </c>
      <c r="B20">
        <v>13</v>
      </c>
    </row>
    <row r="21" spans="1:2" outlineLevel="1" x14ac:dyDescent="0.25">
      <c r="A21" s="5" t="s">
        <v>70</v>
      </c>
      <c r="B21">
        <f>SUBTOTAL(9,B20:B20)</f>
        <v>13</v>
      </c>
    </row>
    <row r="22" spans="1:2" outlineLevel="2" x14ac:dyDescent="0.25">
      <c r="A22">
        <v>45293</v>
      </c>
      <c r="B22">
        <v>14</v>
      </c>
    </row>
    <row r="23" spans="1:2" outlineLevel="1" x14ac:dyDescent="0.25">
      <c r="A23" s="2" t="s">
        <v>71</v>
      </c>
      <c r="B23">
        <f>SUBTOTAL(9,B22:B22)</f>
        <v>14</v>
      </c>
    </row>
    <row r="24" spans="1:2" outlineLevel="2" x14ac:dyDescent="0.25">
      <c r="A24" t="s">
        <v>60</v>
      </c>
      <c r="B24">
        <v>15</v>
      </c>
    </row>
    <row r="25" spans="1:2" outlineLevel="2" x14ac:dyDescent="0.25">
      <c r="A25" t="s">
        <v>3</v>
      </c>
      <c r="B25">
        <v>16</v>
      </c>
    </row>
    <row r="26" spans="1:2" outlineLevel="2" x14ac:dyDescent="0.25">
      <c r="A26" t="s">
        <v>61</v>
      </c>
      <c r="B26">
        <v>17</v>
      </c>
    </row>
    <row r="27" spans="1:2" outlineLevel="2" x14ac:dyDescent="0.25">
      <c r="A27" t="s">
        <v>62</v>
      </c>
      <c r="B27">
        <v>18</v>
      </c>
    </row>
    <row r="28" spans="1:2" outlineLevel="2" x14ac:dyDescent="0.25">
      <c r="A28" t="s">
        <v>3</v>
      </c>
      <c r="B28">
        <v>19</v>
      </c>
    </row>
    <row r="29" spans="1:2" outlineLevel="1" x14ac:dyDescent="0.25">
      <c r="A29" s="2" t="s">
        <v>72</v>
      </c>
      <c r="B29">
        <f>SUBTOTAL(9,B24:B28)</f>
        <v>85</v>
      </c>
    </row>
    <row r="30" spans="1:2" outlineLevel="1" x14ac:dyDescent="0.25">
      <c r="A30" t="str">
        <f>""</f>
        <v/>
      </c>
      <c r="B30">
        <v>20</v>
      </c>
    </row>
    <row r="31" spans="1:2" outlineLevel="1" x14ac:dyDescent="0.25">
      <c r="A31" t="s">
        <v>63</v>
      </c>
      <c r="B31">
        <v>21</v>
      </c>
    </row>
    <row r="32" spans="1:2" outlineLevel="2" x14ac:dyDescent="0.25">
      <c r="A32" t="s">
        <v>64</v>
      </c>
      <c r="B32">
        <v>22</v>
      </c>
    </row>
    <row r="33" spans="1:2" outlineLevel="1" x14ac:dyDescent="0.25">
      <c r="A33" s="2" t="s">
        <v>73</v>
      </c>
      <c r="B33">
        <f>SUBTOTAL(9,B32:B32)</f>
        <v>22</v>
      </c>
    </row>
    <row r="34" spans="1:2" x14ac:dyDescent="0.25">
      <c r="A34" s="2" t="s">
        <v>12</v>
      </c>
      <c r="B34">
        <f>SUBTOTAL(9,B2:B32)</f>
        <v>253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E491-DC6B-4E79-8BCC-DB746DECA4AC}">
  <dimension ref="A1:B16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outlineLevel="2" x14ac:dyDescent="0.25">
      <c r="A2">
        <v>1234567890123</v>
      </c>
      <c r="B2">
        <v>1</v>
      </c>
    </row>
    <row r="3" spans="1:2" outlineLevel="1" x14ac:dyDescent="0.25">
      <c r="A3" s="10" t="s">
        <v>74</v>
      </c>
      <c r="B3">
        <f>SUBTOTAL(9,B2:B2)</f>
        <v>1</v>
      </c>
    </row>
    <row r="4" spans="1:2" outlineLevel="2" x14ac:dyDescent="0.25">
      <c r="A4">
        <v>0.123456789012</v>
      </c>
      <c r="B4">
        <v>2</v>
      </c>
    </row>
    <row r="5" spans="1:2" outlineLevel="1" x14ac:dyDescent="0.25">
      <c r="A5" s="2" t="s">
        <v>75</v>
      </c>
      <c r="B5">
        <f>SUBTOTAL(9,B4:B4)</f>
        <v>2</v>
      </c>
    </row>
    <row r="6" spans="1:2" outlineLevel="2" x14ac:dyDescent="0.25">
      <c r="A6" s="6">
        <v>1E+20</v>
      </c>
      <c r="B6">
        <v>3</v>
      </c>
    </row>
    <row r="7" spans="1:2" outlineLevel="1" x14ac:dyDescent="0.25">
      <c r="A7" s="11" t="s">
        <v>76</v>
      </c>
      <c r="B7">
        <f>SUBTOTAL(9,B6:B6)</f>
        <v>3</v>
      </c>
    </row>
    <row r="8" spans="1:2" outlineLevel="2" x14ac:dyDescent="0.25">
      <c r="A8" s="9">
        <v>3.5</v>
      </c>
      <c r="B8">
        <v>4</v>
      </c>
    </row>
    <row r="9" spans="1:2" outlineLevel="1" x14ac:dyDescent="0.25">
      <c r="A9" s="10" t="s">
        <v>77</v>
      </c>
      <c r="B9">
        <f>SUBTOTAL(9,B8:B8)</f>
        <v>4</v>
      </c>
    </row>
    <row r="10" spans="1:2" outlineLevel="2" x14ac:dyDescent="0.25">
      <c r="A10" s="7">
        <v>7</v>
      </c>
      <c r="B10">
        <v>5</v>
      </c>
    </row>
    <row r="11" spans="1:2" outlineLevel="1" x14ac:dyDescent="0.25">
      <c r="A11" s="12" t="s">
        <v>78</v>
      </c>
      <c r="B11">
        <f>SUBTOTAL(9,B10:B10)</f>
        <v>5</v>
      </c>
    </row>
    <row r="12" spans="1:2" outlineLevel="2" x14ac:dyDescent="0.25">
      <c r="A12" s="8">
        <v>0.5</v>
      </c>
      <c r="B12">
        <v>6</v>
      </c>
    </row>
    <row r="13" spans="1:2" outlineLevel="1" x14ac:dyDescent="0.25">
      <c r="A13" s="13" t="s">
        <v>79</v>
      </c>
      <c r="B13">
        <f>SUBTOTAL(9,B12:B12)</f>
        <v>6</v>
      </c>
    </row>
    <row r="14" spans="1:2" outlineLevel="2" x14ac:dyDescent="0.25">
      <c r="A14">
        <v>-2</v>
      </c>
      <c r="B14">
        <v>7</v>
      </c>
    </row>
    <row r="15" spans="1:2" outlineLevel="1" x14ac:dyDescent="0.25">
      <c r="A15" s="2" t="s">
        <v>80</v>
      </c>
      <c r="B15">
        <f>SUBTOTAL(9,B14:B14)</f>
        <v>7</v>
      </c>
    </row>
    <row r="16" spans="1:2" x14ac:dyDescent="0.25">
      <c r="A16" s="2" t="s">
        <v>12</v>
      </c>
      <c r="B16">
        <f>SUBTOTAL(9,B2:B14)</f>
        <v>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3706-3765-4BEC-B477-C168746D0855}">
  <dimension ref="A1:B9"/>
  <sheetViews>
    <sheetView workbookViewId="0"/>
  </sheetViews>
  <sheetFormatPr defaultRowHeight="15" outlineLevelRow="2" x14ac:dyDescent="0.25"/>
  <cols>
    <col min="1" max="1" width="2.7109375" customWidth="1"/>
  </cols>
  <sheetData>
    <row r="1" spans="1:2" x14ac:dyDescent="0.25">
      <c r="A1" t="s">
        <v>58</v>
      </c>
      <c r="B1" t="s">
        <v>2</v>
      </c>
    </row>
    <row r="2" spans="1:2" outlineLevel="2" x14ac:dyDescent="0.25">
      <c r="A2" s="4">
        <v>45293</v>
      </c>
      <c r="B2">
        <v>1</v>
      </c>
    </row>
    <row r="3" spans="1:2" outlineLevel="2" x14ac:dyDescent="0.25">
      <c r="A3" s="4">
        <v>45293</v>
      </c>
      <c r="B3">
        <v>2</v>
      </c>
    </row>
    <row r="4" spans="1:2" outlineLevel="1" x14ac:dyDescent="0.25">
      <c r="A4" s="14" t="s">
        <v>70</v>
      </c>
      <c r="B4">
        <f>SUBTOTAL(9,B2:B3)</f>
        <v>3</v>
      </c>
    </row>
    <row r="5" spans="1:2" outlineLevel="2" x14ac:dyDescent="0.25">
      <c r="A5">
        <v>123456</v>
      </c>
      <c r="B5">
        <v>3</v>
      </c>
    </row>
    <row r="6" spans="1:2" outlineLevel="1" x14ac:dyDescent="0.25">
      <c r="A6" s="2" t="s">
        <v>82</v>
      </c>
      <c r="B6">
        <f>SUBTOTAL(9,B5:B5)</f>
        <v>3</v>
      </c>
    </row>
    <row r="7" spans="1:2" outlineLevel="2" x14ac:dyDescent="0.25">
      <c r="A7" t="s">
        <v>81</v>
      </c>
      <c r="B7">
        <v>4</v>
      </c>
    </row>
    <row r="8" spans="1:2" outlineLevel="1" x14ac:dyDescent="0.25">
      <c r="A8" s="2" t="s">
        <v>83</v>
      </c>
      <c r="B8">
        <f>SUBTOTAL(9,B7:B7)</f>
        <v>4</v>
      </c>
    </row>
    <row r="9" spans="1:2" x14ac:dyDescent="0.25">
      <c r="A9" s="2" t="s">
        <v>12</v>
      </c>
      <c r="B9">
        <f>SUBTOTAL(9,B2:B7)</f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4FDA-F88C-4CBE-B70F-5411A3DD12F2}">
  <dimension ref="A1:B12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outlineLevel="2" x14ac:dyDescent="0.25">
      <c r="A2" t="s">
        <v>3</v>
      </c>
      <c r="B2">
        <v>1</v>
      </c>
    </row>
    <row r="3" spans="1:2" outlineLevel="2" x14ac:dyDescent="0.25">
      <c r="A3" t="s">
        <v>3</v>
      </c>
      <c r="B3">
        <v>2</v>
      </c>
    </row>
    <row r="4" spans="1:2" outlineLevel="1" x14ac:dyDescent="0.25">
      <c r="A4" s="2" t="s">
        <v>9</v>
      </c>
      <c r="B4">
        <f>SUBTOTAL(9,B2:B3)</f>
        <v>3</v>
      </c>
    </row>
    <row r="5" spans="1:2" outlineLevel="1" x14ac:dyDescent="0.25">
      <c r="B5">
        <v>3</v>
      </c>
    </row>
    <row r="6" spans="1:2" outlineLevel="2" x14ac:dyDescent="0.25">
      <c r="A6" t="s">
        <v>3</v>
      </c>
      <c r="B6">
        <v>4</v>
      </c>
    </row>
    <row r="7" spans="1:2" outlineLevel="1" x14ac:dyDescent="0.25">
      <c r="A7" s="2" t="s">
        <v>9</v>
      </c>
      <c r="B7">
        <f>SUBTOTAL(9,B6:B6)</f>
        <v>4</v>
      </c>
    </row>
    <row r="8" spans="1:2" outlineLevel="1" x14ac:dyDescent="0.25">
      <c r="B8">
        <v>5</v>
      </c>
    </row>
    <row r="9" spans="1:2" outlineLevel="1" x14ac:dyDescent="0.25">
      <c r="B9">
        <v>6</v>
      </c>
    </row>
    <row r="10" spans="1:2" outlineLevel="2" x14ac:dyDescent="0.25">
      <c r="A10" t="s">
        <v>6</v>
      </c>
      <c r="B10">
        <v>7</v>
      </c>
    </row>
    <row r="11" spans="1:2" outlineLevel="1" x14ac:dyDescent="0.25">
      <c r="A11" s="2" t="s">
        <v>10</v>
      </c>
      <c r="B11">
        <f>SUBTOTAL(9,B10:B10)</f>
        <v>7</v>
      </c>
    </row>
    <row r="12" spans="1:2" x14ac:dyDescent="0.25">
      <c r="A12" s="2" t="s">
        <v>12</v>
      </c>
      <c r="B12">
        <f>SUBTOTAL(9,B2:B10)</f>
        <v>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B349-D8F5-44EF-B5C7-1050D6EB4917}">
  <dimension ref="A1:B6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outlineLevel="1" x14ac:dyDescent="0.25">
      <c r="B2">
        <v>1</v>
      </c>
    </row>
    <row r="3" spans="1:2" outlineLevel="1" x14ac:dyDescent="0.25">
      <c r="B3">
        <v>2</v>
      </c>
    </row>
    <row r="4" spans="1:2" outlineLevel="2" x14ac:dyDescent="0.25">
      <c r="A4" t="s">
        <v>3</v>
      </c>
      <c r="B4">
        <v>3</v>
      </c>
    </row>
    <row r="5" spans="1:2" outlineLevel="1" x14ac:dyDescent="0.25">
      <c r="A5" s="2" t="s">
        <v>9</v>
      </c>
      <c r="B5">
        <f>SUBTOTAL(9,B4:B4)</f>
        <v>3</v>
      </c>
    </row>
    <row r="6" spans="1:2" x14ac:dyDescent="0.25">
      <c r="A6" s="2" t="s">
        <v>12</v>
      </c>
      <c r="B6">
        <f>SUBTOTAL(9,B2:B4)</f>
        <v>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7555-BB37-48C0-AFA3-D32AD08E6386}">
  <dimension ref="A1:B4"/>
  <sheetViews>
    <sheetView workbookViewId="0"/>
  </sheetViews>
  <sheetFormatPr defaultRowHeight="15" outlineLevelRow="1" x14ac:dyDescent="0.25"/>
  <sheetData>
    <row r="1" spans="1:2" x14ac:dyDescent="0.25">
      <c r="A1" t="s">
        <v>58</v>
      </c>
      <c r="B1" t="s">
        <v>2</v>
      </c>
    </row>
    <row r="2" spans="1:2" outlineLevel="1" x14ac:dyDescent="0.25">
      <c r="B2">
        <v>1</v>
      </c>
    </row>
    <row r="3" spans="1:2" outlineLevel="1" x14ac:dyDescent="0.25">
      <c r="B3">
        <v>2</v>
      </c>
    </row>
    <row r="4" spans="1:2" outlineLevel="1" x14ac:dyDescent="0.25">
      <c r="A4" s="2" t="s">
        <v>12</v>
      </c>
      <c r="B4">
        <f>SUBTOTAL(9,B2:B3)</f>
        <v>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6F56-A5D4-4D90-808B-B7CA70F295BB}">
  <dimension ref="A1:B7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outlineLevel="2" x14ac:dyDescent="0.25">
      <c r="A2" t="str">
        <f>"A"&amp;"B"</f>
        <v>AB</v>
      </c>
      <c r="B2">
        <v>1</v>
      </c>
    </row>
    <row r="3" spans="1:2" outlineLevel="2" x14ac:dyDescent="0.25">
      <c r="A3" t="s">
        <v>84</v>
      </c>
      <c r="B3">
        <v>2</v>
      </c>
    </row>
    <row r="4" spans="1:2" outlineLevel="2" x14ac:dyDescent="0.25">
      <c r="A4" t="str">
        <f>UPPER("ab")</f>
        <v>AB</v>
      </c>
      <c r="B4">
        <v>3</v>
      </c>
    </row>
    <row r="5" spans="1:2" outlineLevel="2" x14ac:dyDescent="0.25">
      <c r="A5" t="s">
        <v>85</v>
      </c>
      <c r="B5">
        <v>4</v>
      </c>
    </row>
    <row r="6" spans="1:2" outlineLevel="1" x14ac:dyDescent="0.25">
      <c r="A6" s="2" t="s">
        <v>86</v>
      </c>
      <c r="B6">
        <f>SUBTOTAL(9,B2:B5)</f>
        <v>10</v>
      </c>
    </row>
    <row r="7" spans="1:2" x14ac:dyDescent="0.25">
      <c r="A7" s="2" t="s">
        <v>12</v>
      </c>
      <c r="B7">
        <f>SUBTOTAL(9,B2:B5)</f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010D-E7E3-4880-ACC2-5627D186F195}">
  <dimension ref="A1:B8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outlineLevel="2" x14ac:dyDescent="0.25">
      <c r="A2" s="4">
        <v>45293</v>
      </c>
      <c r="B2">
        <v>1</v>
      </c>
    </row>
    <row r="3" spans="1:2" outlineLevel="1" x14ac:dyDescent="0.25">
      <c r="A3" s="5" t="s">
        <v>70</v>
      </c>
      <c r="B3">
        <f>SUBTOTAL(9,B2:B2)</f>
        <v>1</v>
      </c>
    </row>
    <row r="4" spans="1:2" outlineLevel="2" x14ac:dyDescent="0.25">
      <c r="A4" s="15">
        <v>45293.5</v>
      </c>
      <c r="B4">
        <v>2</v>
      </c>
    </row>
    <row r="5" spans="1:2" outlineLevel="1" x14ac:dyDescent="0.25">
      <c r="A5" s="17" t="s">
        <v>87</v>
      </c>
      <c r="B5">
        <f>SUBTOTAL(9,B4:B4)</f>
        <v>2</v>
      </c>
    </row>
    <row r="6" spans="1:2" outlineLevel="2" x14ac:dyDescent="0.25">
      <c r="A6" s="16">
        <v>45294</v>
      </c>
      <c r="B6">
        <v>3</v>
      </c>
    </row>
    <row r="7" spans="1:2" outlineLevel="1" x14ac:dyDescent="0.25">
      <c r="A7" s="18" t="s">
        <v>88</v>
      </c>
      <c r="B7">
        <f>SUBTOTAL(9,B6:B6)</f>
        <v>3</v>
      </c>
    </row>
    <row r="8" spans="1:2" x14ac:dyDescent="0.25">
      <c r="A8" s="18" t="s">
        <v>12</v>
      </c>
      <c r="B8">
        <f>SUBTOTAL(9,B2:B6)</f>
        <v>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F4D8-74DE-4CC3-9461-1CB3DFB8B1B6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8578-F2CF-41DC-874D-ADCB40ED49C7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B4">
        <f>SUBTOTAL(9,B2:B3)</f>
        <v>0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B7">
        <f>SUBTOTAL(9,B5:B6)</f>
        <v>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B9">
        <f>SUBTOTAL(9,B8:B8)</f>
        <v>0</v>
      </c>
      <c r="C9">
        <f>SUBTOTAL(9,C8:C8)</f>
        <v>5</v>
      </c>
    </row>
    <row r="10" spans="1:3" x14ac:dyDescent="0.25">
      <c r="A10" s="2" t="s">
        <v>12</v>
      </c>
      <c r="B10">
        <f>SUBTOTAL(9,B2:B8)</f>
        <v>0</v>
      </c>
      <c r="C10">
        <f>SUBTOTAL(9,C2:C8)</f>
        <v>105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13BD-E702-4D72-BBF2-49DBBBE41AFF}">
  <dimension ref="A1:D10"/>
  <sheetViews>
    <sheetView workbookViewId="0"/>
  </sheetViews>
  <sheetFormatPr defaultRowHeight="15" outlineLevelRow="2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outlineLevel="2" x14ac:dyDescent="0.25">
      <c r="B2" t="s">
        <v>3</v>
      </c>
      <c r="C2" t="s">
        <v>4</v>
      </c>
      <c r="D2">
        <v>10</v>
      </c>
    </row>
    <row r="3" spans="1:4" outlineLevel="2" x14ac:dyDescent="0.25">
      <c r="B3" t="s">
        <v>3</v>
      </c>
      <c r="C3" t="s">
        <v>5</v>
      </c>
      <c r="D3">
        <v>20</v>
      </c>
    </row>
    <row r="4" spans="1:4" outlineLevel="1" x14ac:dyDescent="0.25">
      <c r="A4" s="2" t="s">
        <v>9</v>
      </c>
      <c r="B4">
        <f>SUBTOTAL(9,B2:B3)</f>
        <v>0</v>
      </c>
      <c r="D4">
        <f>SUBTOTAL(9,D2:D3)</f>
        <v>30</v>
      </c>
    </row>
    <row r="5" spans="1:4" outlineLevel="2" x14ac:dyDescent="0.25">
      <c r="B5" t="s">
        <v>6</v>
      </c>
      <c r="C5" t="s">
        <v>4</v>
      </c>
      <c r="D5">
        <v>30</v>
      </c>
    </row>
    <row r="6" spans="1:4" outlineLevel="2" x14ac:dyDescent="0.25">
      <c r="B6" t="s">
        <v>6</v>
      </c>
      <c r="C6" t="s">
        <v>7</v>
      </c>
      <c r="D6">
        <v>40</v>
      </c>
    </row>
    <row r="7" spans="1:4" outlineLevel="1" x14ac:dyDescent="0.25">
      <c r="A7" s="2" t="s">
        <v>10</v>
      </c>
      <c r="B7">
        <f>SUBTOTAL(9,B5:B6)</f>
        <v>0</v>
      </c>
      <c r="D7">
        <f>SUBTOTAL(9,D5:D6)</f>
        <v>70</v>
      </c>
    </row>
    <row r="8" spans="1:4" outlineLevel="2" x14ac:dyDescent="0.25">
      <c r="B8" t="s">
        <v>8</v>
      </c>
      <c r="C8" t="s">
        <v>4</v>
      </c>
      <c r="D8">
        <v>5</v>
      </c>
    </row>
    <row r="9" spans="1:4" outlineLevel="1" x14ac:dyDescent="0.25">
      <c r="A9" s="2" t="s">
        <v>11</v>
      </c>
      <c r="B9">
        <f>SUBTOTAL(9,B8:B8)</f>
        <v>0</v>
      </c>
      <c r="D9">
        <f>SUBTOTAL(9,D8:D8)</f>
        <v>5</v>
      </c>
    </row>
    <row r="10" spans="1:4" x14ac:dyDescent="0.25">
      <c r="A10" s="2" t="s">
        <v>12</v>
      </c>
      <c r="B10">
        <f>SUBTOTAL(9,B2:B8)</f>
        <v>0</v>
      </c>
      <c r="D10">
        <f>SUBTOTAL(9,D2:D8)</f>
        <v>105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B56B-C4B4-4927-BA4F-EF8B6A7FEA86}">
  <dimension ref="A1:D10"/>
  <sheetViews>
    <sheetView workbookViewId="0"/>
  </sheetViews>
  <sheetFormatPr defaultRowHeight="15" outlineLevelRow="2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outlineLevel="2" x14ac:dyDescent="0.25">
      <c r="B2" t="s">
        <v>3</v>
      </c>
      <c r="C2" t="s">
        <v>4</v>
      </c>
      <c r="D2">
        <v>10</v>
      </c>
    </row>
    <row r="3" spans="1:4" outlineLevel="2" x14ac:dyDescent="0.25">
      <c r="B3" t="s">
        <v>3</v>
      </c>
      <c r="C3" t="s">
        <v>5</v>
      </c>
      <c r="D3">
        <v>20</v>
      </c>
    </row>
    <row r="4" spans="1:4" outlineLevel="1" x14ac:dyDescent="0.25">
      <c r="A4" s="2" t="s">
        <v>9</v>
      </c>
      <c r="B4">
        <f>SUBTOTAL(9,B2:B3)</f>
        <v>0</v>
      </c>
    </row>
    <row r="5" spans="1:4" outlineLevel="2" x14ac:dyDescent="0.25">
      <c r="B5" t="s">
        <v>6</v>
      </c>
      <c r="C5" t="s">
        <v>4</v>
      </c>
      <c r="D5">
        <v>30</v>
      </c>
    </row>
    <row r="6" spans="1:4" outlineLevel="2" x14ac:dyDescent="0.25">
      <c r="B6" t="s">
        <v>6</v>
      </c>
      <c r="C6" t="s">
        <v>7</v>
      </c>
      <c r="D6">
        <v>40</v>
      </c>
    </row>
    <row r="7" spans="1:4" outlineLevel="1" x14ac:dyDescent="0.25">
      <c r="A7" s="2" t="s">
        <v>10</v>
      </c>
      <c r="B7">
        <f>SUBTOTAL(9,B5:B6)</f>
        <v>0</v>
      </c>
    </row>
    <row r="8" spans="1:4" outlineLevel="2" x14ac:dyDescent="0.25">
      <c r="B8" t="s">
        <v>8</v>
      </c>
      <c r="C8" t="s">
        <v>4</v>
      </c>
      <c r="D8">
        <v>5</v>
      </c>
    </row>
    <row r="9" spans="1:4" outlineLevel="1" x14ac:dyDescent="0.25">
      <c r="A9" s="2" t="s">
        <v>11</v>
      </c>
      <c r="B9">
        <f>SUBTOTAL(9,B8:B8)</f>
        <v>0</v>
      </c>
    </row>
    <row r="10" spans="1:4" x14ac:dyDescent="0.25">
      <c r="A10" s="2" t="s">
        <v>12</v>
      </c>
      <c r="B10">
        <f>SUBTOTAL(9,B2:B8)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15FA-68F1-44A9-8D04-A80FEDC1DBF1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DA3C-2E86-4B70-8E6D-6EA7D6168479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B4">
        <f>SUBTOTAL(9,B2:B3)</f>
        <v>0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B7">
        <f>SUBTOTAL(9,B5:B6)</f>
        <v>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B9">
        <f>SUBTOTAL(9,B8:B8)</f>
        <v>0</v>
      </c>
      <c r="C9">
        <f>SUBTOTAL(9,C8:C8)</f>
        <v>5</v>
      </c>
    </row>
    <row r="10" spans="1:3" x14ac:dyDescent="0.25">
      <c r="A10" s="2" t="s">
        <v>12</v>
      </c>
      <c r="B10">
        <f>SUBTOTAL(9,B2:B8)</f>
        <v>0</v>
      </c>
      <c r="C10">
        <f>SUBTOTAL(9,C2:C8)</f>
        <v>105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0ADD-8FCB-4B30-82B1-DA2634F11B7F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DA24-A7F7-49CB-B9D1-92AC524E5EB7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C080-30FB-4C53-936D-77AD31AD2DAC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6E90-DB3A-42F4-B7FC-81E1A41E960E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8E43-6A5B-4C5E-BE04-C861EA2FAB50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13</v>
      </c>
      <c r="B4">
        <f>SUBTOTAL(3,B2:B3)</f>
        <v>2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14</v>
      </c>
      <c r="B7">
        <f>SUBTOTAL(3,B5:B6)</f>
        <v>2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15</v>
      </c>
      <c r="B9">
        <f>SUBTOTAL(3,B8:B8)</f>
        <v>1</v>
      </c>
    </row>
    <row r="10" spans="1:3" x14ac:dyDescent="0.25">
      <c r="A10" s="2" t="s">
        <v>16</v>
      </c>
      <c r="B10">
        <f>SUBTOTAL(3,B2:B8)</f>
        <v>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FEF6-8B48-4F88-9AC2-8CC87CC8D7C5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7CFB-4FF9-4BD6-8702-C3797968B28A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F912-FA93-412D-B66D-6C81C6080116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09F8-1AAC-4435-AF79-5E17F5183A65}">
  <dimension ref="A1:C12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1" x14ac:dyDescent="0.25">
      <c r="A3">
        <f>SUBTOTAL(3,A2:A2)</f>
        <v>1</v>
      </c>
      <c r="C3" s="2" t="s">
        <v>89</v>
      </c>
    </row>
    <row r="4" spans="1:3" outlineLevel="2" x14ac:dyDescent="0.25">
      <c r="A4" t="s">
        <v>3</v>
      </c>
      <c r="B4" t="s">
        <v>5</v>
      </c>
      <c r="C4">
        <v>20</v>
      </c>
    </row>
    <row r="5" spans="1:3" outlineLevel="1" x14ac:dyDescent="0.25">
      <c r="A5">
        <f>SUBTOTAL(3,A4:A4)</f>
        <v>1</v>
      </c>
      <c r="C5" s="2" t="s">
        <v>90</v>
      </c>
    </row>
    <row r="6" spans="1:3" outlineLevel="2" x14ac:dyDescent="0.25">
      <c r="A6" t="s">
        <v>6</v>
      </c>
      <c r="B6" t="s">
        <v>4</v>
      </c>
      <c r="C6">
        <v>30</v>
      </c>
    </row>
    <row r="7" spans="1:3" outlineLevel="1" x14ac:dyDescent="0.25">
      <c r="A7">
        <f>SUBTOTAL(3,A6:A6)</f>
        <v>1</v>
      </c>
      <c r="C7" s="2" t="s">
        <v>91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>
        <f>SUBTOTAL(3,A8:A8)</f>
        <v>1</v>
      </c>
      <c r="C9" s="2" t="s">
        <v>92</v>
      </c>
    </row>
    <row r="10" spans="1:3" outlineLevel="2" x14ac:dyDescent="0.25">
      <c r="A10" t="s">
        <v>8</v>
      </c>
      <c r="B10" t="s">
        <v>4</v>
      </c>
      <c r="C10">
        <v>5</v>
      </c>
    </row>
    <row r="11" spans="1:3" outlineLevel="1" x14ac:dyDescent="0.25">
      <c r="A11">
        <f>SUBTOTAL(3,A10:A10)</f>
        <v>1</v>
      </c>
      <c r="C11" s="2" t="s">
        <v>93</v>
      </c>
    </row>
    <row r="12" spans="1:3" x14ac:dyDescent="0.25">
      <c r="A12">
        <f>SUBTOTAL(3,A2:A10)</f>
        <v>5</v>
      </c>
      <c r="C12" s="2" t="s">
        <v>16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0755-CDEA-404F-B13E-B1CF7CF3D2F7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4F08-8FED-4FB4-895E-3A6AE7B90419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00D9-B141-4FA1-9AF3-CFC45C6279D6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3DFB-CFCB-4B26-AB2B-8C0D4B351D45}"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2" x14ac:dyDescent="0.25">
      <c r="B4" s="2" t="s">
        <v>49</v>
      </c>
      <c r="C4">
        <f>SUBTOTAL(9,C2:C3)</f>
        <v>30</v>
      </c>
    </row>
    <row r="5" spans="1:3" outlineLevel="3" x14ac:dyDescent="0.25">
      <c r="A5" t="s">
        <v>3</v>
      </c>
      <c r="B5" t="s">
        <v>5</v>
      </c>
      <c r="C5">
        <v>5</v>
      </c>
    </row>
    <row r="6" spans="1:3" outlineLevel="2" x14ac:dyDescent="0.25">
      <c r="B6" s="2" t="s">
        <v>50</v>
      </c>
      <c r="C6">
        <f>SUBTOTAL(9,C5:C5)</f>
        <v>5</v>
      </c>
    </row>
    <row r="7" spans="1:3" outlineLevel="1" x14ac:dyDescent="0.25">
      <c r="A7" s="2" t="s">
        <v>9</v>
      </c>
      <c r="C7">
        <f>SUBTOTAL(9,C2:C5)</f>
        <v>35</v>
      </c>
    </row>
    <row r="8" spans="1:3" outlineLevel="3" x14ac:dyDescent="0.25">
      <c r="A8" t="s">
        <v>6</v>
      </c>
      <c r="B8" t="s">
        <v>4</v>
      </c>
      <c r="C8">
        <v>30</v>
      </c>
    </row>
    <row r="9" spans="1:3" outlineLevel="2" x14ac:dyDescent="0.25">
      <c r="B9" s="2" t="s">
        <v>49</v>
      </c>
      <c r="C9">
        <f>SUBTOTAL(9,C8:C8)</f>
        <v>30</v>
      </c>
    </row>
    <row r="10" spans="1:3" outlineLevel="3" x14ac:dyDescent="0.25">
      <c r="A10" t="s">
        <v>6</v>
      </c>
      <c r="B10" t="s">
        <v>7</v>
      </c>
      <c r="C10">
        <v>40</v>
      </c>
    </row>
    <row r="11" spans="1:3" outlineLevel="2" x14ac:dyDescent="0.25">
      <c r="B11" s="2" t="s">
        <v>51</v>
      </c>
      <c r="C11">
        <f>SUBTOTAL(9,C10:C10)</f>
        <v>40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 t="s">
        <v>12</v>
      </c>
      <c r="C13">
        <f>SUBTOTAL(9,C2:C10)</f>
        <v>105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66CC-49A3-4145-AB93-44D3996607E3}">
  <dimension ref="A1:C14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2" x14ac:dyDescent="0.25">
      <c r="B4" s="2" t="s">
        <v>94</v>
      </c>
      <c r="C4">
        <f>SUBTOTAL(3,C2:C3)</f>
        <v>2</v>
      </c>
    </row>
    <row r="5" spans="1:3" outlineLevel="3" x14ac:dyDescent="0.25">
      <c r="A5" t="s">
        <v>3</v>
      </c>
      <c r="B5" t="s">
        <v>5</v>
      </c>
      <c r="C5">
        <v>5</v>
      </c>
    </row>
    <row r="6" spans="1:3" outlineLevel="2" x14ac:dyDescent="0.25">
      <c r="B6" s="2" t="s">
        <v>95</v>
      </c>
      <c r="C6">
        <f>SUBTOTAL(3,C5:C5)</f>
        <v>1</v>
      </c>
    </row>
    <row r="7" spans="1:3" outlineLevel="1" x14ac:dyDescent="0.25">
      <c r="A7" s="2" t="s">
        <v>9</v>
      </c>
      <c r="C7">
        <f>SUBTOTAL(9,C2:C5)</f>
        <v>35</v>
      </c>
    </row>
    <row r="8" spans="1:3" outlineLevel="3" x14ac:dyDescent="0.25">
      <c r="A8" t="s">
        <v>6</v>
      </c>
      <c r="B8" t="s">
        <v>4</v>
      </c>
      <c r="C8">
        <v>30</v>
      </c>
    </row>
    <row r="9" spans="1:3" outlineLevel="2" x14ac:dyDescent="0.25">
      <c r="B9" s="2" t="s">
        <v>94</v>
      </c>
      <c r="C9">
        <f>SUBTOTAL(3,C8:C8)</f>
        <v>1</v>
      </c>
    </row>
    <row r="10" spans="1:3" outlineLevel="3" x14ac:dyDescent="0.25">
      <c r="A10" t="s">
        <v>6</v>
      </c>
      <c r="B10" t="s">
        <v>7</v>
      </c>
      <c r="C10">
        <v>40</v>
      </c>
    </row>
    <row r="11" spans="1:3" outlineLevel="2" x14ac:dyDescent="0.25">
      <c r="B11" s="2" t="s">
        <v>96</v>
      </c>
      <c r="C11">
        <f>SUBTOTAL(3,C10:C10)</f>
        <v>1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/>
      <c r="B13" s="2" t="s">
        <v>16</v>
      </c>
      <c r="C13">
        <f>SUBTOTAL(3,C2:C10)</f>
        <v>5</v>
      </c>
    </row>
    <row r="14" spans="1:3" x14ac:dyDescent="0.25">
      <c r="A14" s="2" t="s">
        <v>12</v>
      </c>
      <c r="C14">
        <f>SUBTOTAL(9,C2:C10)</f>
        <v>105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C460-9B55-4FBF-9EEB-7235D0C2FCFD}">
  <dimension ref="A1:C12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3" x14ac:dyDescent="0.25">
      <c r="A4" t="s">
        <v>3</v>
      </c>
      <c r="B4" t="s">
        <v>5</v>
      </c>
      <c r="C4">
        <v>5</v>
      </c>
    </row>
    <row r="5" spans="1:3" outlineLevel="2" x14ac:dyDescent="0.25">
      <c r="A5" s="2" t="s">
        <v>17</v>
      </c>
      <c r="C5">
        <f>SUBTOTAL(1,C2:C4)</f>
        <v>11.666666666666666</v>
      </c>
    </row>
    <row r="6" spans="1:3" outlineLevel="1" x14ac:dyDescent="0.25">
      <c r="A6" s="2" t="s">
        <v>9</v>
      </c>
      <c r="C6">
        <f>SUBTOTAL(9,C2:C4)</f>
        <v>35</v>
      </c>
    </row>
    <row r="7" spans="1:3" outlineLevel="3" x14ac:dyDescent="0.25">
      <c r="A7" t="s">
        <v>6</v>
      </c>
      <c r="B7" t="s">
        <v>4</v>
      </c>
      <c r="C7">
        <v>30</v>
      </c>
    </row>
    <row r="8" spans="1:3" outlineLevel="3" x14ac:dyDescent="0.25">
      <c r="A8" t="s">
        <v>6</v>
      </c>
      <c r="B8" t="s">
        <v>7</v>
      </c>
      <c r="C8">
        <v>40</v>
      </c>
    </row>
    <row r="9" spans="1:3" outlineLevel="2" x14ac:dyDescent="0.25">
      <c r="A9" s="2" t="s">
        <v>18</v>
      </c>
      <c r="C9">
        <f>SUBTOTAL(1,C7:C8)</f>
        <v>35</v>
      </c>
    </row>
    <row r="10" spans="1:3" outlineLevel="1" x14ac:dyDescent="0.25">
      <c r="A10" s="2" t="s">
        <v>10</v>
      </c>
      <c r="C10">
        <f>SUBTOTAL(9,C7:C8)</f>
        <v>70</v>
      </c>
    </row>
    <row r="11" spans="1:3" x14ac:dyDescent="0.25">
      <c r="A11" s="2" t="s">
        <v>20</v>
      </c>
      <c r="C11">
        <f>SUBTOTAL(1,C2:C8)</f>
        <v>21</v>
      </c>
    </row>
    <row r="12" spans="1:3" x14ac:dyDescent="0.25">
      <c r="A12" s="2" t="s">
        <v>12</v>
      </c>
      <c r="C12">
        <f>SUBTOTAL(9,C2:C8)</f>
        <v>105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DEF6-DC81-4930-887C-0E79CE819E58}">
  <sheetPr>
    <outlinePr summaryBelow="0"/>
  </sheetPr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SUBTOTAL(9,C5:C13)</f>
        <v>105</v>
      </c>
    </row>
    <row r="3" spans="1:3" outlineLevel="1" x14ac:dyDescent="0.25">
      <c r="A3" s="2" t="s">
        <v>9</v>
      </c>
      <c r="C3">
        <f>SUBTOTAL(9,C5:C8)</f>
        <v>35</v>
      </c>
    </row>
    <row r="4" spans="1:3" outlineLevel="2" x14ac:dyDescent="0.25">
      <c r="B4" s="2" t="s">
        <v>49</v>
      </c>
      <c r="C4">
        <f>SUBTOTAL(9,C5:C6)</f>
        <v>30</v>
      </c>
    </row>
    <row r="5" spans="1:3" outlineLevel="3" x14ac:dyDescent="0.25">
      <c r="A5" t="s">
        <v>3</v>
      </c>
      <c r="B5" t="s">
        <v>4</v>
      </c>
      <c r="C5">
        <v>10</v>
      </c>
    </row>
    <row r="6" spans="1:3" outlineLevel="3" x14ac:dyDescent="0.25">
      <c r="A6" t="s">
        <v>3</v>
      </c>
      <c r="B6" t="s">
        <v>4</v>
      </c>
      <c r="C6">
        <v>20</v>
      </c>
    </row>
    <row r="7" spans="1:3" outlineLevel="2" x14ac:dyDescent="0.25">
      <c r="B7" s="2" t="s">
        <v>50</v>
      </c>
      <c r="C7">
        <f>SUBTOTAL(9,C8:C8)</f>
        <v>5</v>
      </c>
    </row>
    <row r="8" spans="1:3" outlineLevel="3" x14ac:dyDescent="0.25">
      <c r="A8" t="s">
        <v>3</v>
      </c>
      <c r="B8" t="s">
        <v>5</v>
      </c>
      <c r="C8">
        <v>5</v>
      </c>
    </row>
    <row r="9" spans="1:3" outlineLevel="1" x14ac:dyDescent="0.25">
      <c r="A9" s="2" t="s">
        <v>10</v>
      </c>
      <c r="C9">
        <f>SUBTOTAL(9,C11:C13)</f>
        <v>70</v>
      </c>
    </row>
    <row r="10" spans="1:3" outlineLevel="2" x14ac:dyDescent="0.25">
      <c r="B10" s="2" t="s">
        <v>49</v>
      </c>
      <c r="C10">
        <f>SUBTOTAL(9,C11:C11)</f>
        <v>30</v>
      </c>
    </row>
    <row r="11" spans="1:3" outlineLevel="3" x14ac:dyDescent="0.25">
      <c r="A11" t="s">
        <v>6</v>
      </c>
      <c r="B11" t="s">
        <v>4</v>
      </c>
      <c r="C11">
        <v>30</v>
      </c>
    </row>
    <row r="12" spans="1:3" outlineLevel="2" x14ac:dyDescent="0.25">
      <c r="B12" s="2" t="s">
        <v>51</v>
      </c>
      <c r="C12">
        <f>SUBTOTAL(9,C13:C13)</f>
        <v>40</v>
      </c>
    </row>
    <row r="13" spans="1:3" outlineLevel="3" x14ac:dyDescent="0.25">
      <c r="A13" t="s">
        <v>6</v>
      </c>
      <c r="B13" t="s">
        <v>7</v>
      </c>
      <c r="C13">
        <v>40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F257-E34A-4C24-9A1C-77A2E863E779}"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2" x14ac:dyDescent="0.25">
      <c r="B4" s="2" t="s">
        <v>49</v>
      </c>
      <c r="C4">
        <f>SUBTOTAL(9,C2:C3)</f>
        <v>30</v>
      </c>
    </row>
    <row r="5" spans="1:3" outlineLevel="3" x14ac:dyDescent="0.25">
      <c r="A5" t="s">
        <v>3</v>
      </c>
      <c r="B5" t="s">
        <v>5</v>
      </c>
      <c r="C5">
        <v>5</v>
      </c>
    </row>
    <row r="6" spans="1:3" outlineLevel="2" x14ac:dyDescent="0.25">
      <c r="B6" s="2" t="s">
        <v>50</v>
      </c>
      <c r="C6">
        <f>SUBTOTAL(9,C5:C5)</f>
        <v>5</v>
      </c>
    </row>
    <row r="7" spans="1:3" outlineLevel="1" x14ac:dyDescent="0.25">
      <c r="A7" s="2" t="s">
        <v>9</v>
      </c>
      <c r="C7">
        <f>SUBTOTAL(9,C2:C5)</f>
        <v>35</v>
      </c>
    </row>
    <row r="8" spans="1:3" outlineLevel="3" x14ac:dyDescent="0.25">
      <c r="A8" t="s">
        <v>6</v>
      </c>
      <c r="B8" t="s">
        <v>4</v>
      </c>
      <c r="C8">
        <v>30</v>
      </c>
    </row>
    <row r="9" spans="1:3" outlineLevel="2" x14ac:dyDescent="0.25">
      <c r="B9" s="2" t="s">
        <v>49</v>
      </c>
      <c r="C9">
        <f>SUBTOTAL(9,C8:C8)</f>
        <v>30</v>
      </c>
    </row>
    <row r="10" spans="1:3" outlineLevel="3" x14ac:dyDescent="0.25">
      <c r="A10" t="s">
        <v>6</v>
      </c>
      <c r="B10" t="s">
        <v>7</v>
      </c>
      <c r="C10">
        <v>40</v>
      </c>
    </row>
    <row r="11" spans="1:3" outlineLevel="2" x14ac:dyDescent="0.25">
      <c r="B11" s="2" t="s">
        <v>51</v>
      </c>
      <c r="C11">
        <f>SUBTOTAL(9,C10:C10)</f>
        <v>40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 t="s">
        <v>12</v>
      </c>
      <c r="C13">
        <f>SUBTOTAL(9,C2:C10)</f>
        <v>105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9AEF-D739-4B7F-BF54-B3807D431FC1}">
  <dimension ref="A1:D18"/>
  <sheetViews>
    <sheetView workbookViewId="0"/>
  </sheetViews>
  <sheetFormatPr defaultRowHeight="15" outlineLevelRow="4" x14ac:dyDescent="0.25"/>
  <sheetData>
    <row r="1" spans="1:4" x14ac:dyDescent="0.25">
      <c r="A1" t="s">
        <v>4</v>
      </c>
      <c r="B1" t="s">
        <v>5</v>
      </c>
      <c r="C1" t="s">
        <v>7</v>
      </c>
      <c r="D1" t="s">
        <v>97</v>
      </c>
    </row>
    <row r="2" spans="1:4" outlineLevel="4" x14ac:dyDescent="0.25">
      <c r="A2" t="s">
        <v>64</v>
      </c>
      <c r="B2" t="s">
        <v>98</v>
      </c>
      <c r="C2">
        <v>1</v>
      </c>
      <c r="D2">
        <v>1</v>
      </c>
    </row>
    <row r="3" spans="1:4" outlineLevel="4" x14ac:dyDescent="0.25">
      <c r="A3" t="s">
        <v>64</v>
      </c>
      <c r="B3" t="s">
        <v>98</v>
      </c>
      <c r="C3">
        <v>1</v>
      </c>
      <c r="D3">
        <v>2</v>
      </c>
    </row>
    <row r="4" spans="1:4" outlineLevel="3" x14ac:dyDescent="0.25">
      <c r="C4" s="2" t="s">
        <v>52</v>
      </c>
      <c r="D4">
        <f>SUBTOTAL(9,D2:D3)</f>
        <v>3</v>
      </c>
    </row>
    <row r="5" spans="1:4" outlineLevel="4" x14ac:dyDescent="0.25">
      <c r="A5" t="s">
        <v>64</v>
      </c>
      <c r="B5" t="s">
        <v>98</v>
      </c>
      <c r="C5">
        <v>2</v>
      </c>
      <c r="D5">
        <v>3</v>
      </c>
    </row>
    <row r="6" spans="1:4" outlineLevel="3" x14ac:dyDescent="0.25">
      <c r="C6" s="2" t="s">
        <v>53</v>
      </c>
      <c r="D6">
        <f>SUBTOTAL(9,D5:D5)</f>
        <v>3</v>
      </c>
    </row>
    <row r="7" spans="1:4" outlineLevel="2" x14ac:dyDescent="0.25">
      <c r="B7" s="2" t="s">
        <v>102</v>
      </c>
      <c r="D7">
        <f>SUBTOTAL(9,D2:D5)</f>
        <v>6</v>
      </c>
    </row>
    <row r="8" spans="1:4" outlineLevel="4" x14ac:dyDescent="0.25">
      <c r="A8" t="s">
        <v>64</v>
      </c>
      <c r="B8" t="s">
        <v>99</v>
      </c>
      <c r="C8">
        <v>1</v>
      </c>
      <c r="D8">
        <v>4</v>
      </c>
    </row>
    <row r="9" spans="1:4" outlineLevel="3" x14ac:dyDescent="0.25">
      <c r="C9" s="2" t="s">
        <v>52</v>
      </c>
      <c r="D9">
        <f>SUBTOTAL(9,D8:D8)</f>
        <v>4</v>
      </c>
    </row>
    <row r="10" spans="1:4" outlineLevel="2" x14ac:dyDescent="0.25">
      <c r="B10" s="2" t="s">
        <v>103</v>
      </c>
      <c r="D10">
        <f>SUBTOTAL(9,D8:D8)</f>
        <v>4</v>
      </c>
    </row>
    <row r="11" spans="1:4" outlineLevel="1" x14ac:dyDescent="0.25">
      <c r="A11" s="2" t="s">
        <v>73</v>
      </c>
      <c r="D11">
        <f>SUBTOTAL(9,D2:D8)</f>
        <v>10</v>
      </c>
    </row>
    <row r="12" spans="1:4" outlineLevel="4" x14ac:dyDescent="0.25">
      <c r="A12" t="s">
        <v>100</v>
      </c>
      <c r="B12" t="s">
        <v>98</v>
      </c>
      <c r="C12">
        <v>1</v>
      </c>
      <c r="D12">
        <v>5</v>
      </c>
    </row>
    <row r="13" spans="1:4" outlineLevel="3" x14ac:dyDescent="0.25">
      <c r="C13" s="2" t="s">
        <v>52</v>
      </c>
      <c r="D13">
        <f>SUBTOTAL(9,D12:D12)</f>
        <v>5</v>
      </c>
    </row>
    <row r="14" spans="1:4" outlineLevel="4" x14ac:dyDescent="0.25">
      <c r="A14" t="s">
        <v>100</v>
      </c>
      <c r="B14" t="s">
        <v>98</v>
      </c>
      <c r="C14">
        <v>2</v>
      </c>
      <c r="D14">
        <v>6</v>
      </c>
    </row>
    <row r="15" spans="1:4" outlineLevel="3" x14ac:dyDescent="0.25">
      <c r="C15" s="2" t="s">
        <v>53</v>
      </c>
      <c r="D15">
        <f>SUBTOTAL(9,D14:D14)</f>
        <v>6</v>
      </c>
    </row>
    <row r="16" spans="1:4" outlineLevel="2" x14ac:dyDescent="0.25">
      <c r="B16" s="2" t="s">
        <v>102</v>
      </c>
      <c r="D16">
        <f>SUBTOTAL(9,D12:D14)</f>
        <v>11</v>
      </c>
    </row>
    <row r="17" spans="1:4" outlineLevel="1" x14ac:dyDescent="0.25">
      <c r="A17" s="2" t="s">
        <v>101</v>
      </c>
      <c r="D17">
        <f>SUBTOTAL(9,D12:D14)</f>
        <v>11</v>
      </c>
    </row>
    <row r="18" spans="1:4" x14ac:dyDescent="0.25">
      <c r="A18" s="2" t="s">
        <v>12</v>
      </c>
      <c r="D18">
        <f>SUBTOTAL(9,D2:D14)</f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7F0B-8DA2-47B3-B5FD-EC426A4A41DD}"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2" x14ac:dyDescent="0.25">
      <c r="B4" s="2" t="s">
        <v>49</v>
      </c>
      <c r="C4">
        <f>SUBTOTAL(9,C2:C3)</f>
        <v>30</v>
      </c>
    </row>
    <row r="5" spans="1:3" outlineLevel="3" x14ac:dyDescent="0.25">
      <c r="A5" t="s">
        <v>3</v>
      </c>
      <c r="B5" t="s">
        <v>5</v>
      </c>
      <c r="C5">
        <v>5</v>
      </c>
    </row>
    <row r="6" spans="1:3" outlineLevel="2" x14ac:dyDescent="0.25">
      <c r="B6" s="2" t="s">
        <v>50</v>
      </c>
      <c r="C6">
        <f>SUBTOTAL(9,C5:C5)</f>
        <v>5</v>
      </c>
    </row>
    <row r="7" spans="1:3" outlineLevel="1" x14ac:dyDescent="0.25">
      <c r="A7" s="2" t="s">
        <v>9</v>
      </c>
      <c r="C7">
        <f>SUBTOTAL(9,C2:C5)</f>
        <v>35</v>
      </c>
    </row>
    <row r="8" spans="1:3" outlineLevel="3" x14ac:dyDescent="0.25">
      <c r="A8" t="s">
        <v>6</v>
      </c>
      <c r="B8" t="s">
        <v>4</v>
      </c>
      <c r="C8">
        <v>30</v>
      </c>
    </row>
    <row r="9" spans="1:3" outlineLevel="2" x14ac:dyDescent="0.25">
      <c r="B9" s="2" t="s">
        <v>49</v>
      </c>
      <c r="C9">
        <f>SUBTOTAL(9,C8:C8)</f>
        <v>30</v>
      </c>
    </row>
    <row r="10" spans="1:3" outlineLevel="3" x14ac:dyDescent="0.25">
      <c r="A10" t="s">
        <v>6</v>
      </c>
      <c r="B10" t="s">
        <v>7</v>
      </c>
      <c r="C10">
        <v>40</v>
      </c>
    </row>
    <row r="11" spans="1:3" outlineLevel="2" x14ac:dyDescent="0.25">
      <c r="B11" s="2" t="s">
        <v>51</v>
      </c>
      <c r="C11">
        <f>SUBTOTAL(9,C10:C10)</f>
        <v>40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 t="s">
        <v>12</v>
      </c>
      <c r="C13">
        <f>SUBTOTAL(9,C2:C10)</f>
        <v>105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24BF-9A4B-453B-9525-07F9F3C671AD}">
  <dimension ref="A1:C11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4</v>
      </c>
      <c r="C3">
        <v>20</v>
      </c>
    </row>
    <row r="4" spans="1:3" outlineLevel="1" x14ac:dyDescent="0.25">
      <c r="B4" s="2" t="s">
        <v>94</v>
      </c>
      <c r="C4">
        <f>SUBTOTAL(3,C2:C3)</f>
        <v>2</v>
      </c>
    </row>
    <row r="5" spans="1:3" outlineLevel="2" x14ac:dyDescent="0.25">
      <c r="A5" t="s">
        <v>3</v>
      </c>
      <c r="B5" t="s">
        <v>5</v>
      </c>
      <c r="C5">
        <v>5</v>
      </c>
    </row>
    <row r="6" spans="1:3" outlineLevel="1" x14ac:dyDescent="0.25">
      <c r="B6" s="2" t="s">
        <v>95</v>
      </c>
      <c r="C6">
        <f>SUBTOTAL(3,C5:C5)</f>
        <v>1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1" x14ac:dyDescent="0.25">
      <c r="B8" s="2" t="s">
        <v>94</v>
      </c>
      <c r="C8">
        <f>SUBTOTAL(3,C7:C7)</f>
        <v>1</v>
      </c>
    </row>
    <row r="9" spans="1:3" outlineLevel="2" x14ac:dyDescent="0.25">
      <c r="A9" t="s">
        <v>6</v>
      </c>
      <c r="B9" t="s">
        <v>7</v>
      </c>
      <c r="C9">
        <v>40</v>
      </c>
    </row>
    <row r="10" spans="1:3" outlineLevel="1" x14ac:dyDescent="0.25">
      <c r="B10" s="2" t="s">
        <v>96</v>
      </c>
      <c r="C10">
        <f>SUBTOTAL(3,C9:C9)</f>
        <v>1</v>
      </c>
    </row>
    <row r="11" spans="1:3" x14ac:dyDescent="0.25">
      <c r="B11" s="2" t="s">
        <v>16</v>
      </c>
      <c r="C11">
        <f>SUBTOTAL(3,C2:C9)</f>
        <v>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999B-63EF-414E-BB5C-95117DCA8172}">
  <sheetPr>
    <outlinePr summaryBelow="0"/>
  </sheetPr>
  <dimension ref="A1:C11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s="2" t="s">
        <v>12</v>
      </c>
      <c r="C2">
        <f>SUBTOTAL(9,C4:C11)</f>
        <v>105</v>
      </c>
    </row>
    <row r="3" spans="1:3" outlineLevel="1" x14ac:dyDescent="0.25">
      <c r="B3" s="2" t="s">
        <v>49</v>
      </c>
      <c r="C3">
        <f>SUBTOTAL(9,C4:C5)</f>
        <v>30</v>
      </c>
    </row>
    <row r="4" spans="1:3" outlineLevel="2" x14ac:dyDescent="0.25">
      <c r="A4" t="s">
        <v>3</v>
      </c>
      <c r="B4" t="s">
        <v>4</v>
      </c>
      <c r="C4">
        <v>10</v>
      </c>
    </row>
    <row r="5" spans="1:3" outlineLevel="2" x14ac:dyDescent="0.25">
      <c r="A5" t="s">
        <v>3</v>
      </c>
      <c r="B5" t="s">
        <v>4</v>
      </c>
      <c r="C5">
        <v>20</v>
      </c>
    </row>
    <row r="6" spans="1:3" outlineLevel="1" x14ac:dyDescent="0.25">
      <c r="B6" s="2" t="s">
        <v>50</v>
      </c>
      <c r="C6">
        <f>SUBTOTAL(9,C7:C7)</f>
        <v>5</v>
      </c>
    </row>
    <row r="7" spans="1:3" outlineLevel="2" x14ac:dyDescent="0.25">
      <c r="A7" t="s">
        <v>3</v>
      </c>
      <c r="B7" t="s">
        <v>5</v>
      </c>
      <c r="C7">
        <v>5</v>
      </c>
    </row>
    <row r="8" spans="1:3" outlineLevel="1" x14ac:dyDescent="0.25">
      <c r="B8" s="2" t="s">
        <v>49</v>
      </c>
      <c r="C8">
        <f>SUBTOTAL(9,C9:C9)</f>
        <v>30</v>
      </c>
    </row>
    <row r="9" spans="1:3" outlineLevel="2" x14ac:dyDescent="0.25">
      <c r="A9" t="s">
        <v>6</v>
      </c>
      <c r="B9" t="s">
        <v>4</v>
      </c>
      <c r="C9">
        <v>30</v>
      </c>
    </row>
    <row r="10" spans="1:3" outlineLevel="1" x14ac:dyDescent="0.25">
      <c r="B10" s="2" t="s">
        <v>51</v>
      </c>
      <c r="C10">
        <f>SUBTOTAL(9,C11:C11)</f>
        <v>40</v>
      </c>
    </row>
    <row r="11" spans="1:3" outlineLevel="2" x14ac:dyDescent="0.25">
      <c r="A11" t="s">
        <v>6</v>
      </c>
      <c r="B11" t="s">
        <v>7</v>
      </c>
      <c r="C11">
        <v>40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7943-EA05-4B29-B8D8-263F6DC3FF8F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65E8-2E8B-4E3C-BE73-CD7F7437CF65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54AE-77AC-4124-85B2-4E85600F94E6}">
  <dimension ref="A1:D59"/>
  <sheetViews>
    <sheetView workbookViewId="0"/>
  </sheetViews>
  <sheetFormatPr defaultRowHeight="15" outlineLevelRow="3" x14ac:dyDescent="0.25"/>
  <sheetData>
    <row r="1" spans="1:4" x14ac:dyDescent="0.25">
      <c r="A1" t="s">
        <v>0</v>
      </c>
      <c r="B1" t="s">
        <v>1</v>
      </c>
      <c r="C1" t="s">
        <v>104</v>
      </c>
      <c r="D1" t="s">
        <v>2</v>
      </c>
    </row>
    <row r="2" spans="1:4" outlineLevel="3" x14ac:dyDescent="0.25">
      <c r="A2" t="s">
        <v>3</v>
      </c>
      <c r="B2" t="s">
        <v>105</v>
      </c>
      <c r="C2">
        <v>1</v>
      </c>
      <c r="D2">
        <v>0</v>
      </c>
    </row>
    <row r="3" spans="1:4" outlineLevel="3" x14ac:dyDescent="0.25">
      <c r="A3" t="s">
        <v>3</v>
      </c>
      <c r="B3" t="s">
        <v>105</v>
      </c>
      <c r="C3">
        <v>2</v>
      </c>
      <c r="D3">
        <v>37</v>
      </c>
    </row>
    <row r="4" spans="1:4" outlineLevel="3" x14ac:dyDescent="0.25">
      <c r="A4" t="s">
        <v>3</v>
      </c>
      <c r="B4" t="s">
        <v>105</v>
      </c>
      <c r="C4">
        <v>3</v>
      </c>
      <c r="D4">
        <v>74</v>
      </c>
    </row>
    <row r="5" spans="1:4" outlineLevel="3" x14ac:dyDescent="0.25">
      <c r="A5" t="s">
        <v>3</v>
      </c>
      <c r="B5" t="s">
        <v>105</v>
      </c>
      <c r="C5">
        <v>4</v>
      </c>
      <c r="D5">
        <v>10</v>
      </c>
    </row>
    <row r="6" spans="1:4" outlineLevel="2" x14ac:dyDescent="0.25">
      <c r="B6" s="2" t="s">
        <v>110</v>
      </c>
      <c r="D6">
        <f>SUBTOTAL(3,D2:D5)</f>
        <v>4</v>
      </c>
    </row>
    <row r="7" spans="1:4" outlineLevel="3" x14ac:dyDescent="0.25">
      <c r="A7" t="s">
        <v>3</v>
      </c>
      <c r="B7" t="s">
        <v>106</v>
      </c>
      <c r="C7">
        <v>5</v>
      </c>
      <c r="D7">
        <v>47</v>
      </c>
    </row>
    <row r="8" spans="1:4" outlineLevel="3" x14ac:dyDescent="0.25">
      <c r="A8" t="s">
        <v>3</v>
      </c>
      <c r="B8" t="s">
        <v>106</v>
      </c>
      <c r="C8">
        <v>6</v>
      </c>
      <c r="D8">
        <v>84</v>
      </c>
    </row>
    <row r="9" spans="1:4" outlineLevel="3" x14ac:dyDescent="0.25">
      <c r="A9" t="s">
        <v>3</v>
      </c>
      <c r="B9" t="s">
        <v>106</v>
      </c>
      <c r="C9">
        <v>7</v>
      </c>
      <c r="D9">
        <v>20</v>
      </c>
    </row>
    <row r="10" spans="1:4" outlineLevel="3" x14ac:dyDescent="0.25">
      <c r="A10" t="s">
        <v>3</v>
      </c>
      <c r="B10" t="s">
        <v>106</v>
      </c>
      <c r="C10">
        <v>1</v>
      </c>
      <c r="D10">
        <v>57</v>
      </c>
    </row>
    <row r="11" spans="1:4" outlineLevel="2" x14ac:dyDescent="0.25">
      <c r="B11" s="2" t="s">
        <v>111</v>
      </c>
      <c r="D11">
        <f>SUBTOTAL(3,D7:D10)</f>
        <v>4</v>
      </c>
    </row>
    <row r="12" spans="1:4" outlineLevel="3" x14ac:dyDescent="0.25">
      <c r="A12" t="s">
        <v>3</v>
      </c>
      <c r="B12" t="s">
        <v>107</v>
      </c>
      <c r="C12">
        <v>2</v>
      </c>
      <c r="D12">
        <v>94</v>
      </c>
    </row>
    <row r="13" spans="1:4" outlineLevel="3" x14ac:dyDescent="0.25">
      <c r="A13" t="s">
        <v>3</v>
      </c>
      <c r="B13" t="s">
        <v>107</v>
      </c>
      <c r="C13">
        <v>3</v>
      </c>
      <c r="D13">
        <v>30</v>
      </c>
    </row>
    <row r="14" spans="1:4" outlineLevel="2" x14ac:dyDescent="0.25">
      <c r="B14" s="2" t="s">
        <v>112</v>
      </c>
      <c r="D14">
        <f>SUBTOTAL(3,D12:D13)</f>
        <v>2</v>
      </c>
    </row>
    <row r="15" spans="1:4" outlineLevel="1" x14ac:dyDescent="0.25">
      <c r="A15" s="2" t="s">
        <v>9</v>
      </c>
      <c r="C15">
        <f>SUBTOTAL(9,C2:C13)</f>
        <v>34</v>
      </c>
      <c r="D15">
        <f>SUBTOTAL(9,D2:D13)</f>
        <v>453</v>
      </c>
    </row>
    <row r="16" spans="1:4" outlineLevel="3" x14ac:dyDescent="0.25">
      <c r="A16" t="s">
        <v>8</v>
      </c>
      <c r="B16" t="s">
        <v>105</v>
      </c>
      <c r="C16">
        <v>4</v>
      </c>
      <c r="D16">
        <v>67</v>
      </c>
    </row>
    <row r="17" spans="1:4" outlineLevel="3" x14ac:dyDescent="0.25">
      <c r="A17" t="s">
        <v>8</v>
      </c>
      <c r="B17" t="s">
        <v>105</v>
      </c>
      <c r="C17">
        <v>5</v>
      </c>
      <c r="D17">
        <v>3</v>
      </c>
    </row>
    <row r="18" spans="1:4" outlineLevel="3" x14ac:dyDescent="0.25">
      <c r="A18" t="s">
        <v>8</v>
      </c>
      <c r="B18" t="s">
        <v>105</v>
      </c>
      <c r="C18">
        <v>6</v>
      </c>
      <c r="D18">
        <v>40</v>
      </c>
    </row>
    <row r="19" spans="1:4" outlineLevel="3" x14ac:dyDescent="0.25">
      <c r="A19" t="s">
        <v>8</v>
      </c>
      <c r="B19" t="s">
        <v>105</v>
      </c>
      <c r="C19">
        <v>7</v>
      </c>
      <c r="D19">
        <v>77</v>
      </c>
    </row>
    <row r="20" spans="1:4" outlineLevel="2" x14ac:dyDescent="0.25">
      <c r="B20" s="2" t="s">
        <v>110</v>
      </c>
      <c r="D20">
        <f>SUBTOTAL(3,D16:D19)</f>
        <v>4</v>
      </c>
    </row>
    <row r="21" spans="1:4" outlineLevel="3" x14ac:dyDescent="0.25">
      <c r="A21" t="s">
        <v>8</v>
      </c>
      <c r="B21" t="s">
        <v>106</v>
      </c>
      <c r="C21">
        <v>1</v>
      </c>
      <c r="D21">
        <v>13</v>
      </c>
    </row>
    <row r="22" spans="1:4" outlineLevel="3" x14ac:dyDescent="0.25">
      <c r="A22" t="s">
        <v>8</v>
      </c>
      <c r="B22" t="s">
        <v>106</v>
      </c>
      <c r="C22">
        <v>2</v>
      </c>
      <c r="D22">
        <v>50</v>
      </c>
    </row>
    <row r="23" spans="1:4" outlineLevel="3" x14ac:dyDescent="0.25">
      <c r="A23" t="s">
        <v>8</v>
      </c>
      <c r="B23" t="s">
        <v>106</v>
      </c>
      <c r="C23">
        <v>3</v>
      </c>
      <c r="D23">
        <v>87</v>
      </c>
    </row>
    <row r="24" spans="1:4" outlineLevel="3" x14ac:dyDescent="0.25">
      <c r="A24" t="s">
        <v>8</v>
      </c>
      <c r="B24" t="s">
        <v>106</v>
      </c>
      <c r="C24">
        <v>4</v>
      </c>
      <c r="D24">
        <v>23</v>
      </c>
    </row>
    <row r="25" spans="1:4" outlineLevel="2" x14ac:dyDescent="0.25">
      <c r="B25" s="2" t="s">
        <v>111</v>
      </c>
      <c r="D25">
        <f>SUBTOTAL(3,D21:D24)</f>
        <v>4</v>
      </c>
    </row>
    <row r="26" spans="1:4" outlineLevel="3" x14ac:dyDescent="0.25">
      <c r="A26" t="s">
        <v>8</v>
      </c>
      <c r="B26" t="s">
        <v>107</v>
      </c>
      <c r="C26">
        <v>5</v>
      </c>
      <c r="D26">
        <v>60</v>
      </c>
    </row>
    <row r="27" spans="1:4" outlineLevel="3" x14ac:dyDescent="0.25">
      <c r="A27" t="s">
        <v>8</v>
      </c>
      <c r="B27" t="s">
        <v>107</v>
      </c>
      <c r="C27">
        <v>6</v>
      </c>
      <c r="D27">
        <v>97</v>
      </c>
    </row>
    <row r="28" spans="1:4" outlineLevel="2" x14ac:dyDescent="0.25">
      <c r="B28" s="2" t="s">
        <v>112</v>
      </c>
      <c r="D28">
        <f>SUBTOTAL(3,D26:D27)</f>
        <v>2</v>
      </c>
    </row>
    <row r="29" spans="1:4" outlineLevel="1" x14ac:dyDescent="0.25">
      <c r="A29" s="2" t="s">
        <v>11</v>
      </c>
      <c r="C29">
        <f>SUBTOTAL(9,C16:C27)</f>
        <v>43</v>
      </c>
      <c r="D29">
        <f>SUBTOTAL(9,D16:D27)</f>
        <v>517</v>
      </c>
    </row>
    <row r="30" spans="1:4" outlineLevel="3" x14ac:dyDescent="0.25">
      <c r="A30" t="s">
        <v>108</v>
      </c>
      <c r="B30" t="s">
        <v>105</v>
      </c>
      <c r="C30">
        <v>7</v>
      </c>
      <c r="D30">
        <v>33</v>
      </c>
    </row>
    <row r="31" spans="1:4" outlineLevel="3" x14ac:dyDescent="0.25">
      <c r="A31" t="s">
        <v>108</v>
      </c>
      <c r="B31" t="s">
        <v>105</v>
      </c>
      <c r="C31">
        <v>1</v>
      </c>
      <c r="D31">
        <v>70</v>
      </c>
    </row>
    <row r="32" spans="1:4" outlineLevel="3" x14ac:dyDescent="0.25">
      <c r="A32" t="s">
        <v>108</v>
      </c>
      <c r="B32" t="s">
        <v>105</v>
      </c>
      <c r="C32">
        <v>2</v>
      </c>
      <c r="D32">
        <v>6</v>
      </c>
    </row>
    <row r="33" spans="1:4" outlineLevel="3" x14ac:dyDescent="0.25">
      <c r="A33" t="s">
        <v>108</v>
      </c>
      <c r="B33" t="s">
        <v>105</v>
      </c>
      <c r="C33">
        <v>3</v>
      </c>
      <c r="D33">
        <v>43</v>
      </c>
    </row>
    <row r="34" spans="1:4" outlineLevel="2" x14ac:dyDescent="0.25">
      <c r="B34" s="2" t="s">
        <v>110</v>
      </c>
      <c r="D34">
        <f>SUBTOTAL(3,D30:D33)</f>
        <v>4</v>
      </c>
    </row>
    <row r="35" spans="1:4" outlineLevel="3" x14ac:dyDescent="0.25">
      <c r="A35" t="s">
        <v>108</v>
      </c>
      <c r="B35" t="s">
        <v>106</v>
      </c>
      <c r="C35">
        <v>4</v>
      </c>
      <c r="D35">
        <v>80</v>
      </c>
    </row>
    <row r="36" spans="1:4" outlineLevel="3" x14ac:dyDescent="0.25">
      <c r="A36" t="s">
        <v>108</v>
      </c>
      <c r="B36" t="s">
        <v>106</v>
      </c>
      <c r="C36">
        <v>5</v>
      </c>
      <c r="D36">
        <v>16</v>
      </c>
    </row>
    <row r="37" spans="1:4" outlineLevel="3" x14ac:dyDescent="0.25">
      <c r="A37" t="s">
        <v>108</v>
      </c>
      <c r="B37" t="s">
        <v>106</v>
      </c>
      <c r="C37">
        <v>6</v>
      </c>
      <c r="D37">
        <v>53</v>
      </c>
    </row>
    <row r="38" spans="1:4" outlineLevel="3" x14ac:dyDescent="0.25">
      <c r="A38" t="s">
        <v>108</v>
      </c>
      <c r="B38" t="s">
        <v>106</v>
      </c>
      <c r="C38">
        <v>7</v>
      </c>
      <c r="D38">
        <v>90</v>
      </c>
    </row>
    <row r="39" spans="1:4" outlineLevel="2" x14ac:dyDescent="0.25">
      <c r="B39" s="2" t="s">
        <v>111</v>
      </c>
      <c r="D39">
        <f>SUBTOTAL(3,D35:D38)</f>
        <v>4</v>
      </c>
    </row>
    <row r="40" spans="1:4" outlineLevel="3" x14ac:dyDescent="0.25">
      <c r="A40" t="s">
        <v>108</v>
      </c>
      <c r="B40" t="s">
        <v>107</v>
      </c>
      <c r="C40">
        <v>1</v>
      </c>
      <c r="D40">
        <v>26</v>
      </c>
    </row>
    <row r="41" spans="1:4" outlineLevel="3" x14ac:dyDescent="0.25">
      <c r="A41" t="s">
        <v>108</v>
      </c>
      <c r="B41" t="s">
        <v>107</v>
      </c>
      <c r="C41">
        <v>2</v>
      </c>
      <c r="D41">
        <v>63</v>
      </c>
    </row>
    <row r="42" spans="1:4" outlineLevel="2" x14ac:dyDescent="0.25">
      <c r="B42" s="2" t="s">
        <v>112</v>
      </c>
      <c r="D42">
        <f>SUBTOTAL(3,D40:D41)</f>
        <v>2</v>
      </c>
    </row>
    <row r="43" spans="1:4" outlineLevel="1" x14ac:dyDescent="0.25">
      <c r="A43" s="2" t="s">
        <v>109</v>
      </c>
      <c r="C43">
        <f>SUBTOTAL(9,C30:C41)</f>
        <v>38</v>
      </c>
      <c r="D43">
        <f>SUBTOTAL(9,D30:D41)</f>
        <v>480</v>
      </c>
    </row>
    <row r="44" spans="1:4" outlineLevel="3" x14ac:dyDescent="0.25">
      <c r="A44" t="s">
        <v>6</v>
      </c>
      <c r="B44" t="s">
        <v>105</v>
      </c>
      <c r="C44">
        <v>3</v>
      </c>
      <c r="D44">
        <v>100</v>
      </c>
    </row>
    <row r="45" spans="1:4" outlineLevel="3" x14ac:dyDescent="0.25">
      <c r="A45" t="s">
        <v>6</v>
      </c>
      <c r="B45" t="s">
        <v>105</v>
      </c>
      <c r="C45">
        <v>4</v>
      </c>
      <c r="D45">
        <v>36</v>
      </c>
    </row>
    <row r="46" spans="1:4" outlineLevel="3" x14ac:dyDescent="0.25">
      <c r="A46" t="s">
        <v>6</v>
      </c>
      <c r="B46" t="s">
        <v>105</v>
      </c>
      <c r="C46">
        <v>5</v>
      </c>
      <c r="D46">
        <v>73</v>
      </c>
    </row>
    <row r="47" spans="1:4" outlineLevel="3" x14ac:dyDescent="0.25">
      <c r="A47" t="s">
        <v>6</v>
      </c>
      <c r="B47" t="s">
        <v>105</v>
      </c>
      <c r="C47">
        <v>6</v>
      </c>
      <c r="D47">
        <v>9</v>
      </c>
    </row>
    <row r="48" spans="1:4" outlineLevel="2" x14ac:dyDescent="0.25">
      <c r="B48" s="2" t="s">
        <v>110</v>
      </c>
      <c r="D48">
        <f>SUBTOTAL(3,D44:D47)</f>
        <v>4</v>
      </c>
    </row>
    <row r="49" spans="1:4" outlineLevel="3" x14ac:dyDescent="0.25">
      <c r="A49" t="s">
        <v>6</v>
      </c>
      <c r="B49" t="s">
        <v>106</v>
      </c>
      <c r="C49">
        <v>7</v>
      </c>
      <c r="D49">
        <v>46</v>
      </c>
    </row>
    <row r="50" spans="1:4" outlineLevel="3" x14ac:dyDescent="0.25">
      <c r="A50" t="s">
        <v>6</v>
      </c>
      <c r="B50" t="s">
        <v>106</v>
      </c>
      <c r="C50">
        <v>1</v>
      </c>
      <c r="D50">
        <v>83</v>
      </c>
    </row>
    <row r="51" spans="1:4" outlineLevel="3" x14ac:dyDescent="0.25">
      <c r="A51" t="s">
        <v>6</v>
      </c>
      <c r="B51" t="s">
        <v>106</v>
      </c>
      <c r="C51">
        <v>2</v>
      </c>
      <c r="D51">
        <v>19</v>
      </c>
    </row>
    <row r="52" spans="1:4" outlineLevel="3" x14ac:dyDescent="0.25">
      <c r="A52" t="s">
        <v>6</v>
      </c>
      <c r="B52" t="s">
        <v>106</v>
      </c>
      <c r="C52">
        <v>3</v>
      </c>
      <c r="D52">
        <v>56</v>
      </c>
    </row>
    <row r="53" spans="1:4" outlineLevel="2" x14ac:dyDescent="0.25">
      <c r="B53" s="2" t="s">
        <v>111</v>
      </c>
      <c r="D53">
        <f>SUBTOTAL(3,D49:D52)</f>
        <v>4</v>
      </c>
    </row>
    <row r="54" spans="1:4" outlineLevel="3" x14ac:dyDescent="0.25">
      <c r="A54" t="s">
        <v>6</v>
      </c>
      <c r="B54" t="s">
        <v>107</v>
      </c>
      <c r="C54">
        <v>4</v>
      </c>
      <c r="D54">
        <v>93</v>
      </c>
    </row>
    <row r="55" spans="1:4" outlineLevel="3" x14ac:dyDescent="0.25">
      <c r="A55" t="s">
        <v>6</v>
      </c>
      <c r="B55" t="s">
        <v>107</v>
      </c>
      <c r="C55">
        <v>5</v>
      </c>
      <c r="D55">
        <v>29</v>
      </c>
    </row>
    <row r="56" spans="1:4" outlineLevel="2" x14ac:dyDescent="0.25">
      <c r="B56" s="2" t="s">
        <v>112</v>
      </c>
      <c r="D56">
        <f>SUBTOTAL(3,D54:D55)</f>
        <v>2</v>
      </c>
    </row>
    <row r="57" spans="1:4" outlineLevel="1" x14ac:dyDescent="0.25">
      <c r="A57" s="2" t="s">
        <v>10</v>
      </c>
      <c r="C57">
        <f>SUBTOTAL(9,C44:C55)</f>
        <v>40</v>
      </c>
      <c r="D57">
        <f>SUBTOTAL(9,D44:D55)</f>
        <v>544</v>
      </c>
    </row>
    <row r="58" spans="1:4" x14ac:dyDescent="0.25">
      <c r="A58" s="2"/>
      <c r="B58" s="2" t="s">
        <v>16</v>
      </c>
      <c r="D58">
        <f>SUBTOTAL(3,D2:D55)</f>
        <v>40</v>
      </c>
    </row>
    <row r="59" spans="1:4" x14ac:dyDescent="0.25">
      <c r="A59" s="2" t="s">
        <v>12</v>
      </c>
      <c r="C59">
        <f>SUBTOTAL(9,C2:C55)</f>
        <v>155</v>
      </c>
      <c r="D59">
        <f>SUBTOTAL(9,D2:D55)</f>
        <v>1994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EF95-1BEE-416B-B3DC-4CE9BCDC6DAE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0DA2-50A9-4063-A588-3D929E317FC5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4</v>
      </c>
      <c r="C3">
        <v>20</v>
      </c>
    </row>
    <row r="4" spans="1:3" x14ac:dyDescent="0.25">
      <c r="A4" t="s">
        <v>3</v>
      </c>
      <c r="B4" t="s">
        <v>5</v>
      </c>
      <c r="C4">
        <v>5</v>
      </c>
    </row>
    <row r="5" spans="1:3" x14ac:dyDescent="0.25">
      <c r="A5" t="s">
        <v>6</v>
      </c>
      <c r="B5" t="s">
        <v>4</v>
      </c>
      <c r="C5">
        <v>30</v>
      </c>
    </row>
    <row r="6" spans="1:3" x14ac:dyDescent="0.25">
      <c r="A6" t="s">
        <v>6</v>
      </c>
      <c r="B6" t="s">
        <v>7</v>
      </c>
      <c r="C6">
        <v>40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9797-0B5D-43A0-977B-DF80403BA3BC}">
  <sheetPr>
    <outlinePr summaryBelow="0"/>
  </sheetPr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9C0F-349A-464A-8C49-F394834A0994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66A1-5CDD-4767-B477-21DBFA5933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72DA-03E1-41A1-A2D5-0BB86CC33006}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6</v>
      </c>
      <c r="B3" t="s">
        <v>4</v>
      </c>
      <c r="C3">
        <v>30</v>
      </c>
    </row>
    <row r="4" spans="1:3" x14ac:dyDescent="0.25">
      <c r="A4" t="s">
        <v>6</v>
      </c>
      <c r="B4" t="s">
        <v>7</v>
      </c>
      <c r="C4">
        <v>40</v>
      </c>
    </row>
    <row r="5" spans="1:3" x14ac:dyDescent="0.25">
      <c r="A5" t="s">
        <v>8</v>
      </c>
      <c r="B5" t="s">
        <v>4</v>
      </c>
      <c r="C5">
        <v>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9F51-0B05-46C1-9AA6-37C33603DC92}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6</v>
      </c>
      <c r="B3" t="s">
        <v>4</v>
      </c>
      <c r="C3">
        <v>30</v>
      </c>
    </row>
    <row r="4" spans="1:3" x14ac:dyDescent="0.25">
      <c r="A4" t="s">
        <v>6</v>
      </c>
      <c r="B4" t="s">
        <v>7</v>
      </c>
      <c r="C4">
        <v>40</v>
      </c>
    </row>
    <row r="5" spans="1:3" x14ac:dyDescent="0.25">
      <c r="A5" t="s">
        <v>8</v>
      </c>
      <c r="B5" t="s">
        <v>4</v>
      </c>
      <c r="C5">
        <v>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5D38-95F8-4024-8DFA-54FD2EEF2157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>
        <v>10</v>
      </c>
    </row>
    <row r="3" spans="1:4" x14ac:dyDescent="0.25">
      <c r="A3" t="s">
        <v>3</v>
      </c>
      <c r="B3" t="s">
        <v>5</v>
      </c>
      <c r="C3">
        <v>20</v>
      </c>
      <c r="D3">
        <f>SUM(C2:C3)</f>
        <v>30</v>
      </c>
    </row>
    <row r="4" spans="1:4" x14ac:dyDescent="0.25">
      <c r="A4" t="s">
        <v>6</v>
      </c>
      <c r="B4" t="s">
        <v>4</v>
      </c>
      <c r="C4">
        <v>30</v>
      </c>
    </row>
    <row r="5" spans="1:4" x14ac:dyDescent="0.25">
      <c r="A5" t="s">
        <v>6</v>
      </c>
      <c r="B5" t="s">
        <v>7</v>
      </c>
      <c r="C5">
        <v>40</v>
      </c>
    </row>
    <row r="6" spans="1:4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2274-640D-448F-A307-E5EFE6A69110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129E-3767-4622-AB5D-326A89BA476C}">
  <dimension ref="A1:C9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outlineLevel="2" x14ac:dyDescent="0.25">
      <c r="A5" t="s">
        <v>6</v>
      </c>
      <c r="B5" t="s">
        <v>7</v>
      </c>
      <c r="C5">
        <v>40</v>
      </c>
    </row>
    <row r="6" spans="1:3" outlineLevel="1" x14ac:dyDescent="0.25">
      <c r="A6" s="2" t="s">
        <v>10</v>
      </c>
      <c r="C6">
        <f>SUBTOTAL(9,C4:C5)</f>
        <v>70</v>
      </c>
    </row>
    <row r="7" spans="1:3" outlineLevel="2" x14ac:dyDescent="0.25">
      <c r="A7" t="s">
        <v>8</v>
      </c>
      <c r="B7" t="s">
        <v>4</v>
      </c>
      <c r="C7">
        <v>5</v>
      </c>
    </row>
    <row r="8" spans="1:3" outlineLevel="1" x14ac:dyDescent="0.25">
      <c r="A8" s="2" t="s">
        <v>11</v>
      </c>
      <c r="C8">
        <f>SUBTOTAL(9,C7:C7)</f>
        <v>5</v>
      </c>
    </row>
    <row r="9" spans="1:3" x14ac:dyDescent="0.25">
      <c r="A9" s="2" t="s">
        <v>12</v>
      </c>
      <c r="C9">
        <f>SUBTOTAL(9,C2:C7)</f>
        <v>105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F914-23E5-42BA-9380-5D59E6444E7C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s="2" t="s">
        <v>10</v>
      </c>
      <c r="C6">
        <v>70</v>
      </c>
    </row>
    <row r="7" spans="1:3" x14ac:dyDescent="0.25">
      <c r="A7" t="s">
        <v>8</v>
      </c>
      <c r="B7" t="s">
        <v>4</v>
      </c>
      <c r="C7">
        <v>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1302-91DF-4129-BDA4-3C1647598DC1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888A-9D58-457A-BD82-6A5A0727CDF8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1897-516A-4518-BE3E-2B94583B12B6}">
  <dimension ref="A1:C17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  <row r="16" spans="1:3" outlineLevel="1" x14ac:dyDescent="0.25">
      <c r="A16" t="s">
        <v>64</v>
      </c>
    </row>
    <row r="17" spans="1:1" outlineLevel="1" x14ac:dyDescent="0.25">
      <c r="A17" t="s">
        <v>100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DE83-9C87-463F-BFB5-A57004EEFD78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32C9-54AD-43AC-9396-5ED4A96074AA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46C7-547F-4958-BF5B-68388FB0E9E5}">
  <dimension ref="A1:C13"/>
  <sheetViews>
    <sheetView workbookViewId="0"/>
  </sheetViews>
  <sheetFormatPr defaultRowHeight="15" outlineLevelRow="1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  <row r="12" spans="1:3" outlineLevel="1" x14ac:dyDescent="0.25">
      <c r="A12" t="s">
        <v>64</v>
      </c>
    </row>
    <row r="13" spans="1:3" outlineLevel="1" x14ac:dyDescent="0.25">
      <c r="A13" t="s">
        <v>100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98D7-3A07-4056-A55B-1671A6D1480C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9800-9E59-4C57-9780-0CF3B032BFD8}">
  <sheetPr>
    <outlinePr summaryBelow="0"/>
  </sheetPr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SUBTOTAL(9,C4:C10)</f>
        <v>105</v>
      </c>
    </row>
    <row r="3" spans="1:3" outlineLevel="1" x14ac:dyDescent="0.25">
      <c r="A3" s="2" t="s">
        <v>9</v>
      </c>
      <c r="C3">
        <f>SUBTOTAL(9,C4:C5)</f>
        <v>30</v>
      </c>
    </row>
    <row r="4" spans="1:3" outlineLevel="2" x14ac:dyDescent="0.25">
      <c r="A4" t="s">
        <v>3</v>
      </c>
      <c r="B4" t="s">
        <v>4</v>
      </c>
      <c r="C4">
        <v>10</v>
      </c>
    </row>
    <row r="5" spans="1:3" outlineLevel="2" x14ac:dyDescent="0.25">
      <c r="A5" t="s">
        <v>3</v>
      </c>
      <c r="B5" t="s">
        <v>5</v>
      </c>
      <c r="C5">
        <v>20</v>
      </c>
    </row>
    <row r="6" spans="1:3" outlineLevel="1" x14ac:dyDescent="0.25">
      <c r="A6" s="2" t="s">
        <v>10</v>
      </c>
      <c r="C6">
        <f>SUBTOTAL(9,C7:C8)</f>
        <v>70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" t="s">
        <v>11</v>
      </c>
      <c r="C9">
        <f>SUBTOTAL(9,C10:C10)</f>
        <v>5</v>
      </c>
    </row>
    <row r="10" spans="1:3" outlineLevel="2" x14ac:dyDescent="0.25">
      <c r="A10" t="s">
        <v>8</v>
      </c>
      <c r="B10" t="s">
        <v>4</v>
      </c>
      <c r="C10">
        <v>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E0EE-DCCE-4C02-8158-EC30273F9696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hidden="1" outlineLevel="2" x14ac:dyDescent="0.25">
      <c r="A2" t="s">
        <v>3</v>
      </c>
      <c r="B2" t="s">
        <v>4</v>
      </c>
      <c r="C2">
        <v>10</v>
      </c>
    </row>
    <row r="3" spans="1:3" hidden="1" outlineLevel="2" x14ac:dyDescent="0.25">
      <c r="A3" t="s">
        <v>3</v>
      </c>
      <c r="B3" t="s">
        <v>5</v>
      </c>
      <c r="C3">
        <v>20</v>
      </c>
    </row>
    <row r="4" spans="1:3" outlineLevel="1" collapsed="1" x14ac:dyDescent="0.25">
      <c r="A4" s="2" t="s">
        <v>9</v>
      </c>
      <c r="C4">
        <f>SUBTOTAL(9,C2:C3)</f>
        <v>30</v>
      </c>
    </row>
    <row r="5" spans="1:3" hidden="1" outlineLevel="2" x14ac:dyDescent="0.25">
      <c r="A5" t="s">
        <v>6</v>
      </c>
      <c r="B5" t="s">
        <v>4</v>
      </c>
      <c r="C5">
        <v>30</v>
      </c>
    </row>
    <row r="6" spans="1:3" hidden="1" outlineLevel="2" x14ac:dyDescent="0.25">
      <c r="A6" t="s">
        <v>6</v>
      </c>
      <c r="B6" t="s">
        <v>7</v>
      </c>
      <c r="C6">
        <v>40</v>
      </c>
    </row>
    <row r="7" spans="1:3" outlineLevel="1" collapsed="1" x14ac:dyDescent="0.25">
      <c r="A7" s="2" t="s">
        <v>10</v>
      </c>
      <c r="C7">
        <f>SUBTOTAL(9,C5:C6)</f>
        <v>70</v>
      </c>
    </row>
    <row r="8" spans="1:3" hidden="1" outlineLevel="2" x14ac:dyDescent="0.25">
      <c r="A8" t="s">
        <v>8</v>
      </c>
      <c r="B8" t="s">
        <v>4</v>
      </c>
      <c r="C8">
        <v>5</v>
      </c>
    </row>
    <row r="9" spans="1:3" outlineLevel="1" collapsed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F72D-1664-46F1-877A-451FE38BA395}">
  <dimension ref="A1:C11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4</v>
      </c>
      <c r="C3">
        <v>20</v>
      </c>
    </row>
    <row r="4" spans="1:3" outlineLevel="1" x14ac:dyDescent="0.25">
      <c r="B4" s="2" t="s">
        <v>49</v>
      </c>
      <c r="C4">
        <f>SUBTOTAL(9,C2:C3)</f>
        <v>30</v>
      </c>
    </row>
    <row r="5" spans="1:3" outlineLevel="2" x14ac:dyDescent="0.25">
      <c r="A5" t="s">
        <v>3</v>
      </c>
      <c r="B5" t="s">
        <v>5</v>
      </c>
      <c r="C5">
        <v>5</v>
      </c>
    </row>
    <row r="6" spans="1:3" outlineLevel="1" x14ac:dyDescent="0.25">
      <c r="B6" s="2" t="s">
        <v>50</v>
      </c>
      <c r="C6">
        <f>SUBTOTAL(9,C5:C5)</f>
        <v>5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1" x14ac:dyDescent="0.25">
      <c r="B8" s="2" t="s">
        <v>49</v>
      </c>
      <c r="C8">
        <f>SUBTOTAL(9,C7:C7)</f>
        <v>30</v>
      </c>
    </row>
    <row r="9" spans="1:3" outlineLevel="2" x14ac:dyDescent="0.25">
      <c r="A9" t="s">
        <v>6</v>
      </c>
      <c r="B9" t="s">
        <v>7</v>
      </c>
      <c r="C9">
        <v>40</v>
      </c>
    </row>
    <row r="10" spans="1:3" outlineLevel="1" x14ac:dyDescent="0.25">
      <c r="B10" s="2" t="s">
        <v>51</v>
      </c>
      <c r="C10">
        <f>SUBTOTAL(9,C9:C9)</f>
        <v>40</v>
      </c>
    </row>
    <row r="11" spans="1:3" x14ac:dyDescent="0.25">
      <c r="B11" s="2" t="s">
        <v>12</v>
      </c>
      <c r="C11">
        <f>SUBTOTAL(9,C2:C9)</f>
        <v>105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4756-84F4-4054-BD23-F27008D3B995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7025-15AF-492A-A831-F8546F2EDC97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hidden="1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0F4E-BD9D-45C2-8C25-F8B3F5CDF7BC}">
  <dimension ref="A1:C7"/>
  <sheetViews>
    <sheetView workbookViewId="0"/>
  </sheetViews>
  <sheetFormatPr defaultRowHeight="15" outlineLevelRow="2" x14ac:dyDescent="0.25"/>
  <sheetData>
    <row r="1" spans="1:3" x14ac:dyDescent="0.25">
      <c r="A1" t="s">
        <v>58</v>
      </c>
      <c r="B1" t="s">
        <v>2</v>
      </c>
      <c r="C1" t="s">
        <v>113</v>
      </c>
    </row>
    <row r="2" spans="1:3" outlineLevel="2" x14ac:dyDescent="0.25">
      <c r="A2" t="s">
        <v>114</v>
      </c>
      <c r="B2">
        <v>1.5</v>
      </c>
      <c r="C2" s="7">
        <v>3</v>
      </c>
    </row>
    <row r="3" spans="1:3" outlineLevel="2" x14ac:dyDescent="0.25">
      <c r="A3" t="s">
        <v>114</v>
      </c>
      <c r="B3">
        <v>2.25</v>
      </c>
      <c r="C3" s="7">
        <v>4</v>
      </c>
    </row>
    <row r="4" spans="1:3" outlineLevel="1" x14ac:dyDescent="0.25">
      <c r="A4" s="2" t="s">
        <v>116</v>
      </c>
      <c r="B4">
        <f>SUBTOTAL(9,B2:B3)</f>
        <v>3.75</v>
      </c>
      <c r="C4" s="7">
        <f>SUBTOTAL(9,C2:C3)</f>
        <v>7</v>
      </c>
    </row>
    <row r="5" spans="1:3" outlineLevel="2" x14ac:dyDescent="0.25">
      <c r="A5" t="s">
        <v>115</v>
      </c>
      <c r="B5">
        <v>3</v>
      </c>
      <c r="C5" s="7">
        <v>5</v>
      </c>
    </row>
    <row r="6" spans="1:3" outlineLevel="1" x14ac:dyDescent="0.25">
      <c r="A6" s="2" t="s">
        <v>117</v>
      </c>
      <c r="B6">
        <f>SUBTOTAL(9,B5:B5)</f>
        <v>3</v>
      </c>
      <c r="C6" s="7">
        <f>SUBTOTAL(9,C5:C5)</f>
        <v>5</v>
      </c>
    </row>
    <row r="7" spans="1:3" x14ac:dyDescent="0.25">
      <c r="A7" s="2" t="s">
        <v>12</v>
      </c>
      <c r="B7">
        <f>SUBTOTAL(9,B2:B5)</f>
        <v>6.75</v>
      </c>
      <c r="C7" s="7">
        <f>SUBTOTAL(9,C2:C5)</f>
        <v>12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716A-18A2-4F03-8DB6-5B5FA6795089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 s="20">
        <v>10</v>
      </c>
    </row>
    <row r="3" spans="1:3" outlineLevel="2" x14ac:dyDescent="0.25">
      <c r="A3" s="19" t="s">
        <v>3</v>
      </c>
      <c r="B3" s="19" t="s">
        <v>5</v>
      </c>
      <c r="C3" s="21">
        <v>20</v>
      </c>
    </row>
    <row r="4" spans="1:3" outlineLevel="1" x14ac:dyDescent="0.25">
      <c r="A4" s="22" t="s">
        <v>9</v>
      </c>
      <c r="B4" s="19"/>
      <c r="C4" s="21">
        <f>SUBTOTAL(9,C2:C3)</f>
        <v>30</v>
      </c>
    </row>
    <row r="5" spans="1:3" outlineLevel="2" x14ac:dyDescent="0.25">
      <c r="A5" t="s">
        <v>6</v>
      </c>
      <c r="B5" t="s">
        <v>4</v>
      </c>
      <c r="C5" s="20">
        <v>30</v>
      </c>
    </row>
    <row r="6" spans="1:3" outlineLevel="2" x14ac:dyDescent="0.25">
      <c r="A6" t="s">
        <v>6</v>
      </c>
      <c r="B6" t="s">
        <v>7</v>
      </c>
      <c r="C6" s="20">
        <v>40</v>
      </c>
    </row>
    <row r="7" spans="1:3" outlineLevel="1" x14ac:dyDescent="0.25">
      <c r="A7" s="2" t="s">
        <v>10</v>
      </c>
      <c r="C7" s="20">
        <f>SUBTOTAL(9,C5:C6)</f>
        <v>70</v>
      </c>
    </row>
    <row r="8" spans="1:3" outlineLevel="2" x14ac:dyDescent="0.25">
      <c r="A8" t="s">
        <v>8</v>
      </c>
      <c r="B8" t="s">
        <v>4</v>
      </c>
      <c r="C8" s="20">
        <v>5</v>
      </c>
    </row>
    <row r="9" spans="1:3" outlineLevel="1" x14ac:dyDescent="0.25">
      <c r="A9" s="2" t="s">
        <v>11</v>
      </c>
      <c r="C9" s="20">
        <f>SUBTOTAL(9,C8:C8)</f>
        <v>5</v>
      </c>
    </row>
    <row r="10" spans="1:3" x14ac:dyDescent="0.25">
      <c r="A10" s="2" t="s">
        <v>12</v>
      </c>
      <c r="C10" s="20">
        <f>SUBTOTAL(9,C2:C8)</f>
        <v>105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517F-A082-42B9-90CD-C40AA565F55D}">
  <sheetPr>
    <outlinePr summaryBelow="0"/>
  </sheetPr>
  <dimension ref="A1:C10"/>
  <sheetViews>
    <sheetView workbookViewId="0"/>
  </sheetViews>
  <sheetFormatPr defaultRowHeight="15" outlineLevelRow="2" x14ac:dyDescent="0.25"/>
  <sheetData>
    <row r="1" spans="1:3" x14ac:dyDescent="0.25">
      <c r="A1" s="23" t="s">
        <v>0</v>
      </c>
      <c r="B1" s="23" t="s">
        <v>1</v>
      </c>
      <c r="C1" s="23" t="s">
        <v>2</v>
      </c>
    </row>
    <row r="2" spans="1:3" x14ac:dyDescent="0.25">
      <c r="A2" s="2" t="s">
        <v>12</v>
      </c>
      <c r="C2">
        <f>SUBTOTAL(9,C4:C10)</f>
        <v>105</v>
      </c>
    </row>
    <row r="3" spans="1:3" outlineLevel="1" x14ac:dyDescent="0.25">
      <c r="A3" s="2" t="s">
        <v>9</v>
      </c>
      <c r="C3">
        <f>SUBTOTAL(9,C4:C5)</f>
        <v>30</v>
      </c>
    </row>
    <row r="4" spans="1:3" outlineLevel="2" x14ac:dyDescent="0.25">
      <c r="A4" t="s">
        <v>3</v>
      </c>
      <c r="B4" t="s">
        <v>4</v>
      </c>
      <c r="C4">
        <v>10</v>
      </c>
    </row>
    <row r="5" spans="1:3" outlineLevel="2" x14ac:dyDescent="0.25">
      <c r="A5" t="s">
        <v>3</v>
      </c>
      <c r="B5" t="s">
        <v>5</v>
      </c>
      <c r="C5">
        <v>20</v>
      </c>
    </row>
    <row r="6" spans="1:3" outlineLevel="1" x14ac:dyDescent="0.25">
      <c r="A6" s="2" t="s">
        <v>10</v>
      </c>
      <c r="C6">
        <f>SUBTOTAL(9,C7:C8)</f>
        <v>70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" t="s">
        <v>11</v>
      </c>
      <c r="C9">
        <f>SUBTOTAL(9,C10:C10)</f>
        <v>5</v>
      </c>
    </row>
    <row r="10" spans="1:3" outlineLevel="2" x14ac:dyDescent="0.25">
      <c r="A10" t="s">
        <v>8</v>
      </c>
      <c r="B10" t="s">
        <v>4</v>
      </c>
      <c r="C10">
        <v>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3FC4-98C3-43C0-8F51-839E11AF78AB}">
  <dimension ref="A1:C10"/>
  <sheetViews>
    <sheetView workbookViewId="0"/>
  </sheetViews>
  <sheetFormatPr defaultRowHeight="15" outlineLevelRow="2" x14ac:dyDescent="0.25"/>
  <sheetData>
    <row r="1" spans="1:3" x14ac:dyDescent="0.25">
      <c r="A1" s="23" t="s">
        <v>0</v>
      </c>
      <c r="B1" s="23" t="s">
        <v>1</v>
      </c>
      <c r="C1" s="23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B411-DC58-46DD-A1E9-E83D2525CB54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s="2" t="s">
        <v>3</v>
      </c>
      <c r="B2" t="s">
        <v>4</v>
      </c>
      <c r="C2">
        <v>10</v>
      </c>
    </row>
    <row r="3" spans="1:3" outlineLevel="2" x14ac:dyDescent="0.25">
      <c r="A3" s="2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s="2" t="s">
        <v>6</v>
      </c>
      <c r="B5" t="s">
        <v>4</v>
      </c>
      <c r="C5">
        <v>30</v>
      </c>
    </row>
    <row r="6" spans="1:3" outlineLevel="2" x14ac:dyDescent="0.25">
      <c r="A6" s="2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s="2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D78D-A6F3-4261-B73E-922A4F05C08D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s="24" customFormat="1" outlineLevel="2" x14ac:dyDescent="0.25">
      <c r="A3" s="24" t="s">
        <v>3</v>
      </c>
      <c r="B3" s="24" t="s">
        <v>5</v>
      </c>
      <c r="C3" s="24">
        <v>20</v>
      </c>
    </row>
    <row r="4" spans="1:3" s="24" customFormat="1" outlineLevel="1" x14ac:dyDescent="0.25">
      <c r="A4" s="25" t="s">
        <v>9</v>
      </c>
      <c r="C4" s="2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0A06-02B8-4D22-AF76-DCC9140924BB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  <pageSetup orientation="portrait" r:id="rId1"/>
  <rowBreaks count="3" manualBreakCount="3">
    <brk id="4" max="16383" man="1"/>
    <brk id="7" max="16383" man="1"/>
    <brk id="10" max="16383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B6B3-2FDA-4887-B533-0B3610141FE0}">
  <sheetPr>
    <outlinePr summaryBelow="0"/>
  </sheetPr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SUBTOTAL(9,C4:C10)</f>
        <v>105</v>
      </c>
    </row>
    <row r="3" spans="1:3" outlineLevel="1" x14ac:dyDescent="0.25">
      <c r="A3" s="2" t="s">
        <v>9</v>
      </c>
      <c r="C3">
        <f>SUBTOTAL(9,C4:C5)</f>
        <v>30</v>
      </c>
    </row>
    <row r="4" spans="1:3" outlineLevel="2" x14ac:dyDescent="0.25">
      <c r="A4" t="s">
        <v>3</v>
      </c>
      <c r="B4" t="s">
        <v>4</v>
      </c>
      <c r="C4">
        <v>10</v>
      </c>
    </row>
    <row r="5" spans="1:3" outlineLevel="2" x14ac:dyDescent="0.25">
      <c r="A5" t="s">
        <v>3</v>
      </c>
      <c r="B5" t="s">
        <v>5</v>
      </c>
      <c r="C5">
        <v>20</v>
      </c>
    </row>
    <row r="6" spans="1:3" outlineLevel="1" x14ac:dyDescent="0.25">
      <c r="A6" s="2" t="s">
        <v>10</v>
      </c>
      <c r="C6">
        <f>SUBTOTAL(9,C7:C8)</f>
        <v>70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" t="s">
        <v>11</v>
      </c>
      <c r="C9">
        <f>SUBTOTAL(9,C10:C10)</f>
        <v>5</v>
      </c>
    </row>
    <row r="10" spans="1:3" outlineLevel="2" x14ac:dyDescent="0.25">
      <c r="A10" t="s">
        <v>8</v>
      </c>
      <c r="B10" t="s">
        <v>4</v>
      </c>
      <c r="C10">
        <v>5</v>
      </c>
    </row>
  </sheetData>
  <pageMargins left="0.7" right="0.7" top="0.75" bottom="0.75" header="0.3" footer="0.3"/>
  <pageSetup orientation="portrait" r:id="rId1"/>
  <rowBreaks count="2" manualBreakCount="2">
    <brk id="5" max="16383" man="1"/>
    <brk id="8" max="16383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6B80-A5AD-4535-A7E4-8D7932B8223F}"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2" x14ac:dyDescent="0.25">
      <c r="B4" s="2" t="s">
        <v>49</v>
      </c>
      <c r="C4">
        <f>SUBTOTAL(9,C2:C3)</f>
        <v>30</v>
      </c>
    </row>
    <row r="5" spans="1:3" outlineLevel="3" x14ac:dyDescent="0.25">
      <c r="A5" t="s">
        <v>3</v>
      </c>
      <c r="B5" t="s">
        <v>5</v>
      </c>
      <c r="C5">
        <v>5</v>
      </c>
    </row>
    <row r="6" spans="1:3" outlineLevel="2" x14ac:dyDescent="0.25">
      <c r="B6" s="2" t="s">
        <v>50</v>
      </c>
      <c r="C6">
        <f>SUBTOTAL(9,C5:C5)</f>
        <v>5</v>
      </c>
    </row>
    <row r="7" spans="1:3" outlineLevel="1" x14ac:dyDescent="0.25">
      <c r="A7" s="2" t="s">
        <v>9</v>
      </c>
      <c r="C7">
        <f>SUBTOTAL(9,C2:C5)</f>
        <v>35</v>
      </c>
    </row>
    <row r="8" spans="1:3" outlineLevel="3" x14ac:dyDescent="0.25">
      <c r="A8" t="s">
        <v>6</v>
      </c>
      <c r="B8" t="s">
        <v>4</v>
      </c>
      <c r="C8">
        <v>30</v>
      </c>
    </row>
    <row r="9" spans="1:3" outlineLevel="2" x14ac:dyDescent="0.25">
      <c r="B9" s="2" t="s">
        <v>49</v>
      </c>
      <c r="C9">
        <f>SUBTOTAL(9,C8:C8)</f>
        <v>30</v>
      </c>
    </row>
    <row r="10" spans="1:3" outlineLevel="3" x14ac:dyDescent="0.25">
      <c r="A10" t="s">
        <v>6</v>
      </c>
      <c r="B10" t="s">
        <v>7</v>
      </c>
      <c r="C10">
        <v>40</v>
      </c>
    </row>
    <row r="11" spans="1:3" outlineLevel="2" x14ac:dyDescent="0.25">
      <c r="B11" s="2" t="s">
        <v>51</v>
      </c>
      <c r="C11">
        <f>SUBTOTAL(9,C10:C10)</f>
        <v>40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 t="s">
        <v>12</v>
      </c>
      <c r="C13">
        <f>SUBTOTAL(9,C2:C10)</f>
        <v>105</v>
      </c>
    </row>
  </sheetData>
  <pageMargins left="0.7" right="0.7" top="0.75" bottom="0.75" header="0.3" footer="0.3"/>
  <pageSetup orientation="portrait" r:id="rId1"/>
  <rowBreaks count="5" manualBreakCount="5">
    <brk id="4" max="16383" man="1"/>
    <brk id="6" max="16383" man="1"/>
    <brk id="7" max="16383" man="1"/>
    <brk id="9" max="16383" man="1"/>
    <brk id="13" max="16383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C3DE-B8D0-4716-9849-C2C47BD1E364}"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2" x14ac:dyDescent="0.25">
      <c r="B4" s="2" t="s">
        <v>49</v>
      </c>
      <c r="C4">
        <f>SUBTOTAL(9,C2:C3)</f>
        <v>30</v>
      </c>
    </row>
    <row r="5" spans="1:3" outlineLevel="3" x14ac:dyDescent="0.25">
      <c r="A5" t="s">
        <v>3</v>
      </c>
      <c r="B5" t="s">
        <v>5</v>
      </c>
      <c r="C5">
        <v>5</v>
      </c>
    </row>
    <row r="6" spans="1:3" outlineLevel="2" x14ac:dyDescent="0.25">
      <c r="B6" s="2" t="s">
        <v>50</v>
      </c>
      <c r="C6">
        <f>SUBTOTAL(9,C5:C5)</f>
        <v>5</v>
      </c>
    </row>
    <row r="7" spans="1:3" outlineLevel="1" x14ac:dyDescent="0.25">
      <c r="A7" s="2" t="s">
        <v>9</v>
      </c>
      <c r="C7">
        <f>SUBTOTAL(9,C2:C5)</f>
        <v>35</v>
      </c>
    </row>
    <row r="8" spans="1:3" outlineLevel="3" x14ac:dyDescent="0.25">
      <c r="A8" t="s">
        <v>6</v>
      </c>
      <c r="B8" t="s">
        <v>4</v>
      </c>
      <c r="C8">
        <v>30</v>
      </c>
    </row>
    <row r="9" spans="1:3" outlineLevel="2" x14ac:dyDescent="0.25">
      <c r="B9" s="2" t="s">
        <v>49</v>
      </c>
      <c r="C9">
        <f>SUBTOTAL(9,C8:C8)</f>
        <v>30</v>
      </c>
    </row>
    <row r="10" spans="1:3" outlineLevel="3" x14ac:dyDescent="0.25">
      <c r="A10" t="s">
        <v>6</v>
      </c>
      <c r="B10" t="s">
        <v>7</v>
      </c>
      <c r="C10">
        <v>40</v>
      </c>
    </row>
    <row r="11" spans="1:3" outlineLevel="2" x14ac:dyDescent="0.25">
      <c r="B11" s="2" t="s">
        <v>51</v>
      </c>
      <c r="C11">
        <f>SUBTOTAL(9,C10:C10)</f>
        <v>40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 t="s">
        <v>12</v>
      </c>
      <c r="C13">
        <f>SUBTOTAL(9,C2:C10)</f>
        <v>105</v>
      </c>
    </row>
  </sheetData>
  <pageMargins left="0.7" right="0.7" top="0.75" bottom="0.75" header="0.3" footer="0.3"/>
  <pageSetup orientation="portrait" r:id="rId1"/>
  <rowBreaks count="4" manualBreakCount="4">
    <brk id="4" max="16383" man="1"/>
    <brk id="6" max="16383" man="1"/>
    <brk id="9" max="16383" man="1"/>
    <brk id="13" max="16383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8E8F-2F21-4788-A54E-FDAAA9C883A3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7B21-3070-43DE-AC66-8A4EF0AE4521}">
  <dimension ref="A1:C12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1" x14ac:dyDescent="0.25">
      <c r="B3" s="2" t="s">
        <v>49</v>
      </c>
      <c r="C3">
        <f>SUBTOTAL(9,C2:C2)</f>
        <v>10</v>
      </c>
    </row>
    <row r="4" spans="1:3" outlineLevel="2" x14ac:dyDescent="0.25">
      <c r="A4" t="s">
        <v>3</v>
      </c>
      <c r="B4" t="s">
        <v>5</v>
      </c>
      <c r="C4">
        <v>20</v>
      </c>
    </row>
    <row r="5" spans="1:3" outlineLevel="1" x14ac:dyDescent="0.25">
      <c r="B5" s="2" t="s">
        <v>50</v>
      </c>
      <c r="C5">
        <f>SUBTOTAL(9,C4:C4)</f>
        <v>20</v>
      </c>
    </row>
    <row r="6" spans="1:3" outlineLevel="2" x14ac:dyDescent="0.25">
      <c r="A6" t="s">
        <v>6</v>
      </c>
      <c r="B6" t="s">
        <v>4</v>
      </c>
      <c r="C6">
        <v>30</v>
      </c>
    </row>
    <row r="7" spans="1:3" outlineLevel="1" x14ac:dyDescent="0.25">
      <c r="B7" s="2" t="s">
        <v>49</v>
      </c>
      <c r="C7">
        <f>SUBTOTAL(9,C6:C6)</f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B9" s="2" t="s">
        <v>51</v>
      </c>
      <c r="C9">
        <f>SUBTOTAL(9,C8:C8)</f>
        <v>40</v>
      </c>
    </row>
    <row r="10" spans="1:3" outlineLevel="2" x14ac:dyDescent="0.25">
      <c r="A10" t="s">
        <v>8</v>
      </c>
      <c r="B10" t="s">
        <v>4</v>
      </c>
      <c r="C10">
        <v>5</v>
      </c>
    </row>
    <row r="11" spans="1:3" outlineLevel="1" x14ac:dyDescent="0.25">
      <c r="B11" s="2" t="s">
        <v>49</v>
      </c>
      <c r="C11">
        <f>SUBTOTAL(9,C10:C10)</f>
        <v>5</v>
      </c>
    </row>
    <row r="12" spans="1:3" x14ac:dyDescent="0.25">
      <c r="B12" s="2" t="s">
        <v>12</v>
      </c>
      <c r="C12">
        <f>SUBTOTAL(9,C2:C10)</f>
        <v>105</v>
      </c>
    </row>
  </sheetData>
  <pageMargins left="0.7" right="0.7" top="0.75" bottom="0.75" header="0.3" footer="0.3"/>
  <pageSetup orientation="portrait" r:id="rId1"/>
  <rowBreaks count="5" manualBreakCount="5">
    <brk id="3" max="16383" man="1"/>
    <brk id="5" max="16383" man="1"/>
    <brk id="7" max="16383" man="1"/>
    <brk id="9" max="16383" man="1"/>
    <brk id="12" max="16383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E9ED-6722-482E-AF37-E34E56EFF1E5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  <rowBreaks count="1" manualBreakCount="1">
    <brk id="19" max="16383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A589-6D9F-4871-8B16-F6E108664DE3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5258-B980-4A50-9C0B-EF3CE7FEC59D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B11F-5EA6-4A8A-AF1D-E27958D019FB}">
  <dimension ref="A1:C6"/>
  <sheetViews>
    <sheetView workbookViewId="0"/>
  </sheetViews>
  <sheetFormatPr defaultRowHeight="15" x14ac:dyDescent="0.25"/>
  <cols>
    <col min="1" max="1" width="9.42578125" customWidth="1"/>
    <col min="2" max="2" width="1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2E7D-9C35-4048-AC89-57F0E9A026D8}">
  <sheetPr filterMode="1"/>
  <dimension ref="A1:C8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s="2" t="s">
        <v>9</v>
      </c>
      <c r="C4">
        <f>SUBTOTAL(9,C2:C3)</f>
        <v>30</v>
      </c>
    </row>
    <row r="5" spans="1:3" hidden="1" x14ac:dyDescent="0.25">
      <c r="A5" t="s">
        <v>6</v>
      </c>
      <c r="B5" t="s">
        <v>4</v>
      </c>
      <c r="C5">
        <v>30</v>
      </c>
    </row>
    <row r="6" spans="1:3" hidden="1" x14ac:dyDescent="0.25">
      <c r="A6" t="s">
        <v>6</v>
      </c>
      <c r="B6" t="s">
        <v>7</v>
      </c>
      <c r="C6">
        <v>40</v>
      </c>
    </row>
    <row r="7" spans="1:3" hidden="1" x14ac:dyDescent="0.25">
      <c r="A7" t="s">
        <v>8</v>
      </c>
      <c r="B7" t="s">
        <v>4</v>
      </c>
      <c r="C7">
        <v>5</v>
      </c>
    </row>
    <row r="8" spans="1:3" x14ac:dyDescent="0.25">
      <c r="A8" s="2" t="s">
        <v>12</v>
      </c>
      <c r="C8">
        <f>SUBTOTAL(9,C2:C7)</f>
        <v>30</v>
      </c>
    </row>
  </sheetData>
  <autoFilter ref="A1:C7" xr:uid="{93E92E7D-9C35-4048-AC89-57F0E9A026D8}">
    <filterColumn colId="0">
      <filters>
        <filter val="East"/>
      </filters>
    </filterColumn>
  </autoFilter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EDDD-7A05-462E-9638-887590E53191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21BC-304E-4B9C-B391-0937EB7AA4AA}">
  <dimension ref="A1:C12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1" x14ac:dyDescent="0.25">
      <c r="A6" s="2" t="s">
        <v>10</v>
      </c>
      <c r="C6">
        <f>SUBTOTAL(9,C5:C5)</f>
        <v>30</v>
      </c>
    </row>
    <row r="7" spans="1:3" outlineLevel="1" x14ac:dyDescent="0.25"/>
    <row r="8" spans="1:3" outlineLevel="1" x14ac:dyDescent="0.25"/>
    <row r="9" spans="1:3" outlineLevel="2" x14ac:dyDescent="0.25">
      <c r="A9" t="s">
        <v>8</v>
      </c>
      <c r="B9" t="s">
        <v>4</v>
      </c>
      <c r="C9">
        <v>5</v>
      </c>
    </row>
    <row r="10" spans="1:3" outlineLevel="2" x14ac:dyDescent="0.25">
      <c r="A10" t="s">
        <v>8</v>
      </c>
      <c r="B10" t="s">
        <v>5</v>
      </c>
      <c r="C10">
        <v>6</v>
      </c>
    </row>
    <row r="11" spans="1:3" outlineLevel="1" x14ac:dyDescent="0.25">
      <c r="A11" s="2" t="s">
        <v>11</v>
      </c>
      <c r="C11">
        <f>SUBTOTAL(9,C9:C10)</f>
        <v>11</v>
      </c>
    </row>
    <row r="12" spans="1:3" x14ac:dyDescent="0.25">
      <c r="A12" s="2" t="s">
        <v>12</v>
      </c>
      <c r="C12">
        <f>SUBTOTAL(9,C2:C10)</f>
        <v>71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9DED-AA75-43D8-8723-8DA052D8ACF8}">
  <dimension ref="A1:B7"/>
  <sheetViews>
    <sheetView workbookViewId="0"/>
  </sheetViews>
  <sheetFormatPr defaultRowHeight="15" outlineLevelRow="2" x14ac:dyDescent="0.25"/>
  <sheetData>
    <row r="1" spans="1:2" x14ac:dyDescent="0.25">
      <c r="B1" t="s">
        <v>58</v>
      </c>
    </row>
    <row r="2" spans="1:2" outlineLevel="2" x14ac:dyDescent="0.25">
      <c r="B2" t="s">
        <v>114</v>
      </c>
    </row>
    <row r="3" spans="1:2" outlineLevel="2" x14ac:dyDescent="0.25">
      <c r="B3" t="s">
        <v>114</v>
      </c>
    </row>
    <row r="4" spans="1:2" outlineLevel="1" x14ac:dyDescent="0.25">
      <c r="A4" s="2" t="s">
        <v>118</v>
      </c>
      <c r="B4">
        <f>SUBTOTAL(3,B2:B3)</f>
        <v>2</v>
      </c>
    </row>
    <row r="5" spans="1:2" outlineLevel="2" x14ac:dyDescent="0.25">
      <c r="B5" t="s">
        <v>115</v>
      </c>
    </row>
    <row r="6" spans="1:2" outlineLevel="1" x14ac:dyDescent="0.25">
      <c r="A6" s="2" t="s">
        <v>119</v>
      </c>
      <c r="B6">
        <f>SUBTOTAL(3,B5:B5)</f>
        <v>1</v>
      </c>
    </row>
    <row r="7" spans="1:2" x14ac:dyDescent="0.25">
      <c r="A7" s="2" t="s">
        <v>16</v>
      </c>
      <c r="B7">
        <f>SUBTOTAL(3,B2:B5)</f>
        <v>3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E87B-74E1-4D48-8AA5-AFCE88B6522F}">
  <dimension ref="A1:C12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1" x14ac:dyDescent="0.25">
      <c r="A3" s="2" t="s">
        <v>49</v>
      </c>
      <c r="B3">
        <f>SUBTOTAL(9,B2:B2)</f>
        <v>0</v>
      </c>
      <c r="C3">
        <f>SUBTOTAL(9,C2:C2)</f>
        <v>10</v>
      </c>
    </row>
    <row r="4" spans="1:3" outlineLevel="2" x14ac:dyDescent="0.25">
      <c r="A4" t="s">
        <v>3</v>
      </c>
      <c r="B4" t="s">
        <v>5</v>
      </c>
      <c r="C4">
        <v>20</v>
      </c>
    </row>
    <row r="5" spans="1:3" outlineLevel="1" x14ac:dyDescent="0.25">
      <c r="A5" s="2" t="s">
        <v>50</v>
      </c>
      <c r="B5">
        <f>SUBTOTAL(9,B4:B4)</f>
        <v>0</v>
      </c>
      <c r="C5">
        <f>SUBTOTAL(9,C4:C4)</f>
        <v>20</v>
      </c>
    </row>
    <row r="6" spans="1:3" outlineLevel="2" x14ac:dyDescent="0.25">
      <c r="A6" t="s">
        <v>6</v>
      </c>
      <c r="B6" t="s">
        <v>4</v>
      </c>
      <c r="C6">
        <v>30</v>
      </c>
    </row>
    <row r="7" spans="1:3" outlineLevel="1" x14ac:dyDescent="0.25">
      <c r="A7" s="2" t="s">
        <v>49</v>
      </c>
      <c r="B7">
        <f>SUBTOTAL(9,B6:B6)</f>
        <v>0</v>
      </c>
      <c r="C7">
        <f>SUBTOTAL(9,C6:C6)</f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" t="s">
        <v>51</v>
      </c>
      <c r="B9">
        <f>SUBTOTAL(9,B8:B8)</f>
        <v>0</v>
      </c>
      <c r="C9">
        <f>SUBTOTAL(9,C8:C8)</f>
        <v>40</v>
      </c>
    </row>
    <row r="10" spans="1:3" outlineLevel="2" x14ac:dyDescent="0.25">
      <c r="A10" t="s">
        <v>8</v>
      </c>
      <c r="B10" t="s">
        <v>4</v>
      </c>
      <c r="C10">
        <v>5</v>
      </c>
    </row>
    <row r="11" spans="1:3" outlineLevel="1" x14ac:dyDescent="0.25">
      <c r="A11" s="2" t="s">
        <v>49</v>
      </c>
      <c r="B11">
        <f>SUBTOTAL(9,B10:B10)</f>
        <v>0</v>
      </c>
      <c r="C11">
        <f>SUBTOTAL(9,C10:C10)</f>
        <v>5</v>
      </c>
    </row>
    <row r="12" spans="1:3" x14ac:dyDescent="0.25">
      <c r="A12" s="2" t="s">
        <v>12</v>
      </c>
      <c r="B12">
        <f>SUBTOTAL(9,B2:B10)</f>
        <v>0</v>
      </c>
      <c r="C12">
        <f>SUBTOTAL(9,C2:C10)</f>
        <v>105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CB54-6FB3-475D-A05A-3B343A9EFE97}">
  <dimension ref="A1:H33"/>
  <sheetViews>
    <sheetView workbookViewId="0"/>
  </sheetViews>
  <sheetFormatPr defaultRowHeight="15" outlineLevelRow="2" x14ac:dyDescent="0.25"/>
  <sheetData>
    <row r="1" spans="2:8" x14ac:dyDescent="0.25">
      <c r="C1" t="s">
        <v>0</v>
      </c>
      <c r="D1" t="s">
        <v>1</v>
      </c>
      <c r="E1" t="s">
        <v>2</v>
      </c>
    </row>
    <row r="2" spans="2:8" outlineLevel="2" x14ac:dyDescent="0.25">
      <c r="C2" t="s">
        <v>3</v>
      </c>
      <c r="D2" t="s">
        <v>4</v>
      </c>
      <c r="E2">
        <v>10</v>
      </c>
      <c r="H2" t="s">
        <v>121</v>
      </c>
    </row>
    <row r="3" spans="2:8" outlineLevel="2" x14ac:dyDescent="0.25">
      <c r="C3" t="s">
        <v>3</v>
      </c>
      <c r="D3" t="s">
        <v>5</v>
      </c>
      <c r="E3">
        <v>20</v>
      </c>
    </row>
    <row r="4" spans="2:8" outlineLevel="1" x14ac:dyDescent="0.25">
      <c r="B4" s="2" t="s">
        <v>9</v>
      </c>
      <c r="C4">
        <f>SUBTOTAL(9,C2:C3)</f>
        <v>0</v>
      </c>
      <c r="E4">
        <f>SUBTOTAL(9,E2:E3)</f>
        <v>30</v>
      </c>
    </row>
    <row r="5" spans="2:8" outlineLevel="2" x14ac:dyDescent="0.25">
      <c r="C5" t="s">
        <v>6</v>
      </c>
      <c r="D5" t="s">
        <v>4</v>
      </c>
      <c r="E5">
        <v>30</v>
      </c>
    </row>
    <row r="6" spans="2:8" outlineLevel="1" x14ac:dyDescent="0.25">
      <c r="B6" s="2" t="s">
        <v>10</v>
      </c>
      <c r="C6">
        <f>SUBTOTAL(9,C5:C5)</f>
        <v>0</v>
      </c>
      <c r="E6">
        <f>SUBTOTAL(9,E5:E5)</f>
        <v>30</v>
      </c>
    </row>
    <row r="7" spans="2:8" x14ac:dyDescent="0.25">
      <c r="B7" s="2" t="s">
        <v>12</v>
      </c>
      <c r="C7">
        <f>SUBTOTAL(9,C2:C5)</f>
        <v>0</v>
      </c>
      <c r="E7">
        <f>SUBTOTAL(9,E2:E5)</f>
        <v>60</v>
      </c>
    </row>
    <row r="23" spans="3:3" x14ac:dyDescent="0.25">
      <c r="C23" t="s">
        <v>120</v>
      </c>
    </row>
    <row r="33" spans="1:1" x14ac:dyDescent="0.25">
      <c r="A33" t="s">
        <v>122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0C87-E915-4627-9C97-34A49240444E}">
  <dimension ref="B1:D6"/>
  <sheetViews>
    <sheetView workbookViewId="0"/>
  </sheetViews>
  <sheetFormatPr defaultRowHeight="15" x14ac:dyDescent="0.25"/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 t="s">
        <v>3</v>
      </c>
      <c r="C2" t="s">
        <v>4</v>
      </c>
      <c r="D2">
        <v>10</v>
      </c>
    </row>
    <row r="3" spans="2:4" x14ac:dyDescent="0.25">
      <c r="B3" t="s">
        <v>3</v>
      </c>
      <c r="C3" t="s">
        <v>5</v>
      </c>
      <c r="D3">
        <v>20</v>
      </c>
    </row>
    <row r="4" spans="2:4" x14ac:dyDescent="0.25">
      <c r="B4" t="s">
        <v>6</v>
      </c>
      <c r="C4" t="s">
        <v>4</v>
      </c>
      <c r="D4">
        <v>30</v>
      </c>
    </row>
    <row r="5" spans="2:4" x14ac:dyDescent="0.25">
      <c r="B5" t="s">
        <v>6</v>
      </c>
      <c r="C5" t="s">
        <v>7</v>
      </c>
      <c r="D5">
        <v>40</v>
      </c>
    </row>
    <row r="6" spans="2:4" x14ac:dyDescent="0.25">
      <c r="B6" t="s">
        <v>8</v>
      </c>
      <c r="C6" t="s">
        <v>4</v>
      </c>
      <c r="D6">
        <v>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3CD4-D9C5-4B1B-9027-7EB12423FDD6}">
  <dimension ref="B1:D10"/>
  <sheetViews>
    <sheetView workbookViewId="0"/>
  </sheetViews>
  <sheetFormatPr defaultRowHeight="15" outlineLevelRow="2" x14ac:dyDescent="0.25"/>
  <sheetData>
    <row r="1" spans="2:4" x14ac:dyDescent="0.25">
      <c r="B1" t="s">
        <v>0</v>
      </c>
      <c r="C1" t="s">
        <v>1</v>
      </c>
      <c r="D1" t="s">
        <v>2</v>
      </c>
    </row>
    <row r="2" spans="2:4" outlineLevel="2" x14ac:dyDescent="0.25">
      <c r="B2" t="s">
        <v>3</v>
      </c>
      <c r="C2" t="s">
        <v>4</v>
      </c>
      <c r="D2">
        <v>10</v>
      </c>
    </row>
    <row r="3" spans="2:4" outlineLevel="2" x14ac:dyDescent="0.25">
      <c r="B3" t="s">
        <v>3</v>
      </c>
      <c r="C3" t="s">
        <v>5</v>
      </c>
      <c r="D3">
        <v>20</v>
      </c>
    </row>
    <row r="4" spans="2:4" outlineLevel="1" x14ac:dyDescent="0.25">
      <c r="B4" s="2" t="s">
        <v>13</v>
      </c>
      <c r="D4">
        <f>SUBTOTAL(3,D2:D3)</f>
        <v>2</v>
      </c>
    </row>
    <row r="5" spans="2:4" outlineLevel="2" x14ac:dyDescent="0.25">
      <c r="B5" t="s">
        <v>6</v>
      </c>
      <c r="C5" t="s">
        <v>4</v>
      </c>
      <c r="D5">
        <v>30</v>
      </c>
    </row>
    <row r="6" spans="2:4" outlineLevel="2" x14ac:dyDescent="0.25">
      <c r="B6" t="s">
        <v>6</v>
      </c>
      <c r="C6" t="s">
        <v>7</v>
      </c>
      <c r="D6">
        <v>40</v>
      </c>
    </row>
    <row r="7" spans="2:4" outlineLevel="1" x14ac:dyDescent="0.25">
      <c r="B7" s="2" t="s">
        <v>14</v>
      </c>
      <c r="D7">
        <f>SUBTOTAL(3,D5:D6)</f>
        <v>2</v>
      </c>
    </row>
    <row r="8" spans="2:4" outlineLevel="2" x14ac:dyDescent="0.25">
      <c r="B8" t="s">
        <v>8</v>
      </c>
      <c r="C8" t="s">
        <v>4</v>
      </c>
      <c r="D8">
        <v>5</v>
      </c>
    </row>
    <row r="9" spans="2:4" outlineLevel="1" x14ac:dyDescent="0.25">
      <c r="B9" s="2" t="s">
        <v>15</v>
      </c>
      <c r="D9">
        <f>SUBTOTAL(3,D8:D8)</f>
        <v>1</v>
      </c>
    </row>
    <row r="10" spans="2:4" x14ac:dyDescent="0.25">
      <c r="B10" s="2" t="s">
        <v>16</v>
      </c>
      <c r="D10">
        <f>SUBTOTAL(3,D2:D8)</f>
        <v>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17FE-EC05-47FA-BFE5-58A418524621}">
  <dimension ref="A1:C9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1" x14ac:dyDescent="0.25">
      <c r="A3" s="2" t="s">
        <v>9</v>
      </c>
      <c r="C3">
        <f>SUBTOTAL(9,C2:C2)</f>
        <v>10</v>
      </c>
    </row>
    <row r="4" spans="1:3" outlineLevel="2" x14ac:dyDescent="0.25">
      <c r="A4" t="s">
        <v>6</v>
      </c>
      <c r="B4" t="s">
        <v>4</v>
      </c>
      <c r="C4">
        <v>30</v>
      </c>
    </row>
    <row r="5" spans="1:3" outlineLevel="2" x14ac:dyDescent="0.25">
      <c r="A5" t="s">
        <v>6</v>
      </c>
      <c r="B5" t="s">
        <v>7</v>
      </c>
      <c r="C5">
        <v>40</v>
      </c>
    </row>
    <row r="6" spans="1:3" outlineLevel="1" x14ac:dyDescent="0.25">
      <c r="A6" s="2" t="s">
        <v>10</v>
      </c>
      <c r="C6">
        <f>SUBTOTAL(9,C4:C5)</f>
        <v>70</v>
      </c>
    </row>
    <row r="7" spans="1:3" outlineLevel="2" x14ac:dyDescent="0.25">
      <c r="A7" t="s">
        <v>8</v>
      </c>
      <c r="B7" t="s">
        <v>4</v>
      </c>
      <c r="C7">
        <v>5</v>
      </c>
    </row>
    <row r="8" spans="1:3" outlineLevel="1" x14ac:dyDescent="0.25">
      <c r="A8" s="2" t="s">
        <v>11</v>
      </c>
      <c r="C8">
        <f>SUBTOTAL(9,C7:C7)</f>
        <v>5</v>
      </c>
    </row>
    <row r="9" spans="1:3" x14ac:dyDescent="0.25">
      <c r="A9" s="2" t="s">
        <v>12</v>
      </c>
      <c r="C9">
        <f>SUBTOTAL(9,C2:C7)</f>
        <v>85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6063-E9A6-4850-B92A-A28E6258150D}">
  <dimension ref="A1:B13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outlineLevel="2" x14ac:dyDescent="0.25">
      <c r="A2" t="s">
        <v>62</v>
      </c>
      <c r="B2">
        <v>1</v>
      </c>
    </row>
    <row r="3" spans="1:2" outlineLevel="2" x14ac:dyDescent="0.25">
      <c r="A3" t="s">
        <v>3</v>
      </c>
      <c r="B3">
        <v>2</v>
      </c>
    </row>
    <row r="4" spans="1:2" outlineLevel="2" x14ac:dyDescent="0.25">
      <c r="A4" t="s">
        <v>123</v>
      </c>
      <c r="B4">
        <v>3</v>
      </c>
    </row>
    <row r="5" spans="1:2" outlineLevel="1" x14ac:dyDescent="0.25">
      <c r="A5" s="2" t="s">
        <v>126</v>
      </c>
      <c r="B5">
        <f>SUBTOTAL(9,B2:B4)</f>
        <v>6</v>
      </c>
    </row>
    <row r="6" spans="1:2" outlineLevel="2" x14ac:dyDescent="0.25">
      <c r="A6" t="s">
        <v>124</v>
      </c>
      <c r="B6">
        <v>4</v>
      </c>
    </row>
    <row r="7" spans="1:2" outlineLevel="1" x14ac:dyDescent="0.25">
      <c r="A7" s="2" t="s">
        <v>127</v>
      </c>
      <c r="B7">
        <f>SUBTOTAL(9,B6:B6)</f>
        <v>4</v>
      </c>
    </row>
    <row r="8" spans="1:2" outlineLevel="2" x14ac:dyDescent="0.25">
      <c r="A8" t="s">
        <v>3</v>
      </c>
      <c r="B8">
        <v>5</v>
      </c>
    </row>
    <row r="9" spans="1:2" outlineLevel="1" x14ac:dyDescent="0.25">
      <c r="A9" s="2" t="s">
        <v>9</v>
      </c>
      <c r="B9">
        <f>SUBTOTAL(9,B8:B8)</f>
        <v>5</v>
      </c>
    </row>
    <row r="10" spans="1:2" outlineLevel="1" x14ac:dyDescent="0.25">
      <c r="A10" t="s">
        <v>125</v>
      </c>
      <c r="B10">
        <v>6</v>
      </c>
    </row>
    <row r="11" spans="1:2" outlineLevel="2" x14ac:dyDescent="0.25">
      <c r="A11" t="s">
        <v>64</v>
      </c>
      <c r="B11">
        <v>7</v>
      </c>
    </row>
    <row r="12" spans="1:2" outlineLevel="1" x14ac:dyDescent="0.25">
      <c r="A12" s="2" t="s">
        <v>73</v>
      </c>
      <c r="B12">
        <f>SUBTOTAL(9,B11:B11)</f>
        <v>7</v>
      </c>
    </row>
    <row r="13" spans="1:2" x14ac:dyDescent="0.25">
      <c r="A13" s="2" t="s">
        <v>12</v>
      </c>
      <c r="B13">
        <f>SUBTOTAL(9,B2:B11)</f>
        <v>28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2867-70D3-43EE-8295-843BD5B85F1C}">
  <sheetPr>
    <outlinePr summaryBelow="0"/>
  </sheetPr>
  <dimension ref="A1:B6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x14ac:dyDescent="0.25">
      <c r="A2" s="2" t="s">
        <v>12</v>
      </c>
      <c r="B2">
        <f>SUBTOTAL(9,B4:B6)</f>
        <v>3</v>
      </c>
    </row>
    <row r="3" spans="1:2" outlineLevel="1" x14ac:dyDescent="0.25">
      <c r="A3" s="2" t="s">
        <v>128</v>
      </c>
      <c r="B3">
        <f>SUBTOTAL(9,B4:B4)</f>
        <v>1</v>
      </c>
    </row>
    <row r="4" spans="1:2" outlineLevel="2" x14ac:dyDescent="0.25">
      <c r="B4">
        <v>1</v>
      </c>
    </row>
    <row r="5" spans="1:2" outlineLevel="1" x14ac:dyDescent="0.25">
      <c r="A5" s="2" t="s">
        <v>128</v>
      </c>
      <c r="B5">
        <f>SUBTOTAL(9,B6:B6)</f>
        <v>2</v>
      </c>
    </row>
    <row r="6" spans="1:2" outlineLevel="2" x14ac:dyDescent="0.25">
      <c r="B6">
        <v>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02E8-ADA3-4DF4-A696-21BA278EB5BA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6E52-675B-4053-8777-4675D7D38260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F39B-0C77-4CCB-BD00-FEA758BD209C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8DD1-AD16-4F6F-9BC9-370207724411}">
  <sheetPr>
    <outlinePr summaryBelow="0"/>
  </sheetPr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SUBTOTAL(9,C5:C13)</f>
        <v>105</v>
      </c>
    </row>
    <row r="3" spans="1:3" outlineLevel="1" x14ac:dyDescent="0.25">
      <c r="A3" s="2" t="s">
        <v>9</v>
      </c>
      <c r="C3">
        <f>SUBTOTAL(9,C5:C8)</f>
        <v>35</v>
      </c>
    </row>
    <row r="4" spans="1:3" outlineLevel="2" x14ac:dyDescent="0.25">
      <c r="B4" s="2" t="s">
        <v>49</v>
      </c>
      <c r="C4">
        <f>SUBTOTAL(9,C5:C6)</f>
        <v>30</v>
      </c>
    </row>
    <row r="5" spans="1:3" outlineLevel="3" x14ac:dyDescent="0.25">
      <c r="A5" t="s">
        <v>3</v>
      </c>
      <c r="B5" t="s">
        <v>4</v>
      </c>
      <c r="C5">
        <v>10</v>
      </c>
    </row>
    <row r="6" spans="1:3" outlineLevel="3" x14ac:dyDescent="0.25">
      <c r="A6" t="s">
        <v>3</v>
      </c>
      <c r="B6" t="s">
        <v>4</v>
      </c>
      <c r="C6">
        <v>20</v>
      </c>
    </row>
    <row r="7" spans="1:3" outlineLevel="2" x14ac:dyDescent="0.25">
      <c r="B7" s="2" t="s">
        <v>50</v>
      </c>
      <c r="C7">
        <f>SUBTOTAL(9,C8:C8)</f>
        <v>5</v>
      </c>
    </row>
    <row r="8" spans="1:3" outlineLevel="3" x14ac:dyDescent="0.25">
      <c r="A8" t="s">
        <v>3</v>
      </c>
      <c r="B8" t="s">
        <v>5</v>
      </c>
      <c r="C8">
        <v>5</v>
      </c>
    </row>
    <row r="9" spans="1:3" outlineLevel="1" x14ac:dyDescent="0.25">
      <c r="A9" s="2" t="s">
        <v>10</v>
      </c>
      <c r="C9">
        <f>SUBTOTAL(9,C11:C13)</f>
        <v>70</v>
      </c>
    </row>
    <row r="10" spans="1:3" outlineLevel="2" x14ac:dyDescent="0.25">
      <c r="B10" s="2" t="s">
        <v>49</v>
      </c>
      <c r="C10">
        <f>SUBTOTAL(9,C11:C11)</f>
        <v>30</v>
      </c>
    </row>
    <row r="11" spans="1:3" outlineLevel="3" x14ac:dyDescent="0.25">
      <c r="A11" t="s">
        <v>6</v>
      </c>
      <c r="B11" t="s">
        <v>4</v>
      </c>
      <c r="C11">
        <v>30</v>
      </c>
    </row>
    <row r="12" spans="1:3" outlineLevel="2" x14ac:dyDescent="0.25">
      <c r="B12" s="2" t="s">
        <v>51</v>
      </c>
      <c r="C12">
        <f>SUBTOTAL(9,C13:C13)</f>
        <v>40</v>
      </c>
    </row>
    <row r="13" spans="1:3" outlineLevel="3" x14ac:dyDescent="0.25">
      <c r="A13" t="s">
        <v>6</v>
      </c>
      <c r="B13" t="s">
        <v>7</v>
      </c>
      <c r="C13">
        <v>40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B005-3AFA-40B8-BDB3-F2D6F3759BBE}">
  <sheetPr>
    <outlinePr summaryBelow="0"/>
  </sheetPr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SUBTOTAL(9,C4:C10)</f>
        <v>105</v>
      </c>
    </row>
    <row r="3" spans="1:3" outlineLevel="1" x14ac:dyDescent="0.25">
      <c r="A3" s="2" t="s">
        <v>9</v>
      </c>
      <c r="C3">
        <f>SUBTOTAL(9,C4:C5)</f>
        <v>30</v>
      </c>
    </row>
    <row r="4" spans="1:3" outlineLevel="2" x14ac:dyDescent="0.25">
      <c r="A4" t="s">
        <v>3</v>
      </c>
      <c r="B4" t="s">
        <v>4</v>
      </c>
      <c r="C4">
        <v>10</v>
      </c>
    </row>
    <row r="5" spans="1:3" outlineLevel="2" x14ac:dyDescent="0.25">
      <c r="A5" t="s">
        <v>3</v>
      </c>
      <c r="B5" t="s">
        <v>5</v>
      </c>
      <c r="C5">
        <v>20</v>
      </c>
    </row>
    <row r="6" spans="1:3" outlineLevel="1" x14ac:dyDescent="0.25">
      <c r="A6" s="2" t="s">
        <v>10</v>
      </c>
      <c r="C6">
        <f>SUBTOTAL(9,C7:C8)</f>
        <v>70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" t="s">
        <v>11</v>
      </c>
      <c r="C9">
        <f>SUBTOTAL(9,C10:C10)</f>
        <v>5</v>
      </c>
    </row>
    <row r="10" spans="1:3" outlineLevel="2" x14ac:dyDescent="0.25">
      <c r="A10" t="s">
        <v>8</v>
      </c>
      <c r="B10" t="s">
        <v>4</v>
      </c>
      <c r="C10">
        <v>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BE66-7300-421E-BB8A-F7993453482E}">
  <dimension ref="A1:C10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5</v>
      </c>
      <c r="C3">
        <v>20</v>
      </c>
    </row>
    <row r="4" spans="1:3" outlineLevel="2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FDCD-11A8-438E-BEA8-92C9A59FED75}">
  <dimension ref="A1:C10"/>
  <sheetViews>
    <sheetView workbookViewId="0"/>
  </sheetViews>
  <sheetFormatPr defaultRowHeight="15" outlineLevelRow="2" outlineLevelCol="1" x14ac:dyDescent="0.25"/>
  <cols>
    <col min="2" max="3" width="9.140625" outlineLevel="1"/>
  </cols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6F55-03C2-4FA0-AC7C-90D386DAE41E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6602-8EB5-484D-945B-FF92225FE24F}"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hidden="1" outlineLevel="3" x14ac:dyDescent="0.25">
      <c r="A2" t="s">
        <v>3</v>
      </c>
      <c r="B2" t="s">
        <v>4</v>
      </c>
      <c r="C2">
        <v>10</v>
      </c>
    </row>
    <row r="3" spans="1:3" hidden="1" outlineLevel="3" x14ac:dyDescent="0.25">
      <c r="A3" t="s">
        <v>3</v>
      </c>
      <c r="B3" t="s">
        <v>4</v>
      </c>
      <c r="C3">
        <v>20</v>
      </c>
    </row>
    <row r="4" spans="1:3" outlineLevel="2" collapsed="1" x14ac:dyDescent="0.25">
      <c r="B4" s="2" t="s">
        <v>49</v>
      </c>
      <c r="C4">
        <f>SUBTOTAL(9,C2:C3)</f>
        <v>30</v>
      </c>
    </row>
    <row r="5" spans="1:3" hidden="1" outlineLevel="3" x14ac:dyDescent="0.25">
      <c r="A5" t="s">
        <v>3</v>
      </c>
      <c r="B5" t="s">
        <v>5</v>
      </c>
      <c r="C5">
        <v>5</v>
      </c>
    </row>
    <row r="6" spans="1:3" outlineLevel="2" collapsed="1" x14ac:dyDescent="0.25">
      <c r="B6" s="2" t="s">
        <v>50</v>
      </c>
      <c r="C6">
        <f>SUBTOTAL(9,C5:C5)</f>
        <v>5</v>
      </c>
    </row>
    <row r="7" spans="1:3" outlineLevel="1" x14ac:dyDescent="0.25">
      <c r="A7" s="2" t="s">
        <v>9</v>
      </c>
      <c r="C7">
        <f>SUBTOTAL(9,C2:C5)</f>
        <v>35</v>
      </c>
    </row>
    <row r="8" spans="1:3" hidden="1" outlineLevel="3" x14ac:dyDescent="0.25">
      <c r="A8" t="s">
        <v>6</v>
      </c>
      <c r="B8" t="s">
        <v>4</v>
      </c>
      <c r="C8">
        <v>30</v>
      </c>
    </row>
    <row r="9" spans="1:3" outlineLevel="2" collapsed="1" x14ac:dyDescent="0.25">
      <c r="B9" s="2" t="s">
        <v>49</v>
      </c>
      <c r="C9">
        <f>SUBTOTAL(9,C8:C8)</f>
        <v>30</v>
      </c>
    </row>
    <row r="10" spans="1:3" hidden="1" outlineLevel="3" x14ac:dyDescent="0.25">
      <c r="A10" t="s">
        <v>6</v>
      </c>
      <c r="B10" t="s">
        <v>7</v>
      </c>
      <c r="C10">
        <v>40</v>
      </c>
    </row>
    <row r="11" spans="1:3" outlineLevel="2" collapsed="1" x14ac:dyDescent="0.25">
      <c r="B11" s="2" t="s">
        <v>51</v>
      </c>
      <c r="C11">
        <f>SUBTOTAL(9,C10:C10)</f>
        <v>40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 t="s">
        <v>12</v>
      </c>
      <c r="C13">
        <f>SUBTOTAL(9,C2:C10)</f>
        <v>105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9441-911B-458A-B9A9-1E0E5964C5CB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>
        <v>10</v>
      </c>
    </row>
    <row r="3" spans="1:4" x14ac:dyDescent="0.25">
      <c r="A3" t="s">
        <v>3</v>
      </c>
      <c r="B3" t="s">
        <v>5</v>
      </c>
      <c r="C3">
        <v>20</v>
      </c>
      <c r="D3">
        <f>ROUND(SUBTOTAL(9,C2:C3),0)</f>
        <v>30</v>
      </c>
    </row>
    <row r="4" spans="1:4" x14ac:dyDescent="0.25">
      <c r="A4" t="s">
        <v>6</v>
      </c>
      <c r="B4" t="s">
        <v>4</v>
      </c>
      <c r="C4">
        <v>30</v>
      </c>
    </row>
    <row r="5" spans="1:4" x14ac:dyDescent="0.25">
      <c r="A5" t="s">
        <v>6</v>
      </c>
      <c r="B5" t="s">
        <v>7</v>
      </c>
      <c r="C5">
        <v>40</v>
      </c>
    </row>
    <row r="6" spans="1:4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0E0-CADA-45E5-BF24-6B33BB47E0B1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>
        <v>10</v>
      </c>
    </row>
    <row r="3" spans="1:4" x14ac:dyDescent="0.25">
      <c r="A3" t="s">
        <v>3</v>
      </c>
      <c r="B3" t="s">
        <v>5</v>
      </c>
      <c r="C3">
        <v>20</v>
      </c>
      <c r="D3" s="3" t="s">
        <v>129</v>
      </c>
    </row>
    <row r="4" spans="1:4" x14ac:dyDescent="0.25">
      <c r="A4" t="s">
        <v>6</v>
      </c>
      <c r="B4" t="s">
        <v>4</v>
      </c>
      <c r="C4">
        <v>30</v>
      </c>
    </row>
    <row r="5" spans="1:4" x14ac:dyDescent="0.25">
      <c r="A5" t="s">
        <v>6</v>
      </c>
      <c r="B5" t="s">
        <v>7</v>
      </c>
      <c r="C5">
        <v>40</v>
      </c>
    </row>
    <row r="6" spans="1:4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B435-B2DA-4410-95BA-BBE8363DCF32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  <rowBreaks count="1" manualBreakCount="1">
    <brk id="4" max="16383" man="1"/>
  </row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7099-CE23-4EB6-9231-C273E36ACE68}"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2" x14ac:dyDescent="0.25">
      <c r="B4" s="2" t="s">
        <v>49</v>
      </c>
      <c r="C4">
        <f>SUBTOTAL(9,C2:C3)</f>
        <v>30</v>
      </c>
    </row>
    <row r="5" spans="1:3" outlineLevel="3" x14ac:dyDescent="0.25">
      <c r="A5" t="s">
        <v>3</v>
      </c>
      <c r="B5" t="s">
        <v>5</v>
      </c>
      <c r="C5">
        <v>5</v>
      </c>
    </row>
    <row r="6" spans="1:3" outlineLevel="2" x14ac:dyDescent="0.25">
      <c r="B6" s="2" t="s">
        <v>50</v>
      </c>
      <c r="C6">
        <f>SUBTOTAL(9,C5:C5)</f>
        <v>5</v>
      </c>
    </row>
    <row r="7" spans="1:3" outlineLevel="1" x14ac:dyDescent="0.25">
      <c r="A7" s="2" t="s">
        <v>9</v>
      </c>
      <c r="C7">
        <f>SUBTOTAL(9,C2:C5)</f>
        <v>35</v>
      </c>
    </row>
    <row r="8" spans="1:3" outlineLevel="3" x14ac:dyDescent="0.25">
      <c r="A8" t="s">
        <v>6</v>
      </c>
      <c r="B8" t="s">
        <v>4</v>
      </c>
      <c r="C8">
        <v>30</v>
      </c>
    </row>
    <row r="9" spans="1:3" outlineLevel="2" x14ac:dyDescent="0.25">
      <c r="B9" s="2" t="s">
        <v>49</v>
      </c>
      <c r="C9">
        <f>SUBTOTAL(9,C8:C8)</f>
        <v>30</v>
      </c>
    </row>
    <row r="10" spans="1:3" outlineLevel="3" x14ac:dyDescent="0.25">
      <c r="A10" t="s">
        <v>6</v>
      </c>
      <c r="B10" t="s">
        <v>7</v>
      </c>
      <c r="C10">
        <v>40</v>
      </c>
    </row>
    <row r="11" spans="1:3" outlineLevel="2" x14ac:dyDescent="0.25">
      <c r="B11" s="2" t="s">
        <v>51</v>
      </c>
      <c r="C11">
        <f>SUBTOTAL(9,C10:C10)</f>
        <v>40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 t="s">
        <v>12</v>
      </c>
      <c r="C13">
        <f>SUBTOTAL(9,C2:C10)</f>
        <v>105</v>
      </c>
    </row>
  </sheetData>
  <pageMargins left="0.7" right="0.7" top="0.75" bottom="0.75" header="0.3" footer="0.3"/>
  <rowBreaks count="4" manualBreakCount="4">
    <brk id="4" max="16383" man="1"/>
    <brk id="6" max="16383" man="1"/>
    <brk id="9" max="16383" man="1"/>
    <brk id="13" max="16383" man="1"/>
  </row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8B32-8979-4713-B38D-7AC847170BAA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7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11BD-7E18-477B-8992-1B29538FB3C5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9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DFBD1-3A1D-4C96-B429-2593AD494E65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9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AB2E-0A78-4C7E-9E86-2834985C350C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10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D28E-E7E5-4F8E-A462-89EF47FC1F13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31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8FC1-63C3-4DDB-8FA7-D9FB06204038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6733-C8AF-43DF-AC20-9F5DAC217CD4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A458-9B96-4EF7-B6D7-5F3D5C66C3CE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35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443C-9E1F-4E8D-8206-49675C8B202C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36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8F09-9E76-4950-9A80-14A37DD3344B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35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36D3-A5ED-4BB6-97AD-B5148AB49EB1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10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D8C9-3631-4C01-9E8E-8DF4CEBDE9CB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36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3933-322F-4088-824F-7593EEFC392F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36" t="s">
        <v>9</v>
      </c>
      <c r="C4">
        <f>SUBTOTAL(9,C2:C3)</f>
        <v>30</v>
      </c>
    </row>
    <row r="5" spans="1:3" outlineLevel="2" x14ac:dyDescent="0.25">
      <c r="A5" t="s">
        <v>8</v>
      </c>
      <c r="B5" t="s">
        <v>4</v>
      </c>
      <c r="C5">
        <v>5</v>
      </c>
    </row>
    <row r="6" spans="1:3" outlineLevel="1" x14ac:dyDescent="0.25">
      <c r="A6" s="2" t="s">
        <v>11</v>
      </c>
      <c r="C6">
        <f>SUBTOTAL(9,C5:C5)</f>
        <v>5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" t="s">
        <v>10</v>
      </c>
      <c r="C9">
        <f>SUBTOTAL(9,C7:C8)</f>
        <v>70</v>
      </c>
    </row>
    <row r="10" spans="1:3" x14ac:dyDescent="0.25">
      <c r="A10" s="2" t="s">
        <v>12</v>
      </c>
      <c r="C10">
        <f>SUBTOTAL(9,C2:C8)</f>
        <v>105</v>
      </c>
    </row>
  </sheetData>
  <sortState xmlns:xlrd2="http://schemas.microsoft.com/office/spreadsheetml/2017/richdata2" ref="A2:C8">
    <sortCondition ref="A1"/>
  </sortState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88CB-892E-4DEE-865F-ABEB4F1EB015}">
  <dimension ref="A1:C7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s="9" t="s">
        <v>3</v>
      </c>
      <c r="B2" t="s">
        <v>4</v>
      </c>
      <c r="C2">
        <v>10</v>
      </c>
    </row>
    <row r="3" spans="1:3" outlineLevel="2" x14ac:dyDescent="0.25">
      <c r="A3" s="9" t="s">
        <v>3</v>
      </c>
      <c r="B3" t="s">
        <v>5</v>
      </c>
      <c r="C3">
        <v>20</v>
      </c>
    </row>
    <row r="4" spans="1:3" outlineLevel="1" x14ac:dyDescent="0.25">
      <c r="A4" s="10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1" x14ac:dyDescent="0.25">
      <c r="A6" s="2" t="s">
        <v>10</v>
      </c>
      <c r="C6">
        <f>SUBTOTAL(9,C5:C5)</f>
        <v>30</v>
      </c>
    </row>
    <row r="7" spans="1:3" x14ac:dyDescent="0.25">
      <c r="A7" s="2" t="s">
        <v>12</v>
      </c>
      <c r="C7">
        <f>SUBTOTAL(9,C2:C5)</f>
        <v>60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126F-E61C-4006-BE4E-F01A90AFBB16}">
  <sheetPr>
    <outlinePr summaryBelow="0"/>
  </sheetPr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SUBTOTAL(9,C4:C10)</f>
        <v>105</v>
      </c>
    </row>
    <row r="3" spans="1:3" outlineLevel="1" x14ac:dyDescent="0.25">
      <c r="A3" s="2" t="s">
        <v>9</v>
      </c>
      <c r="C3">
        <f>SUBTOTAL(9,C4:C5)</f>
        <v>30</v>
      </c>
    </row>
    <row r="4" spans="1:3" outlineLevel="2" x14ac:dyDescent="0.25">
      <c r="A4" t="s">
        <v>3</v>
      </c>
      <c r="B4" t="s">
        <v>4</v>
      </c>
      <c r="C4">
        <v>10</v>
      </c>
    </row>
    <row r="5" spans="1:3" outlineLevel="2" x14ac:dyDescent="0.25">
      <c r="A5" t="s">
        <v>3</v>
      </c>
      <c r="B5" t="s">
        <v>5</v>
      </c>
      <c r="C5">
        <v>20</v>
      </c>
    </row>
    <row r="6" spans="1:3" outlineLevel="1" x14ac:dyDescent="0.25">
      <c r="A6" s="2" t="s">
        <v>10</v>
      </c>
      <c r="C6">
        <f>SUBTOTAL(9,C7:C8)</f>
        <v>70</v>
      </c>
    </row>
    <row r="7" spans="1:3" outlineLevel="2" x14ac:dyDescent="0.25">
      <c r="A7" t="s">
        <v>6</v>
      </c>
      <c r="B7" t="s">
        <v>4</v>
      </c>
      <c r="C7">
        <v>30</v>
      </c>
    </row>
    <row r="8" spans="1:3" outlineLevel="2" x14ac:dyDescent="0.25">
      <c r="A8" t="s">
        <v>6</v>
      </c>
      <c r="B8" t="s">
        <v>7</v>
      </c>
      <c r="C8">
        <v>40</v>
      </c>
    </row>
    <row r="9" spans="1:3" outlineLevel="1" x14ac:dyDescent="0.25">
      <c r="A9" s="27" t="s">
        <v>11</v>
      </c>
      <c r="C9">
        <f>SUBTOTAL(9,C10:C10)</f>
        <v>5</v>
      </c>
    </row>
    <row r="10" spans="1:3" outlineLevel="2" x14ac:dyDescent="0.25">
      <c r="A10" t="s">
        <v>8</v>
      </c>
      <c r="B10" t="s">
        <v>4</v>
      </c>
      <c r="C10">
        <v>5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02A7-8C3F-4760-ADA9-CA909CA956F0}"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3" x14ac:dyDescent="0.25">
      <c r="A2" t="s">
        <v>3</v>
      </c>
      <c r="B2" t="s">
        <v>4</v>
      </c>
      <c r="C2">
        <v>10</v>
      </c>
    </row>
    <row r="3" spans="1:3" outlineLevel="3" x14ac:dyDescent="0.25">
      <c r="A3" t="s">
        <v>3</v>
      </c>
      <c r="B3" t="s">
        <v>4</v>
      </c>
      <c r="C3">
        <v>20</v>
      </c>
    </row>
    <row r="4" spans="1:3" outlineLevel="2" x14ac:dyDescent="0.25">
      <c r="B4" s="2" t="s">
        <v>49</v>
      </c>
      <c r="C4">
        <f>SUBTOTAL(9,C2:C3)</f>
        <v>30</v>
      </c>
    </row>
    <row r="5" spans="1:3" outlineLevel="3" x14ac:dyDescent="0.25">
      <c r="A5" t="s">
        <v>3</v>
      </c>
      <c r="B5" t="s">
        <v>5</v>
      </c>
      <c r="C5">
        <v>5</v>
      </c>
    </row>
    <row r="6" spans="1:3" outlineLevel="2" x14ac:dyDescent="0.25">
      <c r="B6" s="2" t="s">
        <v>50</v>
      </c>
      <c r="C6">
        <f>SUBTOTAL(9,C5:C5)</f>
        <v>5</v>
      </c>
    </row>
    <row r="7" spans="1:3" outlineLevel="1" x14ac:dyDescent="0.25">
      <c r="A7" s="27" t="s">
        <v>9</v>
      </c>
      <c r="C7">
        <f>SUBTOTAL(9,C2:C5)</f>
        <v>35</v>
      </c>
    </row>
    <row r="8" spans="1:3" outlineLevel="3" x14ac:dyDescent="0.25">
      <c r="A8" t="s">
        <v>6</v>
      </c>
      <c r="B8" t="s">
        <v>4</v>
      </c>
      <c r="C8">
        <v>30</v>
      </c>
    </row>
    <row r="9" spans="1:3" outlineLevel="2" x14ac:dyDescent="0.25">
      <c r="B9" s="2" t="s">
        <v>49</v>
      </c>
      <c r="C9">
        <f>SUBTOTAL(9,C8:C8)</f>
        <v>30</v>
      </c>
    </row>
    <row r="10" spans="1:3" outlineLevel="3" x14ac:dyDescent="0.25">
      <c r="A10" t="s">
        <v>6</v>
      </c>
      <c r="B10" t="s">
        <v>7</v>
      </c>
      <c r="C10">
        <v>40</v>
      </c>
    </row>
    <row r="11" spans="1:3" outlineLevel="2" x14ac:dyDescent="0.25">
      <c r="B11" s="2" t="s">
        <v>51</v>
      </c>
      <c r="C11">
        <f>SUBTOTAL(9,C10:C10)</f>
        <v>40</v>
      </c>
    </row>
    <row r="12" spans="1:3" outlineLevel="1" x14ac:dyDescent="0.25">
      <c r="A12" s="2" t="s">
        <v>10</v>
      </c>
      <c r="C12">
        <f>SUBTOTAL(9,C8:C10)</f>
        <v>70</v>
      </c>
    </row>
    <row r="13" spans="1:3" x14ac:dyDescent="0.25">
      <c r="A13" s="2" t="s">
        <v>12</v>
      </c>
      <c r="C13">
        <f>SUBTOTAL(9,C2:C10)</f>
        <v>105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5CB4-3BEB-47F8-8DA8-37B7829FEE7B}">
  <dimension ref="A1:B14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outlineLevel="2" x14ac:dyDescent="0.25">
      <c r="A2" t="s">
        <v>114</v>
      </c>
      <c r="B2">
        <v>1</v>
      </c>
    </row>
    <row r="3" spans="1:2" outlineLevel="1" x14ac:dyDescent="0.25">
      <c r="A3" s="36" t="s">
        <v>116</v>
      </c>
      <c r="B3">
        <f>SUBTOTAL(9,B2:B2)</f>
        <v>1</v>
      </c>
    </row>
    <row r="4" spans="1:2" outlineLevel="2" x14ac:dyDescent="0.25">
      <c r="A4" s="26" t="s">
        <v>115</v>
      </c>
      <c r="B4">
        <v>2</v>
      </c>
    </row>
    <row r="5" spans="1:2" outlineLevel="1" x14ac:dyDescent="0.25">
      <c r="A5" s="27" t="s">
        <v>117</v>
      </c>
      <c r="B5">
        <f>SUBTOTAL(9,B4:B4)</f>
        <v>2</v>
      </c>
    </row>
    <row r="6" spans="1:2" x14ac:dyDescent="0.25">
      <c r="A6" s="27" t="s">
        <v>12</v>
      </c>
      <c r="B6">
        <f>SUBTOTAL(9,B2:B4)</f>
        <v>3</v>
      </c>
    </row>
    <row r="9" spans="1:2" x14ac:dyDescent="0.25">
      <c r="A9" t="s">
        <v>58</v>
      </c>
      <c r="B9" t="s">
        <v>2</v>
      </c>
    </row>
    <row r="10" spans="1:2" outlineLevel="2" x14ac:dyDescent="0.25">
      <c r="A10" t="s">
        <v>130</v>
      </c>
      <c r="B10">
        <v>3</v>
      </c>
    </row>
    <row r="11" spans="1:2" outlineLevel="1" x14ac:dyDescent="0.25">
      <c r="A11" s="2" t="s">
        <v>132</v>
      </c>
      <c r="B11">
        <f>SUBTOTAL(9,B10:B10)</f>
        <v>3</v>
      </c>
    </row>
    <row r="12" spans="1:2" outlineLevel="2" x14ac:dyDescent="0.25">
      <c r="A12" t="s">
        <v>131</v>
      </c>
      <c r="B12">
        <v>4</v>
      </c>
    </row>
    <row r="13" spans="1:2" outlineLevel="1" x14ac:dyDescent="0.25">
      <c r="A13" s="2" t="s">
        <v>133</v>
      </c>
      <c r="B13">
        <f>SUBTOTAL(9,B12:B12)</f>
        <v>4</v>
      </c>
    </row>
    <row r="14" spans="1:2" x14ac:dyDescent="0.25">
      <c r="A14" s="2" t="s">
        <v>12</v>
      </c>
      <c r="B14">
        <f>SUBTOTAL(9,B10:B12)</f>
        <v>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312A-1AD2-4864-911C-CF1FFA0613FA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36" t="s">
        <v>9</v>
      </c>
      <c r="C4">
        <f>SUBTOTAL(9,C2:C3)</f>
        <v>30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10</v>
      </c>
      <c r="C7">
        <f>SUBTOTAL(9,C5:C6)</f>
        <v>70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11</v>
      </c>
      <c r="C9">
        <f>SUBTOTAL(9,C8:C8)</f>
        <v>5</v>
      </c>
    </row>
    <row r="10" spans="1:3" x14ac:dyDescent="0.25">
      <c r="A10" s="2" t="s">
        <v>12</v>
      </c>
      <c r="C10">
        <f>SUBTOTAL(9,C2:C8)</f>
        <v>105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FBAD-52AD-4B93-9214-6C86D59982E0}">
  <dimension ref="A1:D8"/>
  <sheetViews>
    <sheetView workbookViewId="0"/>
  </sheetViews>
  <sheetFormatPr defaultRowHeight="15" outlineLevelRow="2" x14ac:dyDescent="0.25"/>
  <sheetData>
    <row r="1" spans="1:4" x14ac:dyDescent="0.25">
      <c r="A1" t="s">
        <v>134</v>
      </c>
      <c r="B1" t="s">
        <v>0</v>
      </c>
      <c r="C1" t="s">
        <v>1</v>
      </c>
      <c r="D1" t="s">
        <v>2</v>
      </c>
    </row>
    <row r="2" spans="1:4" outlineLevel="2" x14ac:dyDescent="0.25">
      <c r="A2" t="s">
        <v>135</v>
      </c>
      <c r="B2" t="s">
        <v>3</v>
      </c>
      <c r="C2" t="s">
        <v>4</v>
      </c>
      <c r="D2">
        <v>10</v>
      </c>
    </row>
    <row r="3" spans="1:4" outlineLevel="1" x14ac:dyDescent="0.25">
      <c r="B3" s="2" t="s">
        <v>94</v>
      </c>
      <c r="C3">
        <f>SUBTOTAL(3,C2:C2)</f>
        <v>1</v>
      </c>
      <c r="D3">
        <f>SUBTOTAL(3,D2:D2)</f>
        <v>1</v>
      </c>
    </row>
    <row r="4" spans="1:4" outlineLevel="2" x14ac:dyDescent="0.25">
      <c r="A4" t="s">
        <v>135</v>
      </c>
      <c r="B4" t="s">
        <v>3</v>
      </c>
      <c r="C4" t="s">
        <v>5</v>
      </c>
      <c r="D4">
        <v>20</v>
      </c>
    </row>
    <row r="5" spans="1:4" outlineLevel="1" x14ac:dyDescent="0.25">
      <c r="B5" s="2" t="s">
        <v>95</v>
      </c>
      <c r="C5">
        <f>SUBTOTAL(3,C4:C4)</f>
        <v>1</v>
      </c>
      <c r="D5">
        <f>SUBTOTAL(3,D4:D4)</f>
        <v>1</v>
      </c>
    </row>
    <row r="6" spans="1:4" outlineLevel="2" x14ac:dyDescent="0.25">
      <c r="A6" t="s">
        <v>135</v>
      </c>
      <c r="B6" t="s">
        <v>6</v>
      </c>
      <c r="C6" t="s">
        <v>4</v>
      </c>
      <c r="D6">
        <v>30</v>
      </c>
    </row>
    <row r="7" spans="1:4" outlineLevel="1" x14ac:dyDescent="0.25">
      <c r="B7" s="2" t="s">
        <v>94</v>
      </c>
      <c r="C7">
        <f>SUBTOTAL(3,C6:C6)</f>
        <v>1</v>
      </c>
      <c r="D7">
        <f>SUBTOTAL(3,D6:D6)</f>
        <v>1</v>
      </c>
    </row>
    <row r="8" spans="1:4" x14ac:dyDescent="0.25">
      <c r="B8" s="2" t="s">
        <v>16</v>
      </c>
      <c r="C8">
        <f>SUBTOTAL(3,C2:C6)</f>
        <v>3</v>
      </c>
      <c r="D8">
        <f>SUBTOTAL(3,D2:D6)</f>
        <v>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925A-63D7-4C72-BB50-B57DA43C2E32}">
  <dimension ref="A1:D12"/>
  <sheetViews>
    <sheetView workbookViewId="0"/>
  </sheetViews>
  <sheetFormatPr defaultRowHeight="15" outlineLevelRow="2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outlineLevel="2" x14ac:dyDescent="0.25">
      <c r="B2" t="s">
        <v>3</v>
      </c>
      <c r="C2" t="s">
        <v>4</v>
      </c>
      <c r="D2">
        <v>10</v>
      </c>
    </row>
    <row r="3" spans="1:4" outlineLevel="1" x14ac:dyDescent="0.25">
      <c r="A3" s="2" t="s">
        <v>94</v>
      </c>
      <c r="B3">
        <f>SUBTOTAL(3,B2:B2)</f>
        <v>1</v>
      </c>
      <c r="C3">
        <f>SUBTOTAL(3,C2:C2)</f>
        <v>1</v>
      </c>
      <c r="D3">
        <f>SUBTOTAL(3,D2:D2)</f>
        <v>1</v>
      </c>
    </row>
    <row r="4" spans="1:4" outlineLevel="2" x14ac:dyDescent="0.25">
      <c r="B4" t="s">
        <v>3</v>
      </c>
      <c r="C4" t="s">
        <v>5</v>
      </c>
      <c r="D4">
        <v>20</v>
      </c>
    </row>
    <row r="5" spans="1:4" outlineLevel="1" x14ac:dyDescent="0.25">
      <c r="A5" s="2" t="s">
        <v>95</v>
      </c>
      <c r="B5">
        <f>SUBTOTAL(3,B4:B4)</f>
        <v>1</v>
      </c>
      <c r="C5">
        <f>SUBTOTAL(3,C4:C4)</f>
        <v>1</v>
      </c>
      <c r="D5">
        <f>SUBTOTAL(3,D4:D4)</f>
        <v>1</v>
      </c>
    </row>
    <row r="6" spans="1:4" outlineLevel="2" x14ac:dyDescent="0.25">
      <c r="B6" t="s">
        <v>6</v>
      </c>
      <c r="C6" t="s">
        <v>4</v>
      </c>
      <c r="D6">
        <v>30</v>
      </c>
    </row>
    <row r="7" spans="1:4" outlineLevel="1" x14ac:dyDescent="0.25">
      <c r="A7" s="2" t="s">
        <v>94</v>
      </c>
      <c r="B7">
        <f>SUBTOTAL(3,B6:B6)</f>
        <v>1</v>
      </c>
      <c r="C7">
        <f>SUBTOTAL(3,C6:C6)</f>
        <v>1</v>
      </c>
      <c r="D7">
        <f>SUBTOTAL(3,D6:D6)</f>
        <v>1</v>
      </c>
    </row>
    <row r="8" spans="1:4" outlineLevel="2" x14ac:dyDescent="0.25">
      <c r="B8" t="s">
        <v>6</v>
      </c>
      <c r="C8" t="s">
        <v>7</v>
      </c>
      <c r="D8">
        <v>40</v>
      </c>
    </row>
    <row r="9" spans="1:4" outlineLevel="1" x14ac:dyDescent="0.25">
      <c r="A9" s="2" t="s">
        <v>96</v>
      </c>
      <c r="B9">
        <f>SUBTOTAL(3,B8:B8)</f>
        <v>1</v>
      </c>
      <c r="C9">
        <f>SUBTOTAL(3,C8:C8)</f>
        <v>1</v>
      </c>
      <c r="D9">
        <f>SUBTOTAL(3,D8:D8)</f>
        <v>1</v>
      </c>
    </row>
    <row r="10" spans="1:4" outlineLevel="2" x14ac:dyDescent="0.25">
      <c r="B10" t="s">
        <v>8</v>
      </c>
      <c r="C10" t="s">
        <v>4</v>
      </c>
      <c r="D10">
        <v>5</v>
      </c>
    </row>
    <row r="11" spans="1:4" outlineLevel="1" x14ac:dyDescent="0.25">
      <c r="A11" s="2" t="s">
        <v>94</v>
      </c>
      <c r="B11">
        <f>SUBTOTAL(3,B10:B10)</f>
        <v>1</v>
      </c>
      <c r="C11">
        <f>SUBTOTAL(3,C10:C10)</f>
        <v>1</v>
      </c>
      <c r="D11">
        <f>SUBTOTAL(3,D10:D10)</f>
        <v>1</v>
      </c>
    </row>
    <row r="12" spans="1:4" x14ac:dyDescent="0.25">
      <c r="A12" s="2" t="s">
        <v>16</v>
      </c>
      <c r="B12">
        <f>SUBTOTAL(3,B2:B10)</f>
        <v>5</v>
      </c>
      <c r="C12">
        <f>SUBTOTAL(3,C2:C10)</f>
        <v>5</v>
      </c>
      <c r="D12">
        <f>SUBTOTAL(3,D2:D10)</f>
        <v>5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A993-3677-46EC-8DC1-89E387F1FA3F}">
  <sheetPr>
    <outlinePr summaryBelow="0"/>
  </sheetPr>
  <dimension ref="A1:B15"/>
  <sheetViews>
    <sheetView workbookViewId="0"/>
  </sheetViews>
  <sheetFormatPr defaultRowHeight="15" outlineLevelRow="2" x14ac:dyDescent="0.25"/>
  <sheetData>
    <row r="1" spans="1:2" x14ac:dyDescent="0.25">
      <c r="A1" t="s">
        <v>58</v>
      </c>
      <c r="B1" t="s">
        <v>2</v>
      </c>
    </row>
    <row r="2" spans="1:2" x14ac:dyDescent="0.25">
      <c r="A2" s="2" t="s">
        <v>12</v>
      </c>
      <c r="B2">
        <f>SUBTOTAL(9,B4:B15)</f>
        <v>28</v>
      </c>
    </row>
    <row r="3" spans="1:2" outlineLevel="1" x14ac:dyDescent="0.25">
      <c r="A3" s="2" t="s">
        <v>9</v>
      </c>
      <c r="B3">
        <f>SUBTOTAL(9,B4:B5)</f>
        <v>3</v>
      </c>
    </row>
    <row r="4" spans="1:2" outlineLevel="2" x14ac:dyDescent="0.25">
      <c r="A4" t="s">
        <v>3</v>
      </c>
      <c r="B4">
        <v>1</v>
      </c>
    </row>
    <row r="5" spans="1:2" outlineLevel="2" x14ac:dyDescent="0.25">
      <c r="A5" t="s">
        <v>3</v>
      </c>
      <c r="B5">
        <v>2</v>
      </c>
    </row>
    <row r="6" spans="1:2" outlineLevel="1" x14ac:dyDescent="0.25">
      <c r="A6" s="2" t="s">
        <v>128</v>
      </c>
      <c r="B6">
        <f>SUBTOTAL(9,B7:B7)</f>
        <v>3</v>
      </c>
    </row>
    <row r="7" spans="1:2" outlineLevel="2" x14ac:dyDescent="0.25">
      <c r="B7">
        <v>3</v>
      </c>
    </row>
    <row r="8" spans="1:2" outlineLevel="1" x14ac:dyDescent="0.25">
      <c r="A8" s="2" t="s">
        <v>9</v>
      </c>
      <c r="B8">
        <f>SUBTOTAL(9,B9:B9)</f>
        <v>4</v>
      </c>
    </row>
    <row r="9" spans="1:2" outlineLevel="2" x14ac:dyDescent="0.25">
      <c r="A9" t="s">
        <v>3</v>
      </c>
      <c r="B9">
        <v>4</v>
      </c>
    </row>
    <row r="10" spans="1:2" outlineLevel="1" x14ac:dyDescent="0.25">
      <c r="A10" s="2" t="s">
        <v>128</v>
      </c>
      <c r="B10">
        <f>SUBTOTAL(9,B11:B11)</f>
        <v>5</v>
      </c>
    </row>
    <row r="11" spans="1:2" outlineLevel="2" x14ac:dyDescent="0.25">
      <c r="B11">
        <v>5</v>
      </c>
    </row>
    <row r="12" spans="1:2" outlineLevel="1" x14ac:dyDescent="0.25">
      <c r="A12" s="2" t="s">
        <v>128</v>
      </c>
      <c r="B12">
        <f>SUBTOTAL(9,B13:B13)</f>
        <v>6</v>
      </c>
    </row>
    <row r="13" spans="1:2" outlineLevel="2" x14ac:dyDescent="0.25">
      <c r="B13">
        <v>6</v>
      </c>
    </row>
    <row r="14" spans="1:2" outlineLevel="1" x14ac:dyDescent="0.25">
      <c r="A14" s="2" t="s">
        <v>10</v>
      </c>
      <c r="B14">
        <f>SUBTOTAL(9,B15:B15)</f>
        <v>7</v>
      </c>
    </row>
    <row r="15" spans="1:2" outlineLevel="2" x14ac:dyDescent="0.25">
      <c r="A15" t="s">
        <v>6</v>
      </c>
      <c r="B15">
        <v>7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E39-79E8-4C81-B3DD-C860490FDC6A}">
  <sheetPr>
    <outlinePr summaryBelow="0"/>
  </sheetPr>
  <dimension ref="A1:C13"/>
  <sheetViews>
    <sheetView workbookViewId="0"/>
  </sheetViews>
  <sheetFormatPr defaultRowHeight="15" outlineLevelRow="3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12</v>
      </c>
      <c r="C2">
        <f>SUBTOTAL(9,C5:C13)</f>
        <v>105</v>
      </c>
    </row>
    <row r="3" spans="1:3" outlineLevel="1" x14ac:dyDescent="0.25">
      <c r="A3" s="2" t="s">
        <v>9</v>
      </c>
      <c r="C3">
        <f>SUBTOTAL(9,C5:C8)</f>
        <v>35</v>
      </c>
    </row>
    <row r="4" spans="1:3" outlineLevel="2" x14ac:dyDescent="0.25">
      <c r="B4" s="2" t="s">
        <v>94</v>
      </c>
      <c r="C4">
        <f>SUBTOTAL(3,C5:C6)</f>
        <v>2</v>
      </c>
    </row>
    <row r="5" spans="1:3" outlineLevel="3" x14ac:dyDescent="0.25">
      <c r="A5" t="s">
        <v>3</v>
      </c>
      <c r="B5" t="s">
        <v>4</v>
      </c>
      <c r="C5">
        <v>10</v>
      </c>
    </row>
    <row r="6" spans="1:3" outlineLevel="3" x14ac:dyDescent="0.25">
      <c r="A6" t="s">
        <v>3</v>
      </c>
      <c r="B6" t="s">
        <v>4</v>
      </c>
      <c r="C6">
        <v>20</v>
      </c>
    </row>
    <row r="7" spans="1:3" outlineLevel="2" x14ac:dyDescent="0.25">
      <c r="B7" s="2" t="s">
        <v>95</v>
      </c>
      <c r="C7">
        <f>SUBTOTAL(3,C8:C8)</f>
        <v>1</v>
      </c>
    </row>
    <row r="8" spans="1:3" outlineLevel="3" x14ac:dyDescent="0.25">
      <c r="A8" t="s">
        <v>3</v>
      </c>
      <c r="B8" t="s">
        <v>5</v>
      </c>
      <c r="C8">
        <v>5</v>
      </c>
    </row>
    <row r="9" spans="1:3" outlineLevel="1" x14ac:dyDescent="0.25">
      <c r="A9" s="2" t="s">
        <v>10</v>
      </c>
      <c r="C9">
        <f>SUBTOTAL(9,C11:C13)</f>
        <v>70</v>
      </c>
    </row>
    <row r="10" spans="1:3" outlineLevel="2" x14ac:dyDescent="0.25">
      <c r="B10" s="2" t="s">
        <v>94</v>
      </c>
      <c r="C10">
        <f>SUBTOTAL(3,C11:C11)</f>
        <v>1</v>
      </c>
    </row>
    <row r="11" spans="1:3" outlineLevel="3" x14ac:dyDescent="0.25">
      <c r="A11" t="s">
        <v>6</v>
      </c>
      <c r="B11" t="s">
        <v>4</v>
      </c>
      <c r="C11">
        <v>30</v>
      </c>
    </row>
    <row r="12" spans="1:3" outlineLevel="2" x14ac:dyDescent="0.25">
      <c r="B12" s="2" t="s">
        <v>96</v>
      </c>
      <c r="C12">
        <f>SUBTOTAL(3,C13:C13)</f>
        <v>1</v>
      </c>
    </row>
    <row r="13" spans="1:3" outlineLevel="3" x14ac:dyDescent="0.25">
      <c r="A13" t="s">
        <v>6</v>
      </c>
      <c r="B13" t="s">
        <v>7</v>
      </c>
      <c r="C13">
        <v>40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D7CC-2F02-4D71-8647-29264165EB28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>
        <v>10</v>
      </c>
    </row>
    <row r="3" spans="1:4" x14ac:dyDescent="0.25">
      <c r="A3" t="s">
        <v>3</v>
      </c>
      <c r="B3" t="s">
        <v>5</v>
      </c>
      <c r="C3">
        <v>20</v>
      </c>
      <c r="D3">
        <f>SUBTOTAL(9,C2:C3)+1</f>
        <v>31</v>
      </c>
    </row>
    <row r="4" spans="1:4" x14ac:dyDescent="0.25">
      <c r="A4" t="s">
        <v>6</v>
      </c>
      <c r="B4" t="s">
        <v>4</v>
      </c>
      <c r="C4">
        <v>30</v>
      </c>
    </row>
    <row r="5" spans="1:4" x14ac:dyDescent="0.25">
      <c r="A5" t="s">
        <v>6</v>
      </c>
      <c r="B5" t="s">
        <v>7</v>
      </c>
      <c r="C5">
        <v>40</v>
      </c>
    </row>
    <row r="6" spans="1:4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1435-8B71-4518-B9A1-5EBBC7D58B62}">
  <dimension ref="A1:D8"/>
  <sheetViews>
    <sheetView workbookViewId="0"/>
  </sheetViews>
  <sheetFormatPr defaultRowHeight="15" outlineLevelRow="2" x14ac:dyDescent="0.25"/>
  <sheetData>
    <row r="1" spans="1:4" x14ac:dyDescent="0.25">
      <c r="A1" t="s">
        <v>134</v>
      </c>
      <c r="B1" t="s">
        <v>0</v>
      </c>
      <c r="C1" t="s">
        <v>1</v>
      </c>
      <c r="D1" t="s">
        <v>2</v>
      </c>
    </row>
    <row r="2" spans="1:4" outlineLevel="2" x14ac:dyDescent="0.25">
      <c r="A2" t="s">
        <v>135</v>
      </c>
      <c r="B2" t="s">
        <v>3</v>
      </c>
      <c r="C2" t="s">
        <v>4</v>
      </c>
      <c r="D2">
        <v>10</v>
      </c>
    </row>
    <row r="3" spans="1:4" outlineLevel="1" x14ac:dyDescent="0.25">
      <c r="A3" s="2" t="s">
        <v>94</v>
      </c>
      <c r="B3">
        <f>SUBTOTAL(3,B2:B2)</f>
        <v>1</v>
      </c>
      <c r="C3">
        <f>SUBTOTAL(3,C2:C2)</f>
        <v>1</v>
      </c>
    </row>
    <row r="4" spans="1:4" outlineLevel="2" x14ac:dyDescent="0.25">
      <c r="A4" t="s">
        <v>135</v>
      </c>
      <c r="B4" t="s">
        <v>3</v>
      </c>
      <c r="C4" t="s">
        <v>5</v>
      </c>
      <c r="D4">
        <v>20</v>
      </c>
    </row>
    <row r="5" spans="1:4" outlineLevel="1" x14ac:dyDescent="0.25">
      <c r="A5" s="2" t="s">
        <v>95</v>
      </c>
      <c r="B5">
        <f>SUBTOTAL(3,B4:B4)</f>
        <v>1</v>
      </c>
      <c r="C5">
        <f>SUBTOTAL(3,C4:C4)</f>
        <v>1</v>
      </c>
    </row>
    <row r="6" spans="1:4" outlineLevel="2" x14ac:dyDescent="0.25">
      <c r="A6" t="s">
        <v>135</v>
      </c>
      <c r="B6" t="s">
        <v>6</v>
      </c>
      <c r="C6" t="s">
        <v>4</v>
      </c>
      <c r="D6">
        <v>30</v>
      </c>
    </row>
    <row r="7" spans="1:4" outlineLevel="1" x14ac:dyDescent="0.25">
      <c r="A7" s="2" t="s">
        <v>94</v>
      </c>
      <c r="B7">
        <f>SUBTOTAL(3,B6:B6)</f>
        <v>1</v>
      </c>
      <c r="C7">
        <f>SUBTOTAL(3,C6:C6)</f>
        <v>1</v>
      </c>
    </row>
    <row r="8" spans="1:4" x14ac:dyDescent="0.25">
      <c r="A8" s="2" t="s">
        <v>16</v>
      </c>
      <c r="B8">
        <f>SUBTOTAL(3,B2:B6)</f>
        <v>3</v>
      </c>
      <c r="C8">
        <f>SUBTOTAL(3,C2:C6)</f>
        <v>3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70AA-C7C6-4DDD-B28C-A584EEA1808E}">
  <dimension ref="A1:C19"/>
  <sheetViews>
    <sheetView workbookViewId="0"/>
  </sheetViews>
  <sheetFormatPr defaultRowHeight="15" outlineLevelRow="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4" x14ac:dyDescent="0.25">
      <c r="A2" t="s">
        <v>3</v>
      </c>
      <c r="B2" t="s">
        <v>4</v>
      </c>
      <c r="C2">
        <v>10</v>
      </c>
    </row>
    <row r="3" spans="1:3" outlineLevel="4" x14ac:dyDescent="0.25">
      <c r="A3" t="s">
        <v>3</v>
      </c>
      <c r="B3" t="s">
        <v>4</v>
      </c>
      <c r="C3">
        <v>20</v>
      </c>
    </row>
    <row r="4" spans="1:3" outlineLevel="3" x14ac:dyDescent="0.25">
      <c r="B4" s="2" t="s">
        <v>49</v>
      </c>
      <c r="C4">
        <f>SUBTOTAL(9,C2:C3)</f>
        <v>30</v>
      </c>
    </row>
    <row r="5" spans="1:3" outlineLevel="2" x14ac:dyDescent="0.25">
      <c r="B5" s="2" t="s">
        <v>136</v>
      </c>
      <c r="C5">
        <f>SUBTOTAL(1,C2:C3)</f>
        <v>15</v>
      </c>
    </row>
    <row r="6" spans="1:3" outlineLevel="4" x14ac:dyDescent="0.25">
      <c r="A6" t="s">
        <v>3</v>
      </c>
      <c r="B6" t="s">
        <v>5</v>
      </c>
      <c r="C6">
        <v>5</v>
      </c>
    </row>
    <row r="7" spans="1:3" outlineLevel="3" x14ac:dyDescent="0.25">
      <c r="B7" s="2" t="s">
        <v>50</v>
      </c>
      <c r="C7">
        <f>SUBTOTAL(9,C6:C6)</f>
        <v>5</v>
      </c>
    </row>
    <row r="8" spans="1:3" outlineLevel="2" x14ac:dyDescent="0.25">
      <c r="B8" s="2" t="s">
        <v>137</v>
      </c>
      <c r="C8">
        <f>SUBTOTAL(1,C6:C6)</f>
        <v>5</v>
      </c>
    </row>
    <row r="9" spans="1:3" outlineLevel="1" x14ac:dyDescent="0.25">
      <c r="A9" s="2" t="s">
        <v>9</v>
      </c>
      <c r="C9">
        <f>SUBTOTAL(9,C2:C6)</f>
        <v>35</v>
      </c>
    </row>
    <row r="10" spans="1:3" outlineLevel="4" x14ac:dyDescent="0.25">
      <c r="A10" t="s">
        <v>6</v>
      </c>
      <c r="B10" t="s">
        <v>4</v>
      </c>
      <c r="C10">
        <v>30</v>
      </c>
    </row>
    <row r="11" spans="1:3" outlineLevel="3" x14ac:dyDescent="0.25">
      <c r="B11" s="2" t="s">
        <v>49</v>
      </c>
      <c r="C11">
        <f>SUBTOTAL(9,C10:C10)</f>
        <v>30</v>
      </c>
    </row>
    <row r="12" spans="1:3" outlineLevel="2" x14ac:dyDescent="0.25">
      <c r="B12" s="2" t="s">
        <v>136</v>
      </c>
      <c r="C12">
        <f>SUBTOTAL(1,C10:C10)</f>
        <v>30</v>
      </c>
    </row>
    <row r="13" spans="1:3" outlineLevel="4" x14ac:dyDescent="0.25">
      <c r="A13" t="s">
        <v>6</v>
      </c>
      <c r="B13" t="s">
        <v>7</v>
      </c>
      <c r="C13">
        <v>40</v>
      </c>
    </row>
    <row r="14" spans="1:3" outlineLevel="3" x14ac:dyDescent="0.25">
      <c r="B14" s="2" t="s">
        <v>51</v>
      </c>
      <c r="C14">
        <f>SUBTOTAL(9,C13:C13)</f>
        <v>40</v>
      </c>
    </row>
    <row r="15" spans="1:3" outlineLevel="2" x14ac:dyDescent="0.25">
      <c r="B15" s="2" t="s">
        <v>138</v>
      </c>
      <c r="C15">
        <f>SUBTOTAL(1,C13:C13)</f>
        <v>40</v>
      </c>
    </row>
    <row r="16" spans="1:3" outlineLevel="1" x14ac:dyDescent="0.25">
      <c r="A16" s="2" t="s">
        <v>10</v>
      </c>
      <c r="C16">
        <f>SUBTOTAL(9,C10:C13)</f>
        <v>70</v>
      </c>
    </row>
    <row r="17" spans="1:3" x14ac:dyDescent="0.25">
      <c r="A17" s="2"/>
      <c r="B17" s="2" t="s">
        <v>12</v>
      </c>
    </row>
    <row r="18" spans="1:3" x14ac:dyDescent="0.25">
      <c r="A18" s="2"/>
      <c r="B18" s="2" t="s">
        <v>20</v>
      </c>
      <c r="C18">
        <f>SUBTOTAL(1,C2:C13)</f>
        <v>21</v>
      </c>
    </row>
    <row r="19" spans="1:3" x14ac:dyDescent="0.25">
      <c r="A19" s="2" t="s">
        <v>12</v>
      </c>
      <c r="C19">
        <f>SUBTOTAL(9,C2:C13)</f>
        <v>105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6A24-6BCE-48D5-86AA-107DB41384E4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13</v>
      </c>
      <c r="C4">
        <f>SUBTOTAL(3,C2:C3)</f>
        <v>2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14</v>
      </c>
      <c r="C7">
        <f>SUBTOTAL(3,C5:C6)</f>
        <v>2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15</v>
      </c>
      <c r="C9">
        <f>SUBTOTAL(3,C8:C8)</f>
        <v>1</v>
      </c>
    </row>
    <row r="10" spans="1:3" x14ac:dyDescent="0.25">
      <c r="A10" s="2" t="s">
        <v>16</v>
      </c>
      <c r="C10">
        <f>SUBTOTAL(3,C2:C8)</f>
        <v>5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AE0E-4169-4E74-A7D5-E55BC4C17B9F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17</v>
      </c>
      <c r="C4">
        <f>SUBTOTAL(1,C2:C3)</f>
        <v>15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18</v>
      </c>
      <c r="C7">
        <f>SUBTOTAL(1,C5:C6)</f>
        <v>35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19</v>
      </c>
      <c r="C9">
        <f>SUBTOTAL(1,C8:C8)</f>
        <v>5</v>
      </c>
    </row>
    <row r="10" spans="1:3" x14ac:dyDescent="0.25">
      <c r="A10" s="2" t="s">
        <v>20</v>
      </c>
      <c r="C10">
        <f>SUBTOTAL(1,C2:C8)</f>
        <v>21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D97B-13D7-400D-A49C-AB7E670097F4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21</v>
      </c>
      <c r="C4">
        <f>SUBTOTAL(4,C2:C3)</f>
        <v>20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22</v>
      </c>
      <c r="C7">
        <f>SUBTOTAL(4,C5:C6)</f>
        <v>40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23</v>
      </c>
      <c r="C9">
        <f>SUBTOTAL(4,C8:C8)</f>
        <v>5</v>
      </c>
    </row>
    <row r="10" spans="1:3" x14ac:dyDescent="0.25">
      <c r="A10" s="2" t="s">
        <v>24</v>
      </c>
      <c r="C10">
        <f>SUBTOTAL(4,C2:C8)</f>
        <v>40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2903-1BF0-489D-A232-ADFA3B80E860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25</v>
      </c>
      <c r="C4">
        <f>SUBTOTAL(5,C2:C3)</f>
        <v>10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26</v>
      </c>
      <c r="C7">
        <f>SUBTOTAL(5,C5:C6)</f>
        <v>30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27</v>
      </c>
      <c r="C9">
        <f>SUBTOTAL(5,C8:C8)</f>
        <v>5</v>
      </c>
    </row>
    <row r="10" spans="1:3" x14ac:dyDescent="0.25">
      <c r="A10" s="2" t="s">
        <v>28</v>
      </c>
      <c r="C10">
        <f>SUBTOTAL(5,C2:C8)</f>
        <v>5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BB3C-DDA2-43F1-9804-20992CBD3BA2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29</v>
      </c>
      <c r="C4">
        <f>SUBTOTAL(6,C2:C3)</f>
        <v>200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30</v>
      </c>
      <c r="C7">
        <f>SUBTOTAL(6,C5:C6)</f>
        <v>1200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31</v>
      </c>
      <c r="C9">
        <f>SUBTOTAL(6,C8:C8)</f>
        <v>5</v>
      </c>
    </row>
    <row r="10" spans="1:3" x14ac:dyDescent="0.25">
      <c r="A10" s="2" t="s">
        <v>32</v>
      </c>
      <c r="C10">
        <f>SUBTOTAL(6,C2:C8)</f>
        <v>1200000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72F0-91E9-4A2B-BB28-494BC5B88811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13</v>
      </c>
      <c r="C4">
        <f>SUBTOTAL(2,C2:C3)</f>
        <v>2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14</v>
      </c>
      <c r="C7">
        <f>SUBTOTAL(2,C5:C6)</f>
        <v>2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15</v>
      </c>
      <c r="C9">
        <f>SUBTOTAL(2,C8:C8)</f>
        <v>1</v>
      </c>
    </row>
    <row r="10" spans="1:3" x14ac:dyDescent="0.25">
      <c r="A10" s="2" t="s">
        <v>16</v>
      </c>
      <c r="C10">
        <f>SUBTOTAL(2,C2:C8)</f>
        <v>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9A3F-E2AB-4D73-97AA-5961AAEC3BDE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33</v>
      </c>
      <c r="C4">
        <f>SUBTOTAL(7,C2:C3)</f>
        <v>7.0710678118654755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34</v>
      </c>
      <c r="C7">
        <f>SUBTOTAL(7,C5:C6)</f>
        <v>7.0710678118654755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35</v>
      </c>
      <c r="C9" t="e">
        <f>SUBTOTAL(7,C8:C8)</f>
        <v>#DIV/0!</v>
      </c>
    </row>
    <row r="10" spans="1:3" x14ac:dyDescent="0.25">
      <c r="A10" s="2" t="s">
        <v>36</v>
      </c>
      <c r="C10">
        <f>SUBTOTAL(7,C2:C8)</f>
        <v>14.317821063276353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9371-F598-49F9-B8A9-646ACFC19A5E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37</v>
      </c>
      <c r="C4">
        <f>SUBTOTAL(8,C2:C3)</f>
        <v>5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38</v>
      </c>
      <c r="C7">
        <f>SUBTOTAL(8,C5:C6)</f>
        <v>5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39</v>
      </c>
      <c r="C9">
        <f>SUBTOTAL(8,C8:C8)</f>
        <v>0</v>
      </c>
    </row>
    <row r="10" spans="1:3" x14ac:dyDescent="0.25">
      <c r="A10" s="2" t="s">
        <v>40</v>
      </c>
      <c r="C10">
        <f>SUBTOTAL(8,C2:C8)</f>
        <v>12.806248474865697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145B-8636-49EB-A49E-BD2AF2E2425F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41</v>
      </c>
      <c r="C4">
        <f>SUBTOTAL(10,C2:C3)</f>
        <v>50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42</v>
      </c>
      <c r="C7">
        <f>SUBTOTAL(10,C5:C6)</f>
        <v>50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43</v>
      </c>
      <c r="C9" t="e">
        <f>SUBTOTAL(10,C8:C8)</f>
        <v>#DIV/0!</v>
      </c>
    </row>
    <row r="10" spans="1:3" x14ac:dyDescent="0.25">
      <c r="A10" s="2" t="s">
        <v>44</v>
      </c>
      <c r="C10">
        <f>SUBTOTAL(10,C2:C8)</f>
        <v>205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75AD-3916-4443-9C8E-4C7889674B1A}">
  <dimension ref="A1:C10"/>
  <sheetViews>
    <sheetView workbookViewId="0"/>
  </sheetViews>
  <sheetFormatPr defaultRowHeight="15" outlineLevelRow="2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outlineLevel="2" x14ac:dyDescent="0.25">
      <c r="A2" t="s">
        <v>3</v>
      </c>
      <c r="B2" t="s">
        <v>4</v>
      </c>
      <c r="C2">
        <v>10</v>
      </c>
    </row>
    <row r="3" spans="1:3" outlineLevel="2" x14ac:dyDescent="0.25">
      <c r="A3" t="s">
        <v>3</v>
      </c>
      <c r="B3" t="s">
        <v>5</v>
      </c>
      <c r="C3">
        <v>20</v>
      </c>
    </row>
    <row r="4" spans="1:3" outlineLevel="1" x14ac:dyDescent="0.25">
      <c r="A4" s="2" t="s">
        <v>45</v>
      </c>
      <c r="C4">
        <f>SUBTOTAL(11,C2:C3)</f>
        <v>25</v>
      </c>
    </row>
    <row r="5" spans="1:3" outlineLevel="2" x14ac:dyDescent="0.25">
      <c r="A5" t="s">
        <v>6</v>
      </c>
      <c r="B5" t="s">
        <v>4</v>
      </c>
      <c r="C5">
        <v>30</v>
      </c>
    </row>
    <row r="6" spans="1:3" outlineLevel="2" x14ac:dyDescent="0.25">
      <c r="A6" t="s">
        <v>6</v>
      </c>
      <c r="B6" t="s">
        <v>7</v>
      </c>
      <c r="C6">
        <v>40</v>
      </c>
    </row>
    <row r="7" spans="1:3" outlineLevel="1" x14ac:dyDescent="0.25">
      <c r="A7" s="2" t="s">
        <v>46</v>
      </c>
      <c r="C7">
        <f>SUBTOTAL(11,C5:C6)</f>
        <v>25</v>
      </c>
    </row>
    <row r="8" spans="1:3" outlineLevel="2" x14ac:dyDescent="0.25">
      <c r="A8" t="s">
        <v>8</v>
      </c>
      <c r="B8" t="s">
        <v>4</v>
      </c>
      <c r="C8">
        <v>5</v>
      </c>
    </row>
    <row r="9" spans="1:3" outlineLevel="1" x14ac:dyDescent="0.25">
      <c r="A9" s="2" t="s">
        <v>47</v>
      </c>
      <c r="C9">
        <f>SUBTOTAL(11,C8:C8)</f>
        <v>0</v>
      </c>
    </row>
    <row r="10" spans="1:3" x14ac:dyDescent="0.25">
      <c r="A10" s="2" t="s">
        <v>48</v>
      </c>
      <c r="C10">
        <f>SUBTOTAL(11,C2:C8)</f>
        <v>164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D69A-F5F6-45E8-802D-73AE52FD8A2A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B662-B3FB-49E9-AF20-3FABB0E6465C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6AAF-6B37-4FC1-9C14-3FF39F3D3DC9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FFE-52C9-4867-90CC-9BD4C5AAB056}">
  <dimension ref="A1:C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7</v>
      </c>
      <c r="C5">
        <v>40</v>
      </c>
    </row>
    <row r="6" spans="1:3" x14ac:dyDescent="0.25">
      <c r="A6" t="s">
        <v>8</v>
      </c>
      <c r="B6" t="s">
        <v>4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168</vt:i4>
      </vt:variant>
      <vt:variant>
        <vt:lpstr>Named Ranges</vt:lpstr>
      </vt:variant>
      <vt:variant>
        <vt:i4>2</vt:i4>
      </vt:variant>
    </vt:vector>
  </HeadingPairs>
  <TitlesOfParts>
    <vt:vector size="170" baseType="lpstr">
      <vt:lpstr>scratch</vt:lpstr>
      <vt:lpstr>fn_sum</vt:lpstr>
      <vt:lpstr>fn_count</vt:lpstr>
      <vt:lpstr>fn_average</vt:lpstr>
      <vt:lpstr>fn_max</vt:lpstr>
      <vt:lpstr>fn_min</vt:lpstr>
      <vt:lpstr>fn_product</vt:lpstr>
      <vt:lpstr>fn_countnums</vt:lpstr>
      <vt:lpstr>fn_stdev</vt:lpstr>
      <vt:lpstr>fn_stdevp</vt:lpstr>
      <vt:lpstr>fn_var</vt:lpstr>
      <vt:lpstr>fn_varp</vt:lpstr>
      <vt:lpstr>above</vt:lpstr>
      <vt:lpstr>below_named</vt:lpstr>
      <vt:lpstr>cell_inside</vt:lpstr>
      <vt:lpstr>range_rows</vt:lpstr>
      <vt:lpstr>range_columns</vt:lpstr>
      <vt:lpstr>range_wider</vt:lpstr>
      <vt:lpstr>whole_columns</vt:lpstr>
      <vt:lpstr>whole_rows</vt:lpstr>
      <vt:lpstr>header_only</vt:lpstr>
      <vt:lpstr>one_row</vt:lpstr>
      <vt:lpstr>no_header</vt:lpstr>
      <vt:lpstr>empty_cell</vt:lpstr>
      <vt:lpstr>offset_list</vt:lpstr>
      <vt:lpstr>outside_cells</vt:lpstr>
      <vt:lpstr>outside_formulas</vt:lpstr>
      <vt:lpstr>list_formulas</vt:lpstr>
      <vt:lpstr>values_kinds</vt:lpstr>
      <vt:lpstr>values_numbers</vt:lpstr>
      <vt:lpstr>values_narrow</vt:lpstr>
      <vt:lpstr>values_blanks</vt:lpstr>
      <vt:lpstr>values_leading_blank</vt:lpstr>
      <vt:lpstr>values_all_blank</vt:lpstr>
      <vt:lpstr>values_formula_text</vt:lpstr>
      <vt:lpstr>values_dates</vt:lpstr>
      <vt:lpstr>total_scalar</vt:lpstr>
      <vt:lpstr>total_text_column</vt:lpstr>
      <vt:lpstr>total_groupby</vt:lpstr>
      <vt:lpstr>total_groupby_only</vt:lpstr>
      <vt:lpstr>total_duplicate</vt:lpstr>
      <vt:lpstr>total_order</vt:lpstr>
      <vt:lpstr>total_beyond</vt:lpstr>
      <vt:lpstr>total_zero</vt:lpstr>
      <vt:lpstr>total_empty</vt:lpstr>
      <vt:lpstr>total_string</vt:lpstr>
      <vt:lpstr>total_count_text</vt:lpstr>
      <vt:lpstr>groupby_zero</vt:lpstr>
      <vt:lpstr>groupby_beyond</vt:lpstr>
      <vt:lpstr>groupby_string</vt:lpstr>
      <vt:lpstr>groupby_last</vt:lpstr>
      <vt:lpstr>function_bad</vt:lpstr>
      <vt:lpstr>function_zero</vt:lpstr>
      <vt:lpstr>summary_bad</vt:lpstr>
      <vt:lpstr>nested_sum</vt:lpstr>
      <vt:lpstr>nested_count</vt:lpstr>
      <vt:lpstr>nested_same_column</vt:lpstr>
      <vt:lpstr>nested_above</vt:lpstr>
      <vt:lpstr>nested_mixed</vt:lpstr>
      <vt:lpstr>nested_three</vt:lpstr>
      <vt:lpstr>nested_inner_cell</vt:lpstr>
      <vt:lpstr>replace_true</vt:lpstr>
      <vt:lpstr>replace_above_below</vt:lpstr>
      <vt:lpstr>replace_false_fresh</vt:lpstr>
      <vt:lpstr>twice_same</vt:lpstr>
      <vt:lpstr>large</vt:lpstr>
      <vt:lpstr>remove_basic</vt:lpstr>
      <vt:lpstr>remove_nested</vt:lpstr>
      <vt:lpstr>remove_above</vt:lpstr>
      <vt:lpstr>remove_none</vt:lpstr>
      <vt:lpstr>remove_empty_cell</vt:lpstr>
      <vt:lpstr>remove_manual_formula</vt:lpstr>
      <vt:lpstr>remove_manual_in_list</vt:lpstr>
      <vt:lpstr>remove_other_function</vt:lpstr>
      <vt:lpstr>remove_inner_cell</vt:lpstr>
      <vt:lpstr>remove_range_rows</vt:lpstr>
      <vt:lpstr>remove_edited_label</vt:lpstr>
      <vt:lpstr>returns</vt:lpstr>
      <vt:lpstr>outline_in_list</vt:lpstr>
      <vt:lpstr>outline_elsewhere</vt:lpstr>
      <vt:lpstr>outline_columns</vt:lpstr>
      <vt:lpstr>remove_outline_in_list</vt:lpstr>
      <vt:lpstr>remove_outline_elsewhere</vt:lpstr>
      <vt:lpstr>remove_outline_columns</vt:lpstr>
      <vt:lpstr>summary_was_above</vt:lpstr>
      <vt:lpstr>collapsed</vt:lpstr>
      <vt:lpstr>collapsed_then_replace</vt:lpstr>
      <vt:lpstr>collapsed_then_remove</vt:lpstr>
      <vt:lpstr>hidden_row</vt:lpstr>
      <vt:lpstr>formats_currency</vt:lpstr>
      <vt:lpstr>formats_rows</vt:lpstr>
      <vt:lpstr>formats_header_above</vt:lpstr>
      <vt:lpstr>formats_header_below</vt:lpstr>
      <vt:lpstr>formats_label_bold</vt:lpstr>
      <vt:lpstr>formats_whole_row</vt:lpstr>
      <vt:lpstr>breaks_below</vt:lpstr>
      <vt:lpstr>breaks_above</vt:lpstr>
      <vt:lpstr>breaks_nested</vt:lpstr>
      <vt:lpstr>breaks_nested_inner</vt:lpstr>
      <vt:lpstr>breaks_remove</vt:lpstr>
      <vt:lpstr>breaks_replace</vt:lpstr>
      <vt:lpstr>breaks_manual_kept</vt:lpstr>
      <vt:lpstr>protected</vt:lpstr>
      <vt:lpstr>protected_remove</vt:lpstr>
      <vt:lpstr>table</vt:lpstr>
      <vt:lpstr>filtered</vt:lpstr>
      <vt:lpstr>manual_calculation</vt:lpstr>
      <vt:lpstr>range_two_regions</vt:lpstr>
      <vt:lpstr>single_column</vt:lpstr>
      <vt:lpstr>groupby_middle_total</vt:lpstr>
      <vt:lpstr>groupby_total_outside</vt:lpstr>
      <vt:lpstr>groupby_total_remove</vt:lpstr>
      <vt:lpstr>groupby_total_twice</vt:lpstr>
      <vt:lpstr>replace_deletes_manual</vt:lpstr>
      <vt:lpstr>values_spaces</vt:lpstr>
      <vt:lpstr>values_all_blank_above</vt:lpstr>
      <vt:lpstr>summary_two</vt:lpstr>
      <vt:lpstr>summary_negative</vt:lpstr>
      <vt:lpstr>summary_text</vt:lpstr>
      <vt:lpstr>nested_mixed_reverse</vt:lpstr>
      <vt:lpstr>outline_in_list_above</vt:lpstr>
      <vt:lpstr>outline_in_list_keep</vt:lpstr>
      <vt:lpstr>outline_columns_keep</vt:lpstr>
      <vt:lpstr>remove_hidden_manual</vt:lpstr>
      <vt:lpstr>collapsed_then_nested</vt:lpstr>
      <vt:lpstr>remove_nested_function</vt:lpstr>
      <vt:lpstr>remove_text</vt:lpstr>
      <vt:lpstr>breaks_default_after_manual</vt:lpstr>
      <vt:lpstr>breaks_inner_after_reset</vt:lpstr>
      <vt:lpstr>register_set</vt:lpstr>
      <vt:lpstr>register_read</vt:lpstr>
      <vt:lpstr>register_read_address</vt:lpstr>
      <vt:lpstr>register_read_empty</vt:lpstr>
      <vt:lpstr>register_read_first</vt:lpstr>
      <vt:lpstr>register_style</vt:lpstr>
      <vt:lpstr>register_font</vt:lpstr>
      <vt:lpstr>register_fill</vt:lpstr>
      <vt:lpstr>register_write_empty</vt:lpstr>
      <vt:lpstr>register_write_kept</vt:lpstr>
      <vt:lpstr>register_clear_contents</vt:lpstr>
      <vt:lpstr>register_entire_row</vt:lpstr>
      <vt:lpstr>register_sort</vt:lpstr>
      <vt:lpstr>register_copied</vt:lpstr>
      <vt:lpstr>register_above</vt:lpstr>
      <vt:lpstr>register_nested</vt:lpstr>
      <vt:lpstr>register_after_subtotal</vt:lpstr>
      <vt:lpstr>register_remove</vt:lpstr>
      <vt:lpstr>groupby_third_total</vt:lpstr>
      <vt:lpstr>groupby_total_left_taken</vt:lpstr>
      <vt:lpstr>values_blanks_above</vt:lpstr>
      <vt:lpstr>nested_above_count</vt:lpstr>
      <vt:lpstr>remove_formula_plus</vt:lpstr>
      <vt:lpstr>groupby_total_skip_left</vt:lpstr>
      <vt:lpstr>nested_grand_again</vt:lpstr>
      <vt:lpstr>fn_code_2</vt:lpstr>
      <vt:lpstr>fn_code_3</vt:lpstr>
      <vt:lpstr>fn_code_4</vt:lpstr>
      <vt:lpstr>fn_code_5</vt:lpstr>
      <vt:lpstr>fn_code_6</vt:lpstr>
      <vt:lpstr>fn_code_7</vt:lpstr>
      <vt:lpstr>fn_code_8</vt:lpstr>
      <vt:lpstr>fn_code_9</vt:lpstr>
      <vt:lpstr>fn_code_10</vt:lpstr>
      <vt:lpstr>fn_code_11</vt:lpstr>
      <vt:lpstr>fn_code_12</vt:lpstr>
      <vt:lpstr>fn_code_13</vt:lpstr>
      <vt:lpstr>fn_code_minus_4100</vt:lpstr>
      <vt:lpstr>fn_code_1000</vt:lpstr>
      <vt:lpstr>register_after_subtotal!Second</vt:lpstr>
      <vt:lpstr>outside_formulas!Sold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2026-10-25T08:44:20Z</dcterms:created>
  <dcterms:modified xsi:type="dcterms:W3CDTF">2026-10-25T08:44:22Z</dcterms:modified>
</cp:coreProperties>
</file>