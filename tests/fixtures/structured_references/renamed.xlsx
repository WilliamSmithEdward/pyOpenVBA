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C1DFDEC-A745-4DA5-A2BE-138DC6CEBA02}" xr6:coauthVersionLast="47" xr6:coauthVersionMax="47" xr10:uidLastSave="{00000000-0000-0000-0000-000000000000}"/>
  <bookViews>
    <workbookView xWindow="390" yWindow="390" windowWidth="19440" windowHeight="11220" xr2:uid="{FAE65965-DA47-4D6B-B5A8-4A9FD450A071}"/>
  </bookViews>
  <sheets>
    <sheet name="Sheet1" sheetId="1" r:id="rId1"/>
    <sheet name="Sheet2" sheetId="2" r:id="rId2"/>
    <sheet name="Sheet3" sheetId="3" r:id="rId3"/>
  </sheets>
  <definedNames>
    <definedName name="QtysR1C1">Sales[Count2]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2" i="3" l="1"/>
  <c r="E21" i="3"/>
  <c r="E20" i="3"/>
  <c r="AX7" i="3"/>
  <c r="AX6" i="3"/>
  <c r="CW2" i="3"/>
  <c r="AW7" i="3"/>
  <c r="AW6" i="3"/>
  <c r="CV2" i="3"/>
  <c r="AV7" i="3"/>
  <c r="AV6" i="3"/>
  <c r="CU2" i="3"/>
  <c r="AU7" i="3"/>
  <c r="AU6" i="3"/>
  <c r="CT2" i="3"/>
  <c r="AT7" i="3"/>
  <c r="AT6" i="3"/>
  <c r="CS2" i="3"/>
  <c r="AS7" i="3"/>
  <c r="AS6" i="3"/>
  <c r="CR2" i="3"/>
  <c r="AR7" i="3"/>
  <c r="AR6" i="3"/>
  <c r="CQ2" i="3"/>
  <c r="AQ7" i="3"/>
  <c r="AQ6" i="3"/>
  <c r="CP2" i="3"/>
  <c r="AP7" i="3"/>
  <c r="AP6" i="3"/>
  <c r="CO2" i="3"/>
  <c r="AO7" i="3"/>
  <c r="AO6" i="3"/>
  <c r="CN2" i="3"/>
  <c r="AN7" i="3"/>
  <c r="AN6" i="3"/>
  <c r="CM2" i="3"/>
  <c r="AM7" i="3"/>
  <c r="AM6" i="3"/>
  <c r="CL2" i="3"/>
  <c r="AL7" i="3"/>
  <c r="AL6" i="3"/>
  <c r="CK2" i="3"/>
  <c r="AK7" i="3"/>
  <c r="AK6" i="3"/>
  <c r="CJ2" i="3"/>
  <c r="AJ7" i="3"/>
  <c r="AJ6" i="3"/>
  <c r="CI2" i="3"/>
  <c r="AI7" i="3"/>
  <c r="AI6" i="3"/>
  <c r="CH2" i="3"/>
  <c r="AH7" i="3"/>
  <c r="AH6" i="3"/>
  <c r="CG2" i="3"/>
  <c r="AG7" i="3"/>
  <c r="AG6" i="3"/>
  <c r="CF2" i="3"/>
  <c r="AF7" i="3"/>
  <c r="AF6" i="3"/>
  <c r="CE2" i="3"/>
  <c r="AE7" i="3"/>
  <c r="AE6" i="3"/>
  <c r="CD2" i="3"/>
  <c r="AD7" i="3"/>
  <c r="AD6" i="3"/>
  <c r="CC2" i="3"/>
  <c r="AC7" i="3"/>
  <c r="AC6" i="3"/>
  <c r="CB2" i="3"/>
  <c r="AB7" i="3"/>
  <c r="AB6" i="3"/>
  <c r="CA2" i="3"/>
  <c r="AA7" i="3"/>
  <c r="AA6" i="3"/>
  <c r="BZ2" i="3"/>
  <c r="Z7" i="3"/>
  <c r="Z6" i="3"/>
  <c r="BY2" i="3"/>
  <c r="Y7" i="3"/>
  <c r="Y6" i="3"/>
  <c r="BX2" i="3"/>
  <c r="X7" i="3"/>
  <c r="X6" i="3"/>
  <c r="BW2" i="3"/>
  <c r="W7" i="3"/>
  <c r="W6" i="3"/>
  <c r="BV2" i="3"/>
  <c r="V7" i="3"/>
  <c r="V6" i="3"/>
  <c r="BU2" i="3"/>
  <c r="U7" i="3"/>
  <c r="U6" i="3"/>
  <c r="BT2" i="3"/>
  <c r="T7" i="3"/>
  <c r="T6" i="3"/>
  <c r="BS2" i="3"/>
  <c r="S7" i="3"/>
  <c r="S6" i="3"/>
  <c r="BR2" i="3"/>
  <c r="R7" i="3"/>
  <c r="R6" i="3"/>
  <c r="BQ2" i="3"/>
  <c r="Q7" i="3"/>
  <c r="Q6" i="3"/>
  <c r="BP2" i="3"/>
  <c r="P7" i="3"/>
  <c r="P6" i="3"/>
  <c r="BO2" i="3"/>
  <c r="O7" i="3"/>
  <c r="O6" i="3"/>
  <c r="BN2" i="3"/>
  <c r="N7" i="3"/>
  <c r="N6" i="3"/>
  <c r="BM2" i="3"/>
  <c r="M7" i="3"/>
  <c r="M6" i="3"/>
  <c r="BL2" i="3"/>
  <c r="L7" i="3"/>
  <c r="L6" i="3"/>
  <c r="BK2" i="3"/>
  <c r="K7" i="3"/>
  <c r="K6" i="3"/>
  <c r="BJ2" i="3"/>
  <c r="J7" i="3"/>
  <c r="J6" i="3"/>
  <c r="BI2" i="3"/>
  <c r="I7" i="3"/>
  <c r="I6" i="3"/>
  <c r="BH2" i="3"/>
  <c r="H7" i="3"/>
  <c r="H6" i="3"/>
  <c r="BG2" i="3"/>
  <c r="G7" i="3"/>
  <c r="G6" i="3"/>
  <c r="BF2" i="3"/>
  <c r="F7" i="3"/>
  <c r="F6" i="3"/>
  <c r="BE2" i="3"/>
  <c r="E7" i="3"/>
  <c r="E6" i="3"/>
  <c r="BD2" i="3"/>
  <c r="D7" i="3"/>
  <c r="D6" i="3"/>
  <c r="BC2" i="3"/>
  <c r="C7" i="3"/>
  <c r="C6" i="3"/>
  <c r="BB2" i="3"/>
  <c r="B7" i="3"/>
  <c r="B6" i="3"/>
  <c r="BA2" i="3"/>
  <c r="A7" i="3"/>
  <c r="A6" i="3"/>
  <c r="AZ2" i="3"/>
  <c r="AI4" i="1"/>
  <c r="AJ4" i="1"/>
  <c r="AK4" i="1"/>
  <c r="AH4" i="1"/>
  <c r="AI3" i="1"/>
  <c r="AJ3" i="1"/>
  <c r="AK3" i="1"/>
  <c r="AH3" i="1"/>
  <c r="AI23" i="1"/>
  <c r="AJ23" i="1"/>
  <c r="AK23" i="1"/>
  <c r="AH23" i="1"/>
  <c r="AI22" i="1"/>
  <c r="AJ22" i="1"/>
  <c r="AK22" i="1"/>
  <c r="AH22" i="1"/>
  <c r="AI21" i="1"/>
  <c r="AJ21" i="1"/>
  <c r="AK21" i="1"/>
  <c r="AH21" i="1"/>
  <c r="AI20" i="1"/>
  <c r="AJ20" i="1"/>
  <c r="AK20" i="1"/>
  <c r="AH20" i="1"/>
  <c r="AI19" i="1"/>
  <c r="AJ19" i="1"/>
  <c r="AK19" i="1"/>
  <c r="AH19" i="1"/>
  <c r="AI18" i="1"/>
  <c r="AJ18" i="1"/>
  <c r="AK18" i="1"/>
  <c r="AH18" i="1"/>
  <c r="AI17" i="1"/>
  <c r="AJ17" i="1"/>
  <c r="AK17" i="1"/>
  <c r="AH17" i="1"/>
  <c r="AI16" i="1"/>
  <c r="AJ16" i="1"/>
  <c r="AK16" i="1"/>
  <c r="AH16" i="1"/>
  <c r="AI15" i="1"/>
  <c r="AJ15" i="1"/>
  <c r="AK15" i="1"/>
  <c r="AH15" i="1"/>
  <c r="AI14" i="1"/>
  <c r="AJ14" i="1"/>
  <c r="AK14" i="1"/>
  <c r="AH14" i="1"/>
  <c r="AI13" i="1"/>
  <c r="AJ13" i="1"/>
  <c r="AK13" i="1"/>
  <c r="AH13" i="1"/>
  <c r="AI12" i="1"/>
  <c r="AJ12" i="1"/>
  <c r="AK12" i="1"/>
  <c r="AH12" i="1"/>
  <c r="AC26" i="1"/>
  <c r="AD26" i="1"/>
  <c r="AB26" i="1"/>
  <c r="AD25" i="1"/>
  <c r="AE25" i="1"/>
  <c r="AF25" i="1"/>
  <c r="AC25" i="1"/>
  <c r="AB25" i="1"/>
  <c r="AB24" i="1"/>
  <c r="AC24" i="1"/>
  <c r="AD24" i="1"/>
  <c r="AE24" i="1"/>
  <c r="AF13" i="1"/>
  <c r="AF14" i="1"/>
  <c r="AF12" i="1"/>
  <c r="AC9" i="1"/>
  <c r="AB9" i="1"/>
  <c r="AD8" i="1"/>
  <c r="AC8" i="1"/>
  <c r="AB8" i="1"/>
  <c r="AC7" i="1"/>
  <c r="AB7" i="1"/>
  <c r="AB4" i="1"/>
  <c r="AB5" i="1"/>
  <c r="AB3" i="1"/>
  <c r="AC2" i="1"/>
  <c r="AD2" i="1"/>
  <c r="AB2" i="1"/>
  <c r="AC1" i="1"/>
  <c r="AD1" i="1"/>
  <c r="AE1" i="1"/>
  <c r="AB1" i="1"/>
  <c r="E6" i="1"/>
  <c r="AA1" i="1"/>
  <c r="Y2" i="1"/>
  <c r="Y3" i="1"/>
  <c r="Y4" i="1"/>
  <c r="C42" i="1"/>
  <c r="C41" i="1"/>
  <c r="C40" i="1"/>
  <c r="C39" i="1"/>
  <c r="C38" i="1"/>
  <c r="C36" i="1"/>
  <c r="C35" i="1"/>
  <c r="C34" i="1"/>
  <c r="C33" i="1"/>
  <c r="C32" i="1"/>
  <c r="C31" i="1"/>
  <c r="AS3" i="1"/>
  <c r="Z91" i="1"/>
  <c r="Z90" i="1"/>
  <c r="Z89" i="1"/>
  <c r="Z88" i="1"/>
  <c r="AG4" i="1"/>
  <c r="AG3" i="1"/>
  <c r="AG2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C24" i="1"/>
  <c r="C23" i="1"/>
  <c r="C22" i="1"/>
  <c r="C21" i="1"/>
  <c r="A3" i="2"/>
  <c r="A2" i="2"/>
  <c r="A1" i="2"/>
  <c r="X3" i="1"/>
  <c r="W2" i="1"/>
  <c r="V2" i="1"/>
  <c r="U2" i="1"/>
  <c r="G4" i="1"/>
  <c r="G3" i="1"/>
  <c r="G2" i="1"/>
  <c r="F3" i="1"/>
  <c r="F2" i="1"/>
  <c r="E1" i="1"/>
  <c r="E9" i="1"/>
  <c r="F4" i="1"/>
  <c r="E3" i="1"/>
  <c r="E2" i="1"/>
  <c r="Z59" i="1"/>
  <c r="Z58" i="1"/>
  <c r="Z57" i="1"/>
  <c r="Z56" i="1"/>
  <c r="Z55" i="1"/>
  <c r="Z54" i="1"/>
  <c r="Z53" i="1"/>
  <c r="Z52" i="1"/>
  <c r="Z51" i="1"/>
  <c r="Z50" i="1"/>
  <c r="Z49" i="1"/>
  <c r="Z47" i="1"/>
  <c r="Z46" i="1"/>
  <c r="Z45" i="1"/>
  <c r="Z43" i="1"/>
  <c r="Z42" i="1"/>
  <c r="Z41" i="1"/>
  <c r="Z40" i="1"/>
  <c r="Z39" i="1"/>
  <c r="Z38" i="1"/>
  <c r="Z36" i="1"/>
  <c r="Z35" i="1"/>
  <c r="Z34" i="1"/>
  <c r="Z30" i="1"/>
  <c r="Z29" i="1"/>
  <c r="Z28" i="1"/>
  <c r="Z27" i="1"/>
  <c r="Z26" i="1"/>
  <c r="Z25" i="1"/>
  <c r="Z24" i="1"/>
  <c r="Z23" i="1"/>
  <c r="Z22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  <c r="C37" i="1"/>
</calcChain>
</file>

<file path=xl/sharedStrings.xml><?xml version="1.0" encoding="utf-8"?>
<sst xmlns="http://schemas.openxmlformats.org/spreadsheetml/2006/main" count="81" uniqueCount="69">
  <si>
    <t>Qty</t>
  </si>
  <si>
    <t>Price</t>
  </si>
  <si>
    <t>apple</t>
  </si>
  <si>
    <t>pear</t>
  </si>
  <si>
    <t>plum</t>
  </si>
  <si>
    <t>Unit Price</t>
  </si>
  <si>
    <t>Q#</t>
  </si>
  <si>
    <t>It's</t>
  </si>
  <si>
    <t>[x]</t>
  </si>
  <si>
    <t>@home</t>
  </si>
  <si>
    <t>a@b</t>
  </si>
  <si>
    <t>a,b</t>
  </si>
  <si>
    <t>a.b</t>
  </si>
  <si>
    <t>Total $</t>
  </si>
  <si>
    <t>a-b</t>
  </si>
  <si>
    <t>a&amp;b</t>
  </si>
  <si>
    <t>a:b</t>
  </si>
  <si>
    <t>Note</t>
  </si>
  <si>
    <t>a</t>
  </si>
  <si>
    <t>b c</t>
  </si>
  <si>
    <t>x y</t>
  </si>
  <si>
    <t>z</t>
  </si>
  <si>
    <t>a	b</t>
  </si>
  <si>
    <t>a
b</t>
  </si>
  <si>
    <t>a_x000D_b</t>
  </si>
  <si>
    <t>a b</t>
  </si>
  <si>
    <t>a!b</t>
  </si>
  <si>
    <t>a"b</t>
  </si>
  <si>
    <t>a#b</t>
  </si>
  <si>
    <t>a$b</t>
  </si>
  <si>
    <t>a%b</t>
  </si>
  <si>
    <t>a'b</t>
  </si>
  <si>
    <t>a(b</t>
  </si>
  <si>
    <t>a)b</t>
  </si>
  <si>
    <t>a*b</t>
  </si>
  <si>
    <t>a+b</t>
  </si>
  <si>
    <t>a/b</t>
  </si>
  <si>
    <t>a;b</t>
  </si>
  <si>
    <t>a&lt;b</t>
  </si>
  <si>
    <t>a=b</t>
  </si>
  <si>
    <t>a&gt;b</t>
  </si>
  <si>
    <t>a?b</t>
  </si>
  <si>
    <t>a[b</t>
  </si>
  <si>
    <t>a\b</t>
  </si>
  <si>
    <t>a]b</t>
  </si>
  <si>
    <t>a^b</t>
  </si>
  <si>
    <t>a_b</t>
  </si>
  <si>
    <t>a`b</t>
  </si>
  <si>
    <t>a{b</t>
  </si>
  <si>
    <t>a|b</t>
  </si>
  <si>
    <t>a}b</t>
  </si>
  <si>
    <t>a~b</t>
  </si>
  <si>
    <t>aéb</t>
  </si>
  <si>
    <t xml:space="preserve"> ab</t>
  </si>
  <si>
    <t xml:space="preserve">ab </t>
  </si>
  <si>
    <t>1ab</t>
  </si>
  <si>
    <t>A1</t>
  </si>
  <si>
    <t>R1C1</t>
  </si>
  <si>
    <t>TRUE</t>
  </si>
  <si>
    <t>Sum</t>
  </si>
  <si>
    <t>_ab</t>
  </si>
  <si>
    <t>#x</t>
  </si>
  <si>
    <t>@x</t>
  </si>
  <si>
    <t>'x</t>
  </si>
  <si>
    <t>123</t>
  </si>
  <si>
    <t>Column1</t>
  </si>
  <si>
    <t>Cost</t>
  </si>
  <si>
    <t>Count</t>
  </si>
  <si>
    <t>Count2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</si>
</sst>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F8719F-0FC6-4A80-90E2-B4770E16BCD9}" name="Sales" displayName="Sales" ref="A1:C4" totalsRowShown="0">
  <autoFilter ref="A1:C4" xr:uid="{ACF8719F-0FC6-4A80-90E2-B4770E16BCD9}"/>
  <tableColumns count="3">
    <tableColumn id="1" xr3:uid="{89B5573D-2F1E-4F44-BB12-8FDF230121E4}" name="Count"/>
    <tableColumn id="2" xr3:uid="{7978CD53-B8F8-407B-93B8-0B2792812530}" name="Count2"/>
    <tableColumn id="3" xr3:uid="{9EA572D5-6A1B-4BB0-931C-6A58C94FE69F}" name="Cos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065DF81-1BEA-4298-A6F2-B8572B3A9001}" name="Odd" displayName="Odd" ref="H1:S2" totalsRowShown="0">
  <autoFilter ref="H1:S2" xr:uid="{1065DF81-1BEA-4298-A6F2-B8572B3A9001}"/>
  <tableColumns count="12">
    <tableColumn id="1" xr3:uid="{C1D056BA-5492-48F3-88B9-DC563A54CE99}" name="Unit Price"/>
    <tableColumn id="2" xr3:uid="{C54ECDEC-3FA7-4DD5-8CD8-FC862EBF127B}" name="Q#"/>
    <tableColumn id="3" xr3:uid="{A5837973-6317-4DCD-B1F6-4BFAFBC27A61}" name="It's"/>
    <tableColumn id="4" xr3:uid="{FD41F6C7-9966-43F1-880E-42A60A4D09C0}" name="[x]"/>
    <tableColumn id="5" xr3:uid="{B5F31FD0-B742-42BD-AD8E-598701B5B131}" name="@home"/>
    <tableColumn id="6" xr3:uid="{B8233EB3-465F-44C8-9D47-1CFA3CE5C464}" name="a@b"/>
    <tableColumn id="7" xr3:uid="{DBA75E1E-CFAB-4FFC-9859-1AC147024F02}" name="a,b"/>
    <tableColumn id="8" xr3:uid="{BA40D503-D8F4-4030-B74E-093EB303609C}" name="a.b"/>
    <tableColumn id="9" xr3:uid="{0D1F7719-CDED-4180-9C8B-3BD2AD6D7D10}" name="Total $"/>
    <tableColumn id="10" xr3:uid="{A335D912-C438-462E-B61F-FDFD58936C8B}" name="a-b"/>
    <tableColumn id="11" xr3:uid="{0BF8BC27-6167-4C88-B677-EBAB60D7065C}" name="a&amp;b"/>
    <tableColumn id="12" xr3:uid="{3C62907F-26A1-47A2-B025-742688F0652C}" name="a:b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6175E6-701B-4DEF-9EC0-25B1C4FC0D36}" name="Inner" displayName="Inner" ref="A20:C24" totalsRowShown="0">
  <autoFilter ref="A20:C24" xr:uid="{0C6175E6-701B-4DEF-9EC0-25B1C4FC0D36}"/>
  <tableColumns count="3">
    <tableColumn id="1" xr3:uid="{C2BDD675-5115-4589-B638-87F5871FEC0B}" name="Qty"/>
    <tableColumn id="2" xr3:uid="{7C29CFDF-38EB-4B87-A2B7-E3B7F5BDD2EC}" name="Price"/>
    <tableColumn id="3" xr3:uid="{49D522C0-64CD-4679-AF1F-5C3360293A14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A79700-744C-4A68-BDA2-5AF0456C065A}" name="One" displayName="One" ref="AM1:AN2" totalsRowShown="0">
  <autoFilter ref="AM1:AN2" xr:uid="{CEA79700-744C-4A68-BDA2-5AF0456C065A}"/>
  <tableColumns count="2">
    <tableColumn id="1" xr3:uid="{AE6DAD25-355E-4224-8E6D-F6858D07C784}" name="a"/>
    <tableColumn id="2" xr3:uid="{FC78EBF4-7ED0-461D-A432-655A31C65261}" name="b c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9EA6758-4FAE-40A9-8DAD-CDB73E53ED0C}" name="Many" displayName="Many" ref="AP1:AQ4" totalsRowShown="0">
  <autoFilter ref="AP1:AQ4" xr:uid="{D9EA6758-4FAE-40A9-8DAD-CDB73E53ED0C}"/>
  <tableColumns count="2">
    <tableColumn id="1" xr3:uid="{6CDB0544-FF0E-4011-8723-0D313029E37D}" name="x y"/>
    <tableColumn id="2" xr3:uid="{F5A280B4-AA54-4789-BE4E-443253A9E41E}" name="z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0FD9A41-5030-4240-9AF4-F70E771D6EDE}" name="Big" displayName="Big" ref="A30:C42" totalsRowShown="0">
  <autoFilter ref="A30:C42" xr:uid="{A0FD9A41-5030-4240-9AF4-F70E771D6EDE}"/>
  <tableColumns count="3">
    <tableColumn id="1" xr3:uid="{1ED259FD-8DD6-41E9-BD4B-1A6DD119B9BC}" name="Qty"/>
    <tableColumn id="2" xr3:uid="{19391F13-D346-4D6C-BD11-4B6AFC89EEA9}" name="Price"/>
    <tableColumn id="3" xr3:uid="{785E7089-9C4F-4BEB-A421-A3D0FD76E0AA}" name="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DDE07D6-2DDA-410D-95C2-BC0B170A562A}" name="Chars" displayName="Chars" ref="A1:AX2" totalsRowShown="0">
  <autoFilter ref="A1:AX2" xr:uid="{1DDE07D6-2DDA-410D-95C2-BC0B170A562A}"/>
  <tableColumns count="50">
    <tableColumn id="1" xr3:uid="{6455E44F-8132-4F8D-8D31-19CF624B6AF7}" name="a_x0009_b"/>
    <tableColumn id="2" xr3:uid="{C1791293-964F-46D1-8402-74F260750D34}" name="a_x000a_b"/>
    <tableColumn id="3" xr3:uid="{34EEA883-6592-49ED-87C7-9CB82A2E963D}" name="a_x000d_b"/>
    <tableColumn id="4" xr3:uid="{EC86F38F-5C49-4709-981C-21DB718A5363}" name="a b"/>
    <tableColumn id="5" xr3:uid="{154F3C03-169F-4BB4-A384-3C5856B5BA94}" name="a!b"/>
    <tableColumn id="6" xr3:uid="{A2E6E8B4-1C3B-45F8-999D-8EF09FB16DA0}" name="a&quot;b"/>
    <tableColumn id="7" xr3:uid="{5397CDBA-8DE3-448A-9D75-D99A259ECE41}" name="a#b"/>
    <tableColumn id="8" xr3:uid="{33823C64-D7AD-48D2-A9DE-49989D338994}" name="a$b"/>
    <tableColumn id="9" xr3:uid="{04D74BBC-E786-4385-A384-1BB517A4EC26}" name="a%b"/>
    <tableColumn id="10" xr3:uid="{C3A596B7-BD1D-4374-A372-FD94FFB02F91}" name="a&amp;b"/>
    <tableColumn id="11" xr3:uid="{0D8E339D-9555-45AB-89AD-4FCFD9B19A87}" name="a'b"/>
    <tableColumn id="12" xr3:uid="{96BBFC49-F331-4166-AAE4-64037A7F30B9}" name="a(b"/>
    <tableColumn id="13" xr3:uid="{41800F54-E8BF-4F02-B882-45C52082B898}" name="a)b"/>
    <tableColumn id="14" xr3:uid="{D7D70AC2-47AE-47CE-9C95-C5FE28A91012}" name="a*b"/>
    <tableColumn id="15" xr3:uid="{47E70447-AC12-41D2-A192-0EF2CC7D85B3}" name="a+b"/>
    <tableColumn id="16" xr3:uid="{F0B96EF6-93F4-42D7-B415-06830E0563B3}" name="a,b"/>
    <tableColumn id="17" xr3:uid="{A1BA8B80-684C-4FE1-BC9E-7A5AB9504AB3}" name="a-b"/>
    <tableColumn id="18" xr3:uid="{36D91FA9-2ECE-4EF4-B6E1-176F17C32B51}" name="a.b"/>
    <tableColumn id="19" xr3:uid="{FB7FED0F-CAAD-4A7D-B2D4-C495D72DCA56}" name="a/b"/>
    <tableColumn id="20" xr3:uid="{B009AB86-B78E-4B61-8B65-D1457309DD41}" name="a:b"/>
    <tableColumn id="21" xr3:uid="{B51CA90B-FDA9-43E0-873E-2C9A39533802}" name="a;b"/>
    <tableColumn id="22" xr3:uid="{819BBEFC-D53A-4CF4-A22A-085CEE68D170}" name="a&lt;b"/>
    <tableColumn id="23" xr3:uid="{E1A092CD-BA99-4553-9439-0A40B39B92E4}" name="a=b"/>
    <tableColumn id="24" xr3:uid="{9ED2E54C-A86C-48BC-8549-C0CD00F7BBAD}" name="a&gt;b"/>
    <tableColumn id="25" xr3:uid="{5F375428-F8AB-46FD-B96B-39B577E1C82B}" name="a?b"/>
    <tableColumn id="26" xr3:uid="{528AC802-A39F-4174-8536-CCA8D061B486}" name="a@b"/>
    <tableColumn id="27" xr3:uid="{13399DA7-6D98-429D-B81D-32519172B44F}" name="a[b"/>
    <tableColumn id="28" xr3:uid="{BBC6A4B2-17E4-4194-9B10-84DA7989F5AA}" name="a\b"/>
    <tableColumn id="29" xr3:uid="{ADF78BAB-2104-45E9-96D7-23C6A8CB1A1A}" name="a]b"/>
    <tableColumn id="30" xr3:uid="{5E90E0E0-9CA4-4F8A-AF6E-227EA8FDD699}" name="a^b"/>
    <tableColumn id="31" xr3:uid="{63102189-2D36-4229-8103-B69B36C8394B}" name="a_b"/>
    <tableColumn id="32" xr3:uid="{C4908063-8D6E-4E67-A7E7-64809F7331C3}" name="a`b"/>
    <tableColumn id="33" xr3:uid="{9DA665F2-8973-4F2C-A7AE-EDDCD6C3D47F}" name="a{b"/>
    <tableColumn id="34" xr3:uid="{6AF45950-26BF-4394-B4E9-62A5F57ED22F}" name="a|b"/>
    <tableColumn id="35" xr3:uid="{A5909237-D350-4DA9-9551-F972C2356E38}" name="a}b"/>
    <tableColumn id="36" xr3:uid="{81E6857D-3B75-4571-9A7E-543F718FCB55}" name="a~b"/>
    <tableColumn id="37" xr3:uid="{44DE468C-F880-4599-A305-FAC565B8ADC6}" name="aéb"/>
    <tableColumn id="38" xr3:uid="{5D8FF356-2238-487F-AC52-9F8946859AF3}" name=" ab"/>
    <tableColumn id="39" xr3:uid="{795EE47D-7179-405B-A708-5097EBFEEF0B}" name="ab "/>
    <tableColumn id="40" xr3:uid="{FBC8F652-D249-4564-BD7E-2671E24C0F59}" name="1ab"/>
    <tableColumn id="41" xr3:uid="{D7B89DB6-AA8F-4E33-8A1F-8548122186B5}" name="A1"/>
    <tableColumn id="42" xr3:uid="{E865CC78-2C1A-4053-894A-714E1A772BB6}" name="R1C1"/>
    <tableColumn id="43" xr3:uid="{0375A4C4-B9E4-4C29-87F8-19F78E7FE960}" name="TRUE"/>
    <tableColumn id="44" xr3:uid="{92D56C1C-1474-40ED-950C-436B074F9F24}" name="Sum"/>
    <tableColumn id="45" xr3:uid="{4FE09E84-AA37-424E-AEFF-9975D065D86C}" name="_ab"/>
    <tableColumn id="46" xr3:uid="{48C1D4D1-EDC6-49E9-BD02-DDBB83097C4C}" name="a"/>
    <tableColumn id="47" xr3:uid="{B75A7EA9-3584-44D2-BE42-1DB7ADD0E5A5}" name="#x"/>
    <tableColumn id="48" xr3:uid="{C984F91C-A166-461E-A057-9A043F3C1690}" name="@x"/>
    <tableColumn id="49" xr3:uid="{E214CC22-9427-43D5-AF41-D38D07B1D64C}" name="'x"/>
    <tableColumn id="50" xr3:uid="{1F3A3C26-67B8-4F71-9D44-BD864E198842}" name="12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2021B17-8B1C-40AA-B574-3D931BE9671D}" name="Rep" displayName="Rep" ref="A20:C21" totalsRowShown="0">
  <autoFilter ref="A20:C21" xr:uid="{F2021B17-8B1C-40AA-B574-3D931BE9671D}"/>
  <tableColumns count="3">
    <tableColumn id="1" xr3:uid="{86437317-AABA-47B9-841F-E385322D3C4A}" name="Column1"/>
    <tableColumn id="2" xr3:uid="{69933B0C-6CC9-4C99-815E-56190900AC13}" name="TRUE"/>
    <tableColumn id="3" xr3:uid="{4701E873-C641-4BCA-8439-224E59640267}" name="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98C93-CCFB-4C17-BC40-CFF0C41D72F4}">
  <dimension ref="A1:AS91"/>
  <sheetViews>
    <sheetView tabSelected="1" workbookViewId="0"/>
  </sheetViews>
  <sheetFormatPr defaultRowHeight="15" x14ac:dyDescent="0.25"/>
  <cols>
    <col min="8" max="8" width="11.85546875" customWidth="1"/>
    <col min="12" max="12" width="9.85546875" customWidth="1"/>
  </cols>
  <sheetData>
    <row r="1" spans="1:45" x14ac:dyDescent="0.25">
      <c r="A1" t="s">
        <v>67</v>
      </c>
      <c r="B1" t="s">
        <v>68</v>
      </c>
      <c r="C1" t="s">
        <v>66</v>
      </c>
      <c r="E1" t="e">
        <f>Sales[[#This Row],[Count2]]</f>
        <v>#VALUE!</v>
      </c>
      <c r="H1" t="s">
        <v>5</v>
      </c>
      <c r="I1" t="s">
        <v>6</v>
      </c>
      <c r="J1" t="s">
        <v>7</v>
      </c>
      <c r="K1" t="s">
        <v>8</v>
      </c>
      <c r="L1" s="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Z1">
        <f>SUM(Sales[Count2])</f>
        <v>15</v>
      </c>
      <c r="AA1">
        <f>SUM(Sales[Count2])</f>
        <v>15</v>
      </c>
      <c r="AB1">
        <f>SUM(Sales[Count])</f>
        <v>0</v>
      </c>
      <c r="AC1">
        <f>SUM(Sales[Count])</f>
        <v>0</v>
      </c>
      <c r="AD1">
        <f>SUM(Sales[Count])</f>
        <v>0</v>
      </c>
      <c r="AE1">
        <f>SUM(Sales[Count])</f>
        <v>0</v>
      </c>
      <c r="AM1" t="s">
        <v>18</v>
      </c>
      <c r="AN1" t="s">
        <v>19</v>
      </c>
      <c r="AP1" t="s">
        <v>20</v>
      </c>
      <c r="AQ1" t="s">
        <v>21</v>
      </c>
    </row>
    <row r="2" spans="1:45" x14ac:dyDescent="0.25">
      <c r="A2" t="s">
        <v>2</v>
      </c>
      <c r="B2">
        <v>3</v>
      </c>
      <c r="C2">
        <v>1.5</v>
      </c>
      <c r="E2">
        <f>Sales[[#This Row],[Count2]]*2</f>
        <v>6</v>
      </c>
      <c r="F2">
        <f>SUM(Sales[[#This Row],[Count2]:[Cost]])</f>
        <v>4.5</v>
      </c>
      <c r="G2">
        <f>SUM(Sales[[#This Row],[Count2]:[Cost]])</f>
        <v>4.5</v>
      </c>
      <c r="H2">
        <v>1</v>
      </c>
      <c r="I2">
        <v>2</v>
      </c>
      <c r="J2">
        <v>3</v>
      </c>
      <c r="K2">
        <v>4</v>
      </c>
      <c r="L2">
        <v>5</v>
      </c>
      <c r="M2">
        <v>6</v>
      </c>
      <c r="N2">
        <v>7</v>
      </c>
      <c r="O2">
        <v>8</v>
      </c>
      <c r="P2">
        <v>9</v>
      </c>
      <c r="Q2">
        <v>10</v>
      </c>
      <c r="R2">
        <v>11</v>
      </c>
      <c r="S2">
        <v>12</v>
      </c>
      <c r="U2">
        <f>Odd[[#This Row],[Total $]]</f>
        <v>9</v>
      </c>
      <c r="V2">
        <f>Odd[[#This Row],[Q'#]]</f>
        <v>2</v>
      </c>
      <c r="W2">
        <f>Odd[[#This Row],[Unit Price]]</f>
        <v>1</v>
      </c>
      <c r="Y2">
        <f>Sales[[#This Row],[Count2]]*1</f>
        <v>3</v>
      </c>
      <c r="Z2">
        <f>SUM(Sales[Count2])</f>
        <v>15</v>
      </c>
      <c r="AB2">
        <f>SUM(Sales[Count2])</f>
        <v>15</v>
      </c>
      <c r="AC2">
        <f>SUM(Sales[Cost])</f>
        <v>4.25</v>
      </c>
      <c r="AD2">
        <f>SUM(Sales[Count])</f>
        <v>0</v>
      </c>
      <c r="AG2">
        <f>Sales[[#This Row],[Count2]]*1</f>
        <v>3</v>
      </c>
      <c r="AM2">
        <v>1</v>
      </c>
      <c r="AN2">
        <v>2</v>
      </c>
      <c r="AP2">
        <v>1</v>
      </c>
      <c r="AQ2">
        <v>4</v>
      </c>
    </row>
    <row r="3" spans="1:45" x14ac:dyDescent="0.25">
      <c r="A3" t="s">
        <v>3</v>
      </c>
      <c r="B3">
        <v>5</v>
      </c>
      <c r="C3">
        <v>2.25</v>
      </c>
      <c r="E3">
        <f>Sales[[#This Row],[Count2]]*2</f>
        <v>10</v>
      </c>
      <c r="F3">
        <f>COUNTA(Sales[#This Row])</f>
        <v>3</v>
      </c>
      <c r="G3">
        <f>COUNTA(Sales[#This Row])</f>
        <v>3</v>
      </c>
      <c r="X3" t="e">
        <f>Sales[[#This Row],[Count2]]+A1</f>
        <v>#VALUE!</v>
      </c>
      <c r="Y3">
        <f>Sales[[#This Row],[Count2]]*1</f>
        <v>5</v>
      </c>
      <c r="Z3">
        <f>SUM(Sales[[#Data],[Count2]])</f>
        <v>15</v>
      </c>
      <c r="AB3">
        <f>SUM(Sales[Count2])</f>
        <v>15</v>
      </c>
      <c r="AG3">
        <f>Sales[[#Data],[Count2]]*1</f>
        <v>5</v>
      </c>
      <c r="AH3">
        <f>Sales[[#This Row],[Count2]]</f>
        <v>5</v>
      </c>
      <c r="AI3">
        <f>Sales[[#This Row],[Cost]]</f>
        <v>2.25</v>
      </c>
      <c r="AJ3" t="str">
        <f>Sales[[#This Row],[Count]]</f>
        <v>pear</v>
      </c>
      <c r="AK3">
        <f>Sales[[#This Row],[Count2]]</f>
        <v>5</v>
      </c>
      <c r="AP3">
        <v>2</v>
      </c>
      <c r="AQ3">
        <v>5</v>
      </c>
      <c r="AS3">
        <f>Many[[#This Row],[x y]]*1</f>
        <v>2</v>
      </c>
    </row>
    <row r="4" spans="1:45" x14ac:dyDescent="0.25">
      <c r="A4" t="s">
        <v>4</v>
      </c>
      <c r="B4">
        <v>7</v>
      </c>
      <c r="C4">
        <v>0.5</v>
      </c>
      <c r="F4">
        <f>Sales[[#This Row],[Count2]]</f>
        <v>7</v>
      </c>
      <c r="G4">
        <f>Sales[[#This Row],[Count2]]*1</f>
        <v>7</v>
      </c>
      <c r="Y4">
        <f>Sales[[#This Row],[Count2]]*1</f>
        <v>7</v>
      </c>
      <c r="Z4">
        <f>SUM(Sales[[#All],[Count2]])</f>
        <v>15</v>
      </c>
      <c r="AB4">
        <f>SUM(Sales[Count2])</f>
        <v>15</v>
      </c>
      <c r="AG4" t="e">
        <f>Sales[]*1</f>
        <v>#VALUE!</v>
      </c>
      <c r="AH4">
        <f>SUM(Sales[[#This Row],[Count2]:[Cost]])</f>
        <v>7.5</v>
      </c>
      <c r="AI4">
        <f>SUM(Sales[[#This Row],[Count2]:[Cost]])</f>
        <v>7.5</v>
      </c>
      <c r="AJ4">
        <f>SUM(Sales[[#This Row],[Count2]:[Cost]])</f>
        <v>7.5</v>
      </c>
      <c r="AK4">
        <f>SUM(Sales[[#This Row],[Count2]:[Cost]])</f>
        <v>7.5</v>
      </c>
      <c r="AP4">
        <v>3</v>
      </c>
      <c r="AQ4">
        <v>6</v>
      </c>
    </row>
    <row r="5" spans="1:45" x14ac:dyDescent="0.25">
      <c r="Z5" t="str">
        <f>Sales[[#Headers],[Cost]]</f>
        <v>Cost</v>
      </c>
      <c r="AB5">
        <f>SUM(Sales[Count2])</f>
        <v>15</v>
      </c>
    </row>
    <row r="6" spans="1:45" x14ac:dyDescent="0.25">
      <c r="E6" t="e">
        <f>Sales[[#This Row],[Count2]]*2</f>
        <v>#VALUE!</v>
      </c>
      <c r="Z6">
        <f>COUNTA(Sales[#Headers])</f>
        <v>3</v>
      </c>
    </row>
    <row r="7" spans="1:45" x14ac:dyDescent="0.25">
      <c r="Z7">
        <f>ROWS(Sales[#All])</f>
        <v>4</v>
      </c>
      <c r="AB7">
        <f>SUM(Sales[[Count2]:[Count2]])</f>
        <v>15</v>
      </c>
      <c r="AC7">
        <f>SUM(Sales[[Count2]:[Count2]])</f>
        <v>15</v>
      </c>
    </row>
    <row r="8" spans="1:45" x14ac:dyDescent="0.25">
      <c r="Z8">
        <f>ROWS(Sales[#Data])</f>
        <v>3</v>
      </c>
      <c r="AB8">
        <f>SUM(Sales[Count2])</f>
        <v>15</v>
      </c>
      <c r="AC8">
        <f>SUM(Sales[Count2])</f>
        <v>15</v>
      </c>
      <c r="AD8">
        <f>SUM(Sales[Count2])</f>
        <v>15</v>
      </c>
    </row>
    <row r="9" spans="1:45" x14ac:dyDescent="0.25">
      <c r="E9" t="e">
        <f>Sales[[#This Row],[Count2]]</f>
        <v>#VALUE!</v>
      </c>
      <c r="Z9">
        <f>ROWS(Sales[])</f>
        <v>3</v>
      </c>
      <c r="AB9">
        <f>SUM(Sales[[#All],[Count]])</f>
        <v>0</v>
      </c>
      <c r="AC9">
        <f>SUM(Sales[[#All],[Count2]])</f>
        <v>15</v>
      </c>
    </row>
    <row r="10" spans="1:45" x14ac:dyDescent="0.25">
      <c r="Z10">
        <f>ROWS(Sales[])</f>
        <v>3</v>
      </c>
    </row>
    <row r="11" spans="1:45" x14ac:dyDescent="0.25">
      <c r="Z11">
        <f>SUM(Sales[[Count2]:[Cost]])</f>
        <v>19.25</v>
      </c>
    </row>
    <row r="12" spans="1:45" x14ac:dyDescent="0.25">
      <c r="Z12">
        <f>SUM(Sales[[Cost]:[Count2]])</f>
        <v>19.25</v>
      </c>
      <c r="AF12">
        <f>SUM(Sales[Count2])</f>
        <v>15</v>
      </c>
      <c r="AH12">
        <f>SUM(Sales[Count2])</f>
        <v>15</v>
      </c>
      <c r="AI12">
        <f>SUM(Sales[Cost])</f>
        <v>4.25</v>
      </c>
      <c r="AJ12">
        <f>SUM(Sales[Count])</f>
        <v>0</v>
      </c>
      <c r="AK12">
        <f>SUM(Sales[Count2])</f>
        <v>15</v>
      </c>
    </row>
    <row r="13" spans="1:45" x14ac:dyDescent="0.25">
      <c r="Z13">
        <f>ROWS(Sales[[#Headers],[#Data]])</f>
        <v>4</v>
      </c>
      <c r="AF13">
        <f>SUM(Sales[Count2])</f>
        <v>15</v>
      </c>
      <c r="AH13">
        <f>SUM(Sales[[Count2]:[Cost]])</f>
        <v>19.25</v>
      </c>
      <c r="AI13">
        <f>SUM(Sales[[Count2]:[Cost]])</f>
        <v>19.25</v>
      </c>
      <c r="AJ13">
        <f>SUM(Sales[[Count2]:[Cost]])</f>
        <v>19.25</v>
      </c>
      <c r="AK13">
        <f>SUM(Sales[[Count2]:[Cost]])</f>
        <v>19.25</v>
      </c>
    </row>
    <row r="14" spans="1:45" x14ac:dyDescent="0.25">
      <c r="Z14">
        <f>ROWS(Sales[[#Data],[#Totals]])</f>
        <v>3</v>
      </c>
      <c r="AF14">
        <f>SUM(Sales[Count2])</f>
        <v>15</v>
      </c>
      <c r="AH14">
        <f>SUM(Sales[[Count2]:[Count2]])</f>
        <v>15</v>
      </c>
      <c r="AI14">
        <f>SUM(Sales[[Count2]:[Count2]])</f>
        <v>15</v>
      </c>
      <c r="AJ14">
        <f>SUM(Sales[[Count2]:[Count2]])</f>
        <v>15</v>
      </c>
      <c r="AK14">
        <f>SUM(Sales[[Count2]:[Count2]])</f>
        <v>15</v>
      </c>
    </row>
    <row r="15" spans="1:45" x14ac:dyDescent="0.25">
      <c r="Z15" t="e">
        <f>Sales[#Totals]</f>
        <v>#REF!</v>
      </c>
      <c r="AH15">
        <f>SUM(Sales[[#Data],[Count2]])</f>
        <v>15</v>
      </c>
      <c r="AI15">
        <f>SUM(Sales[[#Data],[Cost]])</f>
        <v>4.25</v>
      </c>
      <c r="AJ15">
        <f>SUM(Sales[[#Data],[Count]])</f>
        <v>0</v>
      </c>
      <c r="AK15">
        <f>SUM(Sales[[#Data],[Count2]])</f>
        <v>15</v>
      </c>
    </row>
    <row r="16" spans="1:45" x14ac:dyDescent="0.25">
      <c r="Z16">
        <f>ROWS(Sales[[#Headers],[#Data],[Count2]])</f>
        <v>4</v>
      </c>
      <c r="AH16">
        <f>SUM(Sales[[#Headers],[Count2]])</f>
        <v>0</v>
      </c>
      <c r="AI16">
        <f>SUM(Sales[[#Headers],[Cost]])</f>
        <v>0</v>
      </c>
      <c r="AJ16">
        <f>SUM(Sales[[#Headers],[Count]])</f>
        <v>0</v>
      </c>
      <c r="AK16">
        <f>SUM(Sales[[#Headers],[Count2]])</f>
        <v>0</v>
      </c>
    </row>
    <row r="17" spans="1:37" x14ac:dyDescent="0.25">
      <c r="Z17" t="e">
        <f>Sales[[#This Row],[Count2]]</f>
        <v>#VALUE!</v>
      </c>
      <c r="AH17">
        <f>ROWS(Sales[])</f>
        <v>3</v>
      </c>
      <c r="AI17">
        <f>ROWS(Sales[])</f>
        <v>3</v>
      </c>
      <c r="AJ17">
        <f>ROWS(Sales[])</f>
        <v>3</v>
      </c>
      <c r="AK17">
        <f>ROWS(Sales[])</f>
        <v>3</v>
      </c>
    </row>
    <row r="18" spans="1:37" x14ac:dyDescent="0.25">
      <c r="AH18">
        <f>ROWS(Sales[#All])</f>
        <v>4</v>
      </c>
      <c r="AI18">
        <f>ROWS(Sales[#All])</f>
        <v>4</v>
      </c>
      <c r="AJ18">
        <f>ROWS(Sales[#All])</f>
        <v>4</v>
      </c>
      <c r="AK18">
        <f>ROWS(Sales[#All])</f>
        <v>4</v>
      </c>
    </row>
    <row r="19" spans="1:37" x14ac:dyDescent="0.25">
      <c r="AH19">
        <f>SUM(Sales[Count])+SUM(Inner[Qty])</f>
        <v>10</v>
      </c>
      <c r="AI19">
        <f>SUM(Sales[Count2])+SUM(Inner[Price])</f>
        <v>115</v>
      </c>
      <c r="AJ19">
        <f>SUM(Sales[Cost])+SUM(Inner[Note])</f>
        <v>37.25</v>
      </c>
      <c r="AK19">
        <f>SUM(Sales[Count])+SUM(Inner[Qty])</f>
        <v>10</v>
      </c>
    </row>
    <row r="20" spans="1:37" x14ac:dyDescent="0.25">
      <c r="A20" t="s">
        <v>0</v>
      </c>
      <c r="B20" t="s">
        <v>1</v>
      </c>
      <c r="C20" t="s">
        <v>17</v>
      </c>
      <c r="AH20">
        <f>SUM(Odd[Unit Price])</f>
        <v>1</v>
      </c>
      <c r="AI20">
        <f>SUM(Odd[Q'#])</f>
        <v>2</v>
      </c>
      <c r="AJ20">
        <f>SUM(Odd[It''s])</f>
        <v>3</v>
      </c>
      <c r="AK20">
        <f>SUM(Odd['[x']])</f>
        <v>4</v>
      </c>
    </row>
    <row r="21" spans="1:37" x14ac:dyDescent="0.25">
      <c r="A21">
        <v>1</v>
      </c>
      <c r="B21">
        <v>10</v>
      </c>
      <c r="C21">
        <f>Inner[[#This Row],[Qty]]*2</f>
        <v>2</v>
      </c>
      <c r="AH21" t="e">
        <f>SUM(Sales[Count2])+A1</f>
        <v>#VALUE!</v>
      </c>
      <c r="AI21" t="e">
        <f>SUM(Sales[Cost])+B1</f>
        <v>#VALUE!</v>
      </c>
      <c r="AJ21" t="e">
        <f>SUM(Sales[Count])+C1</f>
        <v>#VALUE!</v>
      </c>
      <c r="AK21">
        <f>SUM(Sales[Count2])+D1</f>
        <v>15</v>
      </c>
    </row>
    <row r="22" spans="1:37" x14ac:dyDescent="0.25">
      <c r="A22">
        <v>2</v>
      </c>
      <c r="B22">
        <v>20</v>
      </c>
      <c r="C22">
        <f>Inner[[#This Row],[Qty]]*3</f>
        <v>6</v>
      </c>
      <c r="Z22">
        <f>SUM(Sales[ [#All], [Count2] ])</f>
        <v>15</v>
      </c>
      <c r="AH22">
        <f>SUM(Sales[[Cost]:[Count2]])</f>
        <v>19.25</v>
      </c>
      <c r="AI22">
        <f>SUM(Sales[[Cost]:[Count2]])</f>
        <v>19.25</v>
      </c>
      <c r="AJ22">
        <f>SUM(Sales[[Cost]:[Count2]])</f>
        <v>19.25</v>
      </c>
      <c r="AK22">
        <f>SUM(Sales[[Cost]:[Count2]])</f>
        <v>19.25</v>
      </c>
    </row>
    <row r="23" spans="1:37" x14ac:dyDescent="0.25">
      <c r="A23">
        <v>3</v>
      </c>
      <c r="B23">
        <v>30</v>
      </c>
      <c r="C23">
        <f>SUM(Inner[Qty])</f>
        <v>10</v>
      </c>
      <c r="Z23">
        <f>ROWS(Sales[#All])</f>
        <v>4</v>
      </c>
      <c r="AH23" t="e">
        <f>SUM(Sales[[#This Row],[Count2]])</f>
        <v>#VALUE!</v>
      </c>
      <c r="AI23" t="e">
        <f>SUM(Sales[[#This Row],[Cost]])</f>
        <v>#VALUE!</v>
      </c>
      <c r="AJ23" t="e">
        <f>SUM(Sales[[#This Row],[Count]])</f>
        <v>#VALUE!</v>
      </c>
      <c r="AK23" t="e">
        <f>SUM(Sales[[#This Row],[Count2]])</f>
        <v>#VALUE!</v>
      </c>
    </row>
    <row r="24" spans="1:37" x14ac:dyDescent="0.25">
      <c r="A24">
        <v>4</v>
      </c>
      <c r="B24">
        <v>40</v>
      </c>
      <c r="C24">
        <f>SUM(Sales[Count2])</f>
        <v>15</v>
      </c>
      <c r="Z24">
        <f>SUM(Sales[Count2]:Sales[Cost])</f>
        <v>19.25</v>
      </c>
      <c r="AB24">
        <f>SUM(Sales[Count2])</f>
        <v>15</v>
      </c>
      <c r="AC24">
        <f>SUM(Sales[Cost])</f>
        <v>4.25</v>
      </c>
      <c r="AD24">
        <f>SUM(Sales[Count])</f>
        <v>0</v>
      </c>
      <c r="AE24">
        <f>SUM(Sales[Count2])</f>
        <v>15</v>
      </c>
    </row>
    <row r="25" spans="1:37" x14ac:dyDescent="0.25">
      <c r="Z25">
        <f>INDEX(Sales[Count2],2)</f>
        <v>5</v>
      </c>
      <c r="AB25">
        <f>SUM(Sales[Count])</f>
        <v>0</v>
      </c>
      <c r="AC25">
        <f>SUM(Sales[Count2])</f>
        <v>15</v>
      </c>
      <c r="AD25">
        <f>SUM(Sales[Count2])</f>
        <v>15</v>
      </c>
      <c r="AE25">
        <f>SUM(Sales[Cost])</f>
        <v>4.25</v>
      </c>
      <c r="AF25">
        <f>SUM(Sales[Cost])</f>
        <v>4.25</v>
      </c>
    </row>
    <row r="26" spans="1:37" x14ac:dyDescent="0.25">
      <c r="Z26">
        <f>MATCH("pear",Sales[Count],0)</f>
        <v>2</v>
      </c>
      <c r="AB26">
        <f>SUM(Sales[Count2])</f>
        <v>15</v>
      </c>
      <c r="AC26">
        <f>SUM(Sales[Cost])</f>
        <v>4.25</v>
      </c>
      <c r="AD26">
        <f>SUM(Sales[Count])</f>
        <v>0</v>
      </c>
    </row>
    <row r="27" spans="1:37" x14ac:dyDescent="0.25">
      <c r="Z27">
        <f>VLOOKUP("plum",Sales[],3,FALSE)</f>
        <v>0.5</v>
      </c>
    </row>
    <row r="28" spans="1:37" x14ac:dyDescent="0.25">
      <c r="Z28">
        <f>VLOOKUP("plum",Sales[#All],3,FALSE)</f>
        <v>0.5</v>
      </c>
    </row>
    <row r="29" spans="1:37" x14ac:dyDescent="0.25">
      <c r="Z29">
        <f>SUM(Sales[[Count2]:[Count2]])</f>
        <v>15</v>
      </c>
    </row>
    <row r="30" spans="1:37" x14ac:dyDescent="0.25">
      <c r="A30" t="s">
        <v>0</v>
      </c>
      <c r="B30" t="s">
        <v>1</v>
      </c>
      <c r="C30" t="s">
        <v>17</v>
      </c>
      <c r="Z30">
        <f>SUM(Sales[[#All],[Count2]:[Cost]])</f>
        <v>19.25</v>
      </c>
    </row>
    <row r="31" spans="1:37" x14ac:dyDescent="0.25">
      <c r="A31">
        <v>1</v>
      </c>
      <c r="B31">
        <v>10</v>
      </c>
      <c r="C31">
        <f>ROWS(Big[#All])</f>
        <v>13</v>
      </c>
    </row>
    <row r="32" spans="1:37" x14ac:dyDescent="0.25">
      <c r="A32">
        <v>2</v>
      </c>
      <c r="B32">
        <v>20</v>
      </c>
      <c r="C32">
        <f>ROWS(Big[])</f>
        <v>12</v>
      </c>
    </row>
    <row r="33" spans="1:26" x14ac:dyDescent="0.25">
      <c r="A33">
        <v>3</v>
      </c>
      <c r="B33">
        <v>30</v>
      </c>
      <c r="C33">
        <f>Big[[#This Row],[Qty]]</f>
        <v>3</v>
      </c>
    </row>
    <row r="34" spans="1:26" x14ac:dyDescent="0.25">
      <c r="A34">
        <v>4</v>
      </c>
      <c r="B34">
        <v>40</v>
      </c>
      <c r="C34">
        <f>Big[[#This Row],[Qty]]*1</f>
        <v>4</v>
      </c>
      <c r="Z34" t="e">
        <f>SUM(Sales[Count2])+$A$1</f>
        <v>#VALUE!</v>
      </c>
    </row>
    <row r="35" spans="1:26" x14ac:dyDescent="0.25">
      <c r="A35">
        <v>5</v>
      </c>
      <c r="B35">
        <v>50</v>
      </c>
      <c r="C35">
        <f>SUM(Big[[Qty]:[Price]])</f>
        <v>858</v>
      </c>
      <c r="Z35">
        <f>SUM(Sales[Count2])</f>
        <v>15</v>
      </c>
    </row>
    <row r="36" spans="1:26" x14ac:dyDescent="0.25">
      <c r="A36">
        <v>6</v>
      </c>
      <c r="B36">
        <v>60</v>
      </c>
      <c r="C36">
        <f>SUM(Big[[#This Row],[Qty]:[Price]])</f>
        <v>66</v>
      </c>
      <c r="Z36" t="str">
        <f>"Table1[Qty]"</f>
        <v>Table1[Qty]</v>
      </c>
    </row>
    <row r="37" spans="1:26" x14ac:dyDescent="0.25">
      <c r="A37">
        <v>7</v>
      </c>
      <c r="B37">
        <v>70</v>
      </c>
      <c r="C37">
        <f ca="1">COUNTA(Big[#This Row])</f>
        <v>0</v>
      </c>
    </row>
    <row r="38" spans="1:26" x14ac:dyDescent="0.25">
      <c r="A38">
        <v>8</v>
      </c>
      <c r="B38">
        <v>80</v>
      </c>
      <c r="C38">
        <f>SUM(Big[[#All],[Qty]])</f>
        <v>78</v>
      </c>
      <c r="Z38">
        <f>SUM(Sales[Count2])+SUM(Inner[Qty])</f>
        <v>25</v>
      </c>
    </row>
    <row r="39" spans="1:26" x14ac:dyDescent="0.25">
      <c r="A39">
        <v>9</v>
      </c>
      <c r="B39">
        <v>90</v>
      </c>
      <c r="C39" t="str">
        <f>Big[[#Headers],[Qty]]</f>
        <v>Qty</v>
      </c>
      <c r="Z39">
        <f>SUM((Sales[Count2],Sales[Cost]))</f>
        <v>19.25</v>
      </c>
    </row>
    <row r="40" spans="1:26" x14ac:dyDescent="0.25">
      <c r="A40">
        <v>10</v>
      </c>
      <c r="B40">
        <v>100</v>
      </c>
      <c r="C40">
        <f>SUM(Big[[#Data],[Qty]])</f>
        <v>78</v>
      </c>
      <c r="Z40">
        <f>SUM(Sales[Count2] Sales[#Data])</f>
        <v>15</v>
      </c>
    </row>
    <row r="41" spans="1:26" x14ac:dyDescent="0.25">
      <c r="A41">
        <v>11</v>
      </c>
      <c r="B41">
        <v>110</v>
      </c>
      <c r="C41">
        <f>ROWS(Big[#Data])</f>
        <v>12</v>
      </c>
      <c r="Z41">
        <f>SUM(Odd[Unit Price])</f>
        <v>1</v>
      </c>
    </row>
    <row r="42" spans="1:26" x14ac:dyDescent="0.25">
      <c r="A42">
        <v>12</v>
      </c>
      <c r="B42">
        <v>120</v>
      </c>
      <c r="C42">
        <f>ROWS(Big[#All])</f>
        <v>13</v>
      </c>
      <c r="Z42">
        <f>SUM(Odd[Unit Price])</f>
        <v>1</v>
      </c>
    </row>
    <row r="43" spans="1:26" x14ac:dyDescent="0.25">
      <c r="Z43">
        <f>SUM(Odd[Q'#])</f>
        <v>2</v>
      </c>
    </row>
    <row r="45" spans="1:26" x14ac:dyDescent="0.25">
      <c r="Z45">
        <f>SUM(Odd[It''s])</f>
        <v>3</v>
      </c>
    </row>
    <row r="46" spans="1:26" x14ac:dyDescent="0.25">
      <c r="Z46">
        <f>SUM(Odd['[x']])</f>
        <v>4</v>
      </c>
    </row>
    <row r="47" spans="1:26" x14ac:dyDescent="0.25">
      <c r="Z47">
        <f>SUM(Odd[@home])</f>
        <v>5</v>
      </c>
    </row>
    <row r="49" spans="26:26" x14ac:dyDescent="0.25">
      <c r="Z49">
        <f>SUM(Odd[a,b])</f>
        <v>7</v>
      </c>
    </row>
    <row r="50" spans="26:26" x14ac:dyDescent="0.25">
      <c r="Z50">
        <f>SUM(Odd[a.b])</f>
        <v>8</v>
      </c>
    </row>
    <row r="51" spans="26:26" x14ac:dyDescent="0.25">
      <c r="Z51">
        <f>SUM(Odd[Total $])</f>
        <v>9</v>
      </c>
    </row>
    <row r="52" spans="26:26" x14ac:dyDescent="0.25">
      <c r="Z52">
        <f>SUM(Odd[Total $])</f>
        <v>9</v>
      </c>
    </row>
    <row r="53" spans="26:26" x14ac:dyDescent="0.25">
      <c r="Z53">
        <f>SUM(Odd[a-b])</f>
        <v>10</v>
      </c>
    </row>
    <row r="54" spans="26:26" x14ac:dyDescent="0.25">
      <c r="Z54">
        <f>SUM(Odd[a-b])</f>
        <v>10</v>
      </c>
    </row>
    <row r="55" spans="26:26" x14ac:dyDescent="0.25">
      <c r="Z55">
        <f>SUM(Odd[a&amp;b])</f>
        <v>11</v>
      </c>
    </row>
    <row r="56" spans="26:26" x14ac:dyDescent="0.25">
      <c r="Z56">
        <f>SUM(Odd[a:b])</f>
        <v>12</v>
      </c>
    </row>
    <row r="57" spans="26:26" x14ac:dyDescent="0.25">
      <c r="Z57">
        <f>SUM(Odd[[Unit Price]:[Q'#]])</f>
        <v>3</v>
      </c>
    </row>
    <row r="58" spans="26:26" x14ac:dyDescent="0.25">
      <c r="Z58" t="e">
        <f>SUM(Qtys)</f>
        <v>#NAME?</v>
      </c>
    </row>
    <row r="59" spans="26:26" x14ac:dyDescent="0.25">
      <c r="Z59">
        <f>SUM(QtysR1C1)</f>
        <v>15</v>
      </c>
    </row>
    <row r="61" spans="26:26" x14ac:dyDescent="0.25">
      <c r="Z61" t="e">
        <f>Sales[[#Data],[Count2]]</f>
        <v>#VALUE!</v>
      </c>
    </row>
    <row r="62" spans="26:26" x14ac:dyDescent="0.25">
      <c r="Z62" t="e">
        <f>Sales[#Data]</f>
        <v>#VALUE!</v>
      </c>
    </row>
    <row r="63" spans="26:26" x14ac:dyDescent="0.25">
      <c r="Z63" t="e">
        <f>Sales[]</f>
        <v>#VALUE!</v>
      </c>
    </row>
    <row r="64" spans="26:26" x14ac:dyDescent="0.25">
      <c r="Z64" t="e">
        <f>Sales[[Count2]:[Cost]]</f>
        <v>#VALUE!</v>
      </c>
    </row>
    <row r="65" spans="26:26" x14ac:dyDescent="0.25">
      <c r="Z65" t="e">
        <f>Sales[#All]</f>
        <v>#VALUE!</v>
      </c>
    </row>
    <row r="66" spans="26:26" x14ac:dyDescent="0.25">
      <c r="Z66" t="e">
        <f>Sales[[#All],[Count2]]</f>
        <v>#VALUE!</v>
      </c>
    </row>
    <row r="67" spans="26:26" x14ac:dyDescent="0.25">
      <c r="Z67" t="e">
        <f>Sales[#Headers]</f>
        <v>#VALUE!</v>
      </c>
    </row>
    <row r="68" spans="26:26" x14ac:dyDescent="0.25">
      <c r="Z68" t="e">
        <f>Sales[[#Headers],[#Data],[Count2]]</f>
        <v>#VALUE!</v>
      </c>
    </row>
    <row r="69" spans="26:26" x14ac:dyDescent="0.25">
      <c r="Z69" t="e">
        <f>-Sales[[#This Row],[Count2]]</f>
        <v>#VALUE!</v>
      </c>
    </row>
    <row r="70" spans="26:26" x14ac:dyDescent="0.25">
      <c r="Z70" t="e">
        <f>Sales[[#This Row],[Count2]]+1</f>
        <v>#VALUE!</v>
      </c>
    </row>
    <row r="71" spans="26:26" x14ac:dyDescent="0.25">
      <c r="Z71" t="e">
        <f>ABS(Sales[[#This Row],[Count2]])</f>
        <v>#VALUE!</v>
      </c>
    </row>
    <row r="72" spans="26:26" x14ac:dyDescent="0.25">
      <c r="Z72" t="e">
        <f>IF(Sales[[#This Row],[Count2]]&gt;4,1,0)</f>
        <v>#VALUE!</v>
      </c>
    </row>
    <row r="73" spans="26:26" x14ac:dyDescent="0.25">
      <c r="Z73" t="e">
        <f>Sales[[#This Row],[Count2]]&amp;""</f>
        <v>#VALUE!</v>
      </c>
    </row>
    <row r="74" spans="26:26" x14ac:dyDescent="0.25">
      <c r="Z74">
        <f>SUMPRODUCT(Sales[Count2])</f>
        <v>15</v>
      </c>
    </row>
    <row r="75" spans="26:26" x14ac:dyDescent="0.25">
      <c r="Z75">
        <f>ROWS(Sales[Count2])</f>
        <v>3</v>
      </c>
    </row>
    <row r="76" spans="26:26" x14ac:dyDescent="0.25">
      <c r="Z76" t="e">
        <f>Sales[Count2] Sales[#Data]</f>
        <v>#VALUE!</v>
      </c>
    </row>
    <row r="77" spans="26:26" x14ac:dyDescent="0.25">
      <c r="Z77" t="e">
        <f>(Sales[[#This Row],[Count2]])</f>
        <v>#VALUE!</v>
      </c>
    </row>
    <row r="78" spans="26:26" x14ac:dyDescent="0.25">
      <c r="Z78">
        <f>Odd[Unit Price]</f>
        <v>1</v>
      </c>
    </row>
    <row r="79" spans="26:26" x14ac:dyDescent="0.25">
      <c r="Z79">
        <f>Odd[Q'#]</f>
        <v>2</v>
      </c>
    </row>
    <row r="80" spans="26:26" x14ac:dyDescent="0.25">
      <c r="Z80" t="str">
        <f>Sales[[#Headers],[Count2]]</f>
        <v>Count2</v>
      </c>
    </row>
    <row r="81" spans="26:26" x14ac:dyDescent="0.25">
      <c r="Z81" t="e">
        <f>Sales[[#This Row],[Count2]]+Sales[[#This Row],[Cost]]</f>
        <v>#VALUE!</v>
      </c>
    </row>
    <row r="82" spans="26:26" x14ac:dyDescent="0.25">
      <c r="Z82" t="b">
        <f>ISREF(Sales[Count2])</f>
        <v>1</v>
      </c>
    </row>
    <row r="83" spans="26:26" x14ac:dyDescent="0.25">
      <c r="Z83" t="e">
        <f>CHOOSE(1,Sales[Count2])</f>
        <v>#VALUE!</v>
      </c>
    </row>
    <row r="84" spans="26:26" x14ac:dyDescent="0.25">
      <c r="Z84">
        <f>INDEX(Sales[],1,2)</f>
        <v>3</v>
      </c>
    </row>
    <row r="85" spans="26:26" x14ac:dyDescent="0.25">
      <c r="Z85" t="e">
        <f>Sales[[#This Row],[Count2]:[Cost]]</f>
        <v>#VALUE!</v>
      </c>
    </row>
    <row r="86" spans="26:26" x14ac:dyDescent="0.25">
      <c r="Z86">
        <f>IFERROR(Sales[[#This Row],[Count2]],0)</f>
        <v>0</v>
      </c>
    </row>
    <row r="87" spans="26:26" x14ac:dyDescent="0.25">
      <c r="Z87" t="e">
        <f>MAX(Sales[Count2])*Sales[[#This Row],[Count2]]</f>
        <v>#VALUE!</v>
      </c>
    </row>
    <row r="88" spans="26:26" x14ac:dyDescent="0.25">
      <c r="Z88">
        <f>One[a]</f>
        <v>1</v>
      </c>
    </row>
    <row r="89" spans="26:26" x14ac:dyDescent="0.25">
      <c r="Z89">
        <f>One[b c]</f>
        <v>2</v>
      </c>
    </row>
    <row r="90" spans="26:26" x14ac:dyDescent="0.25">
      <c r="Z90" t="e">
        <f>Many[[#This Row],[x y]]</f>
        <v>#VALUE!</v>
      </c>
    </row>
    <row r="91" spans="26:26" x14ac:dyDescent="0.25">
      <c r="Z91" t="e">
        <f>Many[[#This Row],[z]]</f>
        <v>#VALUE!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95474-6C1B-422B-9177-78F7A446FD0A}">
  <dimension ref="A1:A3"/>
  <sheetViews>
    <sheetView workbookViewId="0"/>
  </sheetViews>
  <sheetFormatPr defaultRowHeight="15" x14ac:dyDescent="0.25"/>
  <sheetData>
    <row r="1" spans="1:1" x14ac:dyDescent="0.25">
      <c r="A1">
        <f>SUM(Sales[Count2])</f>
        <v>15</v>
      </c>
    </row>
    <row r="2" spans="1:1" x14ac:dyDescent="0.25">
      <c r="A2">
        <f>SUM(Sales[Count2])</f>
        <v>15</v>
      </c>
    </row>
    <row r="3" spans="1:1" x14ac:dyDescent="0.25">
      <c r="A3">
        <f>Sales[[#This Row],[Count2]]</f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DCC0D-AA98-437C-BB3E-59D4AEF77B85}">
  <dimension ref="A1:CW22"/>
  <sheetViews>
    <sheetView workbookViewId="0"/>
  </sheetViews>
  <sheetFormatPr defaultRowHeight="15" x14ac:dyDescent="0.25"/>
  <sheetData>
    <row r="1" spans="1:101" ht="30" x14ac:dyDescent="0.25">
      <c r="A1" s="1" t="s">
        <v>22</v>
      </c>
      <c r="B1" s="2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15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11</v>
      </c>
      <c r="Q1" s="1" t="s">
        <v>14</v>
      </c>
      <c r="R1" s="1" t="s">
        <v>12</v>
      </c>
      <c r="S1" s="1" t="s">
        <v>36</v>
      </c>
      <c r="T1" s="1" t="s">
        <v>16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10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59</v>
      </c>
      <c r="AS1" s="1" t="s">
        <v>60</v>
      </c>
      <c r="AT1" s="1" t="s">
        <v>18</v>
      </c>
      <c r="AU1" s="1" t="s">
        <v>61</v>
      </c>
      <c r="AV1" s="1" t="s">
        <v>62</v>
      </c>
      <c r="AW1" s="1" t="s">
        <v>63</v>
      </c>
      <c r="AX1" s="1" t="s">
        <v>64</v>
      </c>
    </row>
    <row r="2" spans="1:101" x14ac:dyDescent="0.25">
      <c r="A2">
        <v>1</v>
      </c>
      <c r="B2">
        <v>2</v>
      </c>
      <c r="C2">
        <v>3</v>
      </c>
      <c r="D2">
        <v>4</v>
      </c>
      <c r="E2">
        <v>5</v>
      </c>
      <c r="F2">
        <v>6</v>
      </c>
      <c r="G2">
        <v>7</v>
      </c>
      <c r="H2">
        <v>8</v>
      </c>
      <c r="I2">
        <v>9</v>
      </c>
      <c r="J2">
        <v>10</v>
      </c>
      <c r="K2">
        <v>11</v>
      </c>
      <c r="L2">
        <v>12</v>
      </c>
      <c r="M2">
        <v>13</v>
      </c>
      <c r="N2">
        <v>14</v>
      </c>
      <c r="O2">
        <v>15</v>
      </c>
      <c r="P2">
        <v>16</v>
      </c>
      <c r="Q2">
        <v>17</v>
      </c>
      <c r="R2">
        <v>18</v>
      </c>
      <c r="S2">
        <v>19</v>
      </c>
      <c r="T2">
        <v>20</v>
      </c>
      <c r="U2">
        <v>21</v>
      </c>
      <c r="V2">
        <v>22</v>
      </c>
      <c r="W2">
        <v>23</v>
      </c>
      <c r="X2">
        <v>24</v>
      </c>
      <c r="Y2">
        <v>25</v>
      </c>
      <c r="Z2">
        <v>26</v>
      </c>
      <c r="AA2">
        <v>27</v>
      </c>
      <c r="AB2">
        <v>28</v>
      </c>
      <c r="AC2">
        <v>29</v>
      </c>
      <c r="AD2">
        <v>30</v>
      </c>
      <c r="AE2">
        <v>31</v>
      </c>
      <c r="AF2">
        <v>32</v>
      </c>
      <c r="AG2">
        <v>33</v>
      </c>
      <c r="AH2">
        <v>34</v>
      </c>
      <c r="AI2">
        <v>35</v>
      </c>
      <c r="AJ2">
        <v>36</v>
      </c>
      <c r="AK2">
        <v>37</v>
      </c>
      <c r="AL2">
        <v>38</v>
      </c>
      <c r="AM2">
        <v>39</v>
      </c>
      <c r="AN2">
        <v>40</v>
      </c>
      <c r="AO2">
        <v>41</v>
      </c>
      <c r="AP2">
        <v>42</v>
      </c>
      <c r="AQ2">
        <v>43</v>
      </c>
      <c r="AR2">
        <v>44</v>
      </c>
      <c r="AS2">
        <v>45</v>
      </c>
      <c r="AT2">
        <v>46</v>
      </c>
      <c r="AU2">
        <v>47</v>
      </c>
      <c r="AV2">
        <v>48</v>
      </c>
      <c r="AW2">
        <v>49</v>
      </c>
      <c r="AX2">
        <v>50</v>
      </c>
      <c r="AZ2">
        <f>Chars[[#This Row],[a	b]]</f>
        <v>1</v>
      </c>
      <c r="BA2">
        <f>Chars[[#This Row],[a
b]]</f>
        <v>2</v>
      </c>
      <c r="BB2">
        <f>Chars[[#This Row],[a_x000D_b]]</f>
        <v>3</v>
      </c>
      <c r="BC2">
        <f>Chars[[#This Row],[a b]]</f>
        <v>4</v>
      </c>
      <c r="BD2">
        <f>Chars[[#This Row],[a!b]]</f>
        <v>5</v>
      </c>
      <c r="BE2">
        <f>Chars[[#This Row],[a"b]]</f>
        <v>6</v>
      </c>
      <c r="BF2">
        <f>Chars[[#This Row],[a'#b]]</f>
        <v>7</v>
      </c>
      <c r="BG2">
        <f>Chars[[#This Row],[a$b]]</f>
        <v>8</v>
      </c>
      <c r="BH2">
        <f>Chars[[#This Row],[a%b]]</f>
        <v>9</v>
      </c>
      <c r="BI2">
        <f>Chars[[#This Row],[a&amp;b]]</f>
        <v>10</v>
      </c>
      <c r="BJ2">
        <f>Chars[[#This Row],[a''b]]</f>
        <v>11</v>
      </c>
      <c r="BK2">
        <f>Chars[[#This Row],[a(b]]</f>
        <v>12</v>
      </c>
      <c r="BL2">
        <f>Chars[[#This Row],[a)b]]</f>
        <v>13</v>
      </c>
      <c r="BM2">
        <f>Chars[[#This Row],[a*b]]</f>
        <v>14</v>
      </c>
      <c r="BN2">
        <f>Chars[[#This Row],[a+b]]</f>
        <v>15</v>
      </c>
      <c r="BO2">
        <f>Chars[[#This Row],[a,b]]</f>
        <v>16</v>
      </c>
      <c r="BP2">
        <f>Chars[[#This Row],[a-b]]</f>
        <v>17</v>
      </c>
      <c r="BQ2">
        <f>Chars[[#This Row],[a.b]]</f>
        <v>18</v>
      </c>
      <c r="BR2">
        <f>Chars[[#This Row],[a/b]]</f>
        <v>19</v>
      </c>
      <c r="BS2">
        <f>Chars[[#This Row],[a:b]]</f>
        <v>20</v>
      </c>
      <c r="BT2">
        <f>Chars[[#This Row],[a;b]]</f>
        <v>21</v>
      </c>
      <c r="BU2">
        <f>Chars[[#This Row],[a&lt;b]]</f>
        <v>22</v>
      </c>
      <c r="BV2">
        <f>Chars[[#This Row],[a=b]]</f>
        <v>23</v>
      </c>
      <c r="BW2">
        <f>Chars[[#This Row],[a&gt;b]]</f>
        <v>24</v>
      </c>
      <c r="BX2">
        <f>Chars[[#This Row],[a?b]]</f>
        <v>25</v>
      </c>
      <c r="BY2">
        <f>Chars[[#This Row],[a@b]]</f>
        <v>26</v>
      </c>
      <c r="BZ2">
        <f>Chars[[#This Row],[a'[b]]</f>
        <v>27</v>
      </c>
      <c r="CA2">
        <f>Chars[[#This Row],[a\b]]</f>
        <v>28</v>
      </c>
      <c r="CB2">
        <f>Chars[[#This Row],[a']b]]</f>
        <v>29</v>
      </c>
      <c r="CC2">
        <f>Chars[[#This Row],[a^b]]</f>
        <v>30</v>
      </c>
      <c r="CD2">
        <f>Chars[[#This Row],[a_b]]</f>
        <v>31</v>
      </c>
      <c r="CE2">
        <f>Chars[[#This Row],[a`b]]</f>
        <v>32</v>
      </c>
      <c r="CF2">
        <f>Chars[[#This Row],[a{b]]</f>
        <v>33</v>
      </c>
      <c r="CG2">
        <f>Chars[[#This Row],[a|b]]</f>
        <v>34</v>
      </c>
      <c r="CH2">
        <f>Chars[[#This Row],[a}b]]</f>
        <v>35</v>
      </c>
      <c r="CI2">
        <f>Chars[[#This Row],[a~b]]</f>
        <v>36</v>
      </c>
      <c r="CJ2">
        <f>Chars[[#This Row],[aéb]]</f>
        <v>37</v>
      </c>
      <c r="CK2">
        <f>Chars[[#This Row],[ ab]]</f>
        <v>38</v>
      </c>
      <c r="CL2">
        <f>Chars[[#This Row],[ab ]]</f>
        <v>39</v>
      </c>
      <c r="CM2">
        <f>Chars[[#This Row],[1ab]]</f>
        <v>40</v>
      </c>
      <c r="CN2">
        <f>Chars[[#This Row],[A1]]</f>
        <v>41</v>
      </c>
      <c r="CO2">
        <f>Chars[[#This Row],[R1C1]]</f>
        <v>42</v>
      </c>
      <c r="CP2">
        <f>Chars[[#This Row],[TRUE]]</f>
        <v>43</v>
      </c>
      <c r="CQ2">
        <f>Chars[[#This Row],[Sum]]</f>
        <v>44</v>
      </c>
      <c r="CR2">
        <f>Chars[[#This Row],[_ab]]</f>
        <v>45</v>
      </c>
      <c r="CS2">
        <f>Chars[[#This Row],[a]]</f>
        <v>46</v>
      </c>
      <c r="CT2">
        <f>Chars[[#This Row],['#x]]</f>
        <v>47</v>
      </c>
      <c r="CU2">
        <f>Chars[[#This Row],[@x]]</f>
        <v>48</v>
      </c>
      <c r="CV2">
        <f>Chars[[#This Row],[''x]]</f>
        <v>49</v>
      </c>
      <c r="CW2">
        <f>Chars[[#This Row],[123]]</f>
        <v>50</v>
      </c>
    </row>
    <row r="6" spans="1:101" x14ac:dyDescent="0.25">
      <c r="A6">
        <f>SUM(Chars[a	b])</f>
        <v>1</v>
      </c>
      <c r="B6">
        <f>SUM(Chars[a
b])</f>
        <v>2</v>
      </c>
      <c r="C6">
        <f>SUM(Chars[a_x000D_b])</f>
        <v>3</v>
      </c>
      <c r="D6">
        <f>SUM(Chars[a b])</f>
        <v>4</v>
      </c>
      <c r="E6">
        <f>SUM(Chars[a!b])</f>
        <v>5</v>
      </c>
      <c r="F6">
        <f>SUM(Chars[a"b])</f>
        <v>6</v>
      </c>
      <c r="G6">
        <f>SUM(Chars[a'#b])</f>
        <v>7</v>
      </c>
      <c r="H6">
        <f>SUM(Chars[a$b])</f>
        <v>8</v>
      </c>
      <c r="I6">
        <f>SUM(Chars[a%b])</f>
        <v>9</v>
      </c>
      <c r="J6">
        <f>SUM(Chars[a&amp;b])</f>
        <v>10</v>
      </c>
      <c r="K6">
        <f>SUM(Chars[a''b])</f>
        <v>11</v>
      </c>
      <c r="L6">
        <f>SUM(Chars[a(b])</f>
        <v>12</v>
      </c>
      <c r="M6">
        <f>SUM(Chars[a)b])</f>
        <v>13</v>
      </c>
      <c r="N6">
        <f>SUM(Chars[a*b])</f>
        <v>14</v>
      </c>
      <c r="O6">
        <f>SUM(Chars[a+b])</f>
        <v>15</v>
      </c>
      <c r="P6">
        <f>SUM(Chars[a,b])</f>
        <v>16</v>
      </c>
      <c r="Q6">
        <f>SUM(Chars[a-b])</f>
        <v>17</v>
      </c>
      <c r="R6">
        <f>SUM(Chars[a.b])</f>
        <v>18</v>
      </c>
      <c r="S6">
        <f>SUM(Chars[a/b])</f>
        <v>19</v>
      </c>
      <c r="T6">
        <f>SUM(Chars[a:b])</f>
        <v>20</v>
      </c>
      <c r="U6">
        <f>SUM(Chars[a;b])</f>
        <v>21</v>
      </c>
      <c r="V6">
        <f>SUM(Chars[a&lt;b])</f>
        <v>22</v>
      </c>
      <c r="W6">
        <f>SUM(Chars[a=b])</f>
        <v>23</v>
      </c>
      <c r="X6">
        <f>SUM(Chars[a&gt;b])</f>
        <v>24</v>
      </c>
      <c r="Y6">
        <f>SUM(Chars[a?b])</f>
        <v>25</v>
      </c>
      <c r="Z6">
        <f>SUM(Chars[a@b])</f>
        <v>26</v>
      </c>
      <c r="AA6">
        <f>SUM(Chars[a'[b])</f>
        <v>27</v>
      </c>
      <c r="AB6">
        <f>SUM(Chars[a\b])</f>
        <v>28</v>
      </c>
      <c r="AC6">
        <f>SUM(Chars[a']b])</f>
        <v>29</v>
      </c>
      <c r="AD6">
        <f>SUM(Chars[a^b])</f>
        <v>30</v>
      </c>
      <c r="AE6">
        <f>SUM(Chars[a_b])</f>
        <v>31</v>
      </c>
      <c r="AF6">
        <f>SUM(Chars[a`b])</f>
        <v>32</v>
      </c>
      <c r="AG6">
        <f>SUM(Chars[a{b])</f>
        <v>33</v>
      </c>
      <c r="AH6">
        <f>SUM(Chars[a|b])</f>
        <v>34</v>
      </c>
      <c r="AI6">
        <f>SUM(Chars[a}b])</f>
        <v>35</v>
      </c>
      <c r="AJ6">
        <f>SUM(Chars[a~b])</f>
        <v>36</v>
      </c>
      <c r="AK6">
        <f>SUM(Chars[aéb])</f>
        <v>37</v>
      </c>
      <c r="AL6">
        <f>SUM(Chars[[ ab]])</f>
        <v>38</v>
      </c>
      <c r="AM6">
        <f>SUM(Chars[[ab ]])</f>
        <v>39</v>
      </c>
      <c r="AN6">
        <f>SUM(Chars[1ab])</f>
        <v>40</v>
      </c>
      <c r="AO6">
        <f>SUM(Chars[A1])</f>
        <v>41</v>
      </c>
      <c r="AP6">
        <f>SUM(Chars[R1C1])</f>
        <v>42</v>
      </c>
      <c r="AQ6">
        <f>SUM(Chars[TRUE])</f>
        <v>43</v>
      </c>
      <c r="AR6">
        <f>SUM(Chars[Sum])</f>
        <v>44</v>
      </c>
      <c r="AS6">
        <f>SUM(Chars[_ab])</f>
        <v>45</v>
      </c>
      <c r="AT6">
        <f>SUM(Chars[a])</f>
        <v>46</v>
      </c>
      <c r="AU6">
        <f>SUM(Chars['#x])</f>
        <v>47</v>
      </c>
      <c r="AV6">
        <f>SUM(Chars[@x])</f>
        <v>48</v>
      </c>
      <c r="AW6">
        <f>SUM(Chars[''x])</f>
        <v>49</v>
      </c>
      <c r="AX6">
        <f>SUM(Chars[123])</f>
        <v>50</v>
      </c>
    </row>
    <row r="7" spans="1:101" x14ac:dyDescent="0.25">
      <c r="A7">
        <f>SUM(Chars[a	b])</f>
        <v>1</v>
      </c>
      <c r="B7">
        <f>SUM(Chars[a
b])</f>
        <v>2</v>
      </c>
      <c r="C7">
        <f>SUM(Chars[a_x000D_b])</f>
        <v>3</v>
      </c>
      <c r="D7">
        <f>SUM(Chars[a b])</f>
        <v>4</v>
      </c>
      <c r="E7">
        <f>SUM(Chars[a!b])</f>
        <v>5</v>
      </c>
      <c r="F7">
        <f>SUM(Chars[a"b])</f>
        <v>6</v>
      </c>
      <c r="G7">
        <f>SUM(Chars[a'#b])</f>
        <v>7</v>
      </c>
      <c r="H7">
        <f>SUM(Chars[a$b])</f>
        <v>8</v>
      </c>
      <c r="I7">
        <f>SUM(Chars[a%b])</f>
        <v>9</v>
      </c>
      <c r="J7">
        <f>SUM(Chars[a&amp;b])</f>
        <v>10</v>
      </c>
      <c r="K7">
        <f>SUM(Chars[a''b])</f>
        <v>11</v>
      </c>
      <c r="L7">
        <f>SUM(Chars[a(b])</f>
        <v>12</v>
      </c>
      <c r="M7">
        <f>SUM(Chars[a)b])</f>
        <v>13</v>
      </c>
      <c r="N7">
        <f>SUM(Chars[a*b])</f>
        <v>14</v>
      </c>
      <c r="O7">
        <f>SUM(Chars[a+b])</f>
        <v>15</v>
      </c>
      <c r="P7">
        <f>SUM(Chars[a,b])</f>
        <v>16</v>
      </c>
      <c r="Q7">
        <f>SUM(Chars[a-b])</f>
        <v>17</v>
      </c>
      <c r="R7">
        <f>SUM(Chars[a.b])</f>
        <v>18</v>
      </c>
      <c r="S7">
        <f>SUM(Chars[a/b])</f>
        <v>19</v>
      </c>
      <c r="T7">
        <f>SUM(Chars[a:b])</f>
        <v>20</v>
      </c>
      <c r="U7">
        <f>SUM(Chars[a;b])</f>
        <v>21</v>
      </c>
      <c r="V7">
        <f>SUM(Chars[a&lt;b])</f>
        <v>22</v>
      </c>
      <c r="W7">
        <f>SUM(Chars[a=b])</f>
        <v>23</v>
      </c>
      <c r="X7">
        <f>SUM(Chars[a&gt;b])</f>
        <v>24</v>
      </c>
      <c r="Y7">
        <f>SUM(Chars[a?b])</f>
        <v>25</v>
      </c>
      <c r="Z7">
        <f>SUM(Chars[a@b])</f>
        <v>26</v>
      </c>
      <c r="AA7">
        <f>SUM(Chars[a'[b])</f>
        <v>27</v>
      </c>
      <c r="AB7">
        <f>SUM(Chars[a\b])</f>
        <v>28</v>
      </c>
      <c r="AC7">
        <f>SUM(Chars[a']b])</f>
        <v>29</v>
      </c>
      <c r="AD7">
        <f>SUM(Chars[a^b])</f>
        <v>30</v>
      </c>
      <c r="AE7">
        <f>SUM(Chars[a_b])</f>
        <v>31</v>
      </c>
      <c r="AF7">
        <f>SUM(Chars[a`b])</f>
        <v>32</v>
      </c>
      <c r="AG7">
        <f>SUM(Chars[a{b])</f>
        <v>33</v>
      </c>
      <c r="AH7">
        <f>SUM(Chars[a|b])</f>
        <v>34</v>
      </c>
      <c r="AI7">
        <f>SUM(Chars[a}b])</f>
        <v>35</v>
      </c>
      <c r="AJ7">
        <f>SUM(Chars[a~b])</f>
        <v>36</v>
      </c>
      <c r="AK7">
        <f>SUM(Chars[aéb])</f>
        <v>37</v>
      </c>
      <c r="AL7">
        <f>SUM(Chars[ [ ab] ])</f>
        <v>38</v>
      </c>
      <c r="AM7">
        <f>SUM(Chars[[ab ]])</f>
        <v>39</v>
      </c>
      <c r="AN7">
        <f>SUM(Chars[1ab])</f>
        <v>40</v>
      </c>
      <c r="AO7">
        <f>SUM(Chars[A1])</f>
        <v>41</v>
      </c>
      <c r="AP7">
        <f>SUM(Chars[R1C1])</f>
        <v>42</v>
      </c>
      <c r="AQ7">
        <f>SUM(Chars[TRUE])</f>
        <v>43</v>
      </c>
      <c r="AR7">
        <f>SUM(Chars[Sum])</f>
        <v>44</v>
      </c>
      <c r="AS7">
        <f>SUM(Chars[_ab])</f>
        <v>45</v>
      </c>
      <c r="AT7">
        <f>SUM(Chars[a])</f>
        <v>46</v>
      </c>
      <c r="AU7">
        <f>SUM(Chars['#x])</f>
        <v>47</v>
      </c>
      <c r="AV7">
        <f>SUM(Chars[@x])</f>
        <v>48</v>
      </c>
      <c r="AW7">
        <f>SUM(Chars[''x])</f>
        <v>49</v>
      </c>
      <c r="AX7">
        <f>SUM(Chars[123])</f>
        <v>50</v>
      </c>
    </row>
    <row r="20" spans="1:5" x14ac:dyDescent="0.25">
      <c r="A20" t="s">
        <v>65</v>
      </c>
      <c r="B20" t="s">
        <v>58</v>
      </c>
      <c r="C20" s="3" t="s">
        <v>66</v>
      </c>
      <c r="E20">
        <f>SUM(Rep[Column1])</f>
        <v>1</v>
      </c>
    </row>
    <row r="21" spans="1:5" x14ac:dyDescent="0.25">
      <c r="A21">
        <v>1</v>
      </c>
      <c r="B21">
        <v>2</v>
      </c>
      <c r="C21">
        <v>3</v>
      </c>
      <c r="E21">
        <f>SUM(Rep[TRUE])</f>
        <v>2</v>
      </c>
    </row>
    <row r="22" spans="1:5" x14ac:dyDescent="0.25">
      <c r="E22">
        <f>SUM(Rep[Cost])</f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QtysR1C1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2026-09-23T17:15:55Z</dcterms:created>
  <dcterms:modified xsi:type="dcterms:W3CDTF">2026-09-23T17:15:56Z</dcterms:modified>
</cp:coreProperties>
</file>