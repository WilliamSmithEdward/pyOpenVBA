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739A4F0-DFEA-4E82-A91E-F2DE37A4A807}" xr6:coauthVersionLast="47" xr6:coauthVersionMax="47" xr10:uidLastSave="{00000000-0000-0000-0000-000000000000}"/>
  <bookViews>
    <workbookView xWindow="3120" yWindow="3120" windowWidth="19440" windowHeight="11220" xr2:uid="{3B644517-C247-4BB3-BE41-A2C94D7FA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525" i="1" l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1" i="1"/>
  <c r="C10" i="1"/>
  <c r="C9" i="1"/>
  <c r="C8" i="1"/>
  <c r="C7" i="1"/>
  <c r="C6" i="1"/>
  <c r="C5" i="1"/>
  <c r="C4" i="1"/>
  <c r="C3" i="1"/>
  <c r="C2" i="1"/>
  <c r="C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1"/>
    <xf numFmtId="9" fontId="0" fillId="0" borderId="0" xfId="0" applyNumberFormat="1"/>
    <xf numFmtId="22" fontId="0" fillId="0" borderId="0" xfId="0" applyNumberFormat="1"/>
    <xf numFmtId="1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1">
      <tp t="e">
        <v>#N/A</v>
        <stp>1</stp>
        <stp>1</stp>
        <tr r="C409" s="1"/>
      </tp>
    </main>
  </volType>
  <volType type="olapFunctions">
    <main first="1">
      <tp t="e">
        <v>#N/A</v>
        <stp>1</stp>
        <tr r="C110" s="1"/>
        <tr r="C108" s="1"/>
        <tr r="C107" s="1"/>
        <tr r="C106" s="1"/>
        <tr r="C105" s="1"/>
        <tr r="C104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Relationship Id="rId9" Type="http://schemas.openxmlformats.org/officeDocument/2006/relationships/volatileDependencies" Target="volatileDependenci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14</v>
  </rv>
  <rv s="1">
    <v>13</v>
    <v>3</v>
  </rv>
  <rv s="2">
    <v>2</v>
    <v>609</v>
    <v>37</v>
  </rv>
  <rv s="1">
    <v>2</v>
    <v>10</v>
  </rv>
  <rv s="2">
    <v>2</v>
    <v>609</v>
    <v>13</v>
  </rv>
</rvData>
</file>

<file path=xl/richData/rdrichvaluestructure.xml><?xml version="1.0" encoding="utf-8"?>
<rvStructures xmlns="http://schemas.microsoft.com/office/spreadsheetml/2017/richdata" count="3">
  <s t="_error">
    <k n="errorType" t="i"/>
  </s>
  <s t="_error">
    <k n="errorType" t="i"/>
    <k n="subType" t="i"/>
  </s>
  <s t="_error">
    <k n="errorType" t="i"/>
    <k n="iftab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1895-7601-4F9C-B85E-E9F576EDBA4C}">
  <dimension ref="A1:C525"/>
  <sheetViews>
    <sheetView tabSelected="1" workbookViewId="0"/>
  </sheetViews>
  <sheetFormatPr defaultRowHeight="15" x14ac:dyDescent="0.25"/>
  <sheetData>
    <row r="1" spans="1:3" x14ac:dyDescent="0.25">
      <c r="A1">
        <v>1</v>
      </c>
      <c r="C1">
        <f>ABS(A1)</f>
        <v>1</v>
      </c>
    </row>
    <row r="2" spans="1:3" x14ac:dyDescent="0.25">
      <c r="C2" t="e">
        <f>ACCRINT(A1,A1,A1,A1,A1,A1)</f>
        <v>#NUM!</v>
      </c>
    </row>
    <row r="3" spans="1:3" x14ac:dyDescent="0.25">
      <c r="C3">
        <f>ACCRINTM(A1,A1,A1,A1)</f>
        <v>0</v>
      </c>
    </row>
    <row r="4" spans="1:3" x14ac:dyDescent="0.25">
      <c r="C4">
        <f>ACOS(A1)</f>
        <v>0</v>
      </c>
    </row>
    <row r="5" spans="1:3" x14ac:dyDescent="0.25">
      <c r="C5">
        <f>ACOSH(A1)</f>
        <v>0</v>
      </c>
    </row>
    <row r="6" spans="1:3" x14ac:dyDescent="0.25">
      <c r="C6">
        <f>_xlfn.ACOT(A1)</f>
        <v>0.78539816339744828</v>
      </c>
    </row>
    <row r="7" spans="1:3" x14ac:dyDescent="0.25">
      <c r="C7" t="e">
        <f>_xlfn.ACOTH(A1)</f>
        <v>#NUM!</v>
      </c>
    </row>
    <row r="8" spans="1:3" x14ac:dyDescent="0.25">
      <c r="C8" t="str">
        <f>ADDRESS(A1,A1)</f>
        <v>$A$1</v>
      </c>
    </row>
    <row r="9" spans="1:3" x14ac:dyDescent="0.25">
      <c r="C9">
        <f>_xlfn.AGGREGATE(A1,A1,A1)</f>
        <v>1</v>
      </c>
    </row>
    <row r="10" spans="1:3" x14ac:dyDescent="0.25">
      <c r="C10" t="e">
        <f>AMORDEGRC(A1,A1,A1,A1,A1,A1)</f>
        <v>#NUM!</v>
      </c>
    </row>
    <row r="11" spans="1:3" x14ac:dyDescent="0.25">
      <c r="C11">
        <f>AMORLINC(A1,A1,A1,A1,A1,A1)</f>
        <v>0</v>
      </c>
    </row>
    <row r="13" spans="1:3" x14ac:dyDescent="0.25">
      <c r="C13" t="b">
        <f>AND(A1)</f>
        <v>1</v>
      </c>
    </row>
    <row r="14" spans="1:3" x14ac:dyDescent="0.25">
      <c r="C14" t="e">
        <f>_xlfn.ARABIC(A1)</f>
        <v>#VALUE!</v>
      </c>
    </row>
    <row r="15" spans="1:3" x14ac:dyDescent="0.25">
      <c r="C15">
        <f>AREAS(A1)</f>
        <v>1</v>
      </c>
    </row>
    <row r="16" spans="1:3" x14ac:dyDescent="0.25">
      <c r="C16" t="str">
        <f>_xlfn.ARRAYTOTEXT(A1)</f>
        <v>1</v>
      </c>
    </row>
    <row r="17" spans="3:3" x14ac:dyDescent="0.25">
      <c r="C17" t="str">
        <f>ASC(A1)</f>
        <v>1</v>
      </c>
    </row>
    <row r="18" spans="3:3" x14ac:dyDescent="0.25">
      <c r="C18">
        <f>ASIN(A1)</f>
        <v>1.5707963267948966</v>
      </c>
    </row>
    <row r="19" spans="3:3" x14ac:dyDescent="0.25">
      <c r="C19">
        <f>ASINH(A1)</f>
        <v>0.88137358701954294</v>
      </c>
    </row>
    <row r="20" spans="3:3" x14ac:dyDescent="0.25">
      <c r="C20">
        <f>ATAN(A1)</f>
        <v>0.78539816339744828</v>
      </c>
    </row>
    <row r="21" spans="3:3" x14ac:dyDescent="0.25">
      <c r="C21">
        <f>ATAN2(A1,A1)</f>
        <v>0.78539816339744828</v>
      </c>
    </row>
    <row r="22" spans="3:3" x14ac:dyDescent="0.25">
      <c r="C22" t="e">
        <f>ATANH(A1)</f>
        <v>#NUM!</v>
      </c>
    </row>
    <row r="23" spans="3:3" x14ac:dyDescent="0.25">
      <c r="C23">
        <f>AVEDEV(A1)</f>
        <v>0</v>
      </c>
    </row>
    <row r="24" spans="3:3" x14ac:dyDescent="0.25">
      <c r="C24">
        <f>AVERAGE(A1)</f>
        <v>1</v>
      </c>
    </row>
    <row r="25" spans="3:3" x14ac:dyDescent="0.25">
      <c r="C25">
        <f>AVERAGEA(A1)</f>
        <v>1</v>
      </c>
    </row>
    <row r="26" spans="3:3" x14ac:dyDescent="0.25">
      <c r="C26">
        <f>AVERAGEIF(A1,A1)</f>
        <v>1</v>
      </c>
    </row>
    <row r="27" spans="3:3" x14ac:dyDescent="0.25">
      <c r="C27">
        <f>AVERAGEIFS(A1,A1,A1)</f>
        <v>1</v>
      </c>
    </row>
    <row r="28" spans="3:3" x14ac:dyDescent="0.25">
      <c r="C28" t="str">
        <f>BAHTTEXT(A1)</f>
        <v>หนึ่งบาทถ้วน</v>
      </c>
    </row>
    <row r="29" spans="3:3" x14ac:dyDescent="0.25">
      <c r="C29" t="e">
        <f>_xlfn.BASE(A1,A1)</f>
        <v>#NUM!</v>
      </c>
    </row>
    <row r="30" spans="3:3" x14ac:dyDescent="0.25">
      <c r="C30">
        <f>BESSELI(A1,A1)</f>
        <v>0.56515909758194349</v>
      </c>
    </row>
    <row r="31" spans="3:3" x14ac:dyDescent="0.25">
      <c r="C31">
        <f>BESSELJ(A1,A1)</f>
        <v>0.44005058567713012</v>
      </c>
    </row>
    <row r="32" spans="3:3" x14ac:dyDescent="0.25">
      <c r="C32">
        <f>BESSELK(A1,A1)</f>
        <v>0.60190723166690574</v>
      </c>
    </row>
    <row r="33" spans="3:3" x14ac:dyDescent="0.25">
      <c r="C33">
        <f>BESSELY(A1,A1)</f>
        <v>-0.78121282095311972</v>
      </c>
    </row>
    <row r="34" spans="3:3" x14ac:dyDescent="0.25">
      <c r="C34">
        <f>_xlfn.BETA.DIST(A1,A1,A1,A1)</f>
        <v>1</v>
      </c>
    </row>
    <row r="35" spans="3:3" x14ac:dyDescent="0.25">
      <c r="C35" t="e">
        <f>_xlfn.BETA.INV(A1,A1,A1)</f>
        <v>#NUM!</v>
      </c>
    </row>
    <row r="36" spans="3:3" x14ac:dyDescent="0.25">
      <c r="C36">
        <f>BETADIST(A1,A1,A1)</f>
        <v>1</v>
      </c>
    </row>
    <row r="37" spans="3:3" x14ac:dyDescent="0.25">
      <c r="C37" t="e">
        <f>BETAINV(A1,A1,A1)</f>
        <v>#NUM!</v>
      </c>
    </row>
    <row r="38" spans="3:3" x14ac:dyDescent="0.25">
      <c r="C38">
        <f>BIN2DEC(A1)</f>
        <v>1</v>
      </c>
    </row>
    <row r="39" spans="3:3" x14ac:dyDescent="0.25">
      <c r="C39" t="str">
        <f>BIN2HEX(A1)</f>
        <v>1</v>
      </c>
    </row>
    <row r="40" spans="3:3" x14ac:dyDescent="0.25">
      <c r="C40" t="str">
        <f>BIN2OCT(A1)</f>
        <v>1</v>
      </c>
    </row>
    <row r="41" spans="3:3" x14ac:dyDescent="0.25">
      <c r="C41">
        <f>_xlfn.BINOM.DIST(A1,A1,A1,A1)</f>
        <v>1</v>
      </c>
    </row>
    <row r="42" spans="3:3" x14ac:dyDescent="0.25">
      <c r="C42">
        <f>_xlfn.BINOM.DIST.RANGE(A1,A1,A1)</f>
        <v>1</v>
      </c>
    </row>
    <row r="43" spans="3:3" x14ac:dyDescent="0.25">
      <c r="C43" t="e">
        <f>_xlfn.BINOM.INV(A1,A1,A1)</f>
        <v>#NUM!</v>
      </c>
    </row>
    <row r="44" spans="3:3" x14ac:dyDescent="0.25">
      <c r="C44">
        <f>BINOMDIST(A1,A1,A1,A1)</f>
        <v>1</v>
      </c>
    </row>
    <row r="45" spans="3:3" x14ac:dyDescent="0.25">
      <c r="C45">
        <f>_xlfn.BITAND(A1,A1)</f>
        <v>1</v>
      </c>
    </row>
    <row r="46" spans="3:3" x14ac:dyDescent="0.25">
      <c r="C46">
        <f>_xlfn.BITLSHIFT(A1,A1)</f>
        <v>2</v>
      </c>
    </row>
    <row r="47" spans="3:3" x14ac:dyDescent="0.25">
      <c r="C47">
        <f>_xlfn.BITOR(A1,A1)</f>
        <v>1</v>
      </c>
    </row>
    <row r="48" spans="3:3" x14ac:dyDescent="0.25">
      <c r="C48">
        <f>_xlfn.BITRSHIFT(A1,A1)</f>
        <v>0</v>
      </c>
    </row>
    <row r="49" spans="3:3" x14ac:dyDescent="0.25">
      <c r="C49">
        <f>_xlfn.BITXOR(A1,A1)</f>
        <v>0</v>
      </c>
    </row>
    <row r="50" spans="3:3" x14ac:dyDescent="0.25">
      <c r="C50" t="e">
        <f>_xlfn.BYCOL(A1,A1)</f>
        <v>#VALUE!</v>
      </c>
    </row>
    <row r="51" spans="3:3" x14ac:dyDescent="0.25">
      <c r="C51" t="e">
        <f>_xlfn.BYROW(A1,A1)</f>
        <v>#VALUE!</v>
      </c>
    </row>
    <row r="53" spans="3:3" x14ac:dyDescent="0.25">
      <c r="C53">
        <f>CEILING(A1,A1)</f>
        <v>1</v>
      </c>
    </row>
    <row r="54" spans="3:3" x14ac:dyDescent="0.25">
      <c r="C54">
        <f>_xlfn.CEILING.MATH(A1)</f>
        <v>1</v>
      </c>
    </row>
    <row r="55" spans="3:3" x14ac:dyDescent="0.25">
      <c r="C55">
        <f>_xlfn.CEILING.PRECISE(A1)</f>
        <v>1</v>
      </c>
    </row>
    <row r="56" spans="3:3" x14ac:dyDescent="0.25">
      <c r="C56" t="e">
        <f ca="1">CELL(A1)</f>
        <v>#VALUE!</v>
      </c>
    </row>
    <row r="57" spans="3:3" x14ac:dyDescent="0.25">
      <c r="C57" t="str">
        <f>CHAR(A1)</f>
        <v>_x0001_</v>
      </c>
    </row>
    <row r="58" spans="3:3" x14ac:dyDescent="0.25">
      <c r="C58">
        <f>CHIDIST(A1,A1)</f>
        <v>0.31731050786291398</v>
      </c>
    </row>
    <row r="59" spans="3:3" x14ac:dyDescent="0.25">
      <c r="C59">
        <f>CHIINV(A1,A1)</f>
        <v>0</v>
      </c>
    </row>
    <row r="60" spans="3:3" x14ac:dyDescent="0.25">
      <c r="C60">
        <f>_xlfn.CHISQ.DIST(A1,A1,A1)</f>
        <v>0.68268949213708607</v>
      </c>
    </row>
    <row r="61" spans="3:3" x14ac:dyDescent="0.25">
      <c r="C61">
        <f>_xlfn.CHISQ.DIST.RT(A1,A1)</f>
        <v>0.31731050786291398</v>
      </c>
    </row>
    <row r="62" spans="3:3" x14ac:dyDescent="0.25">
      <c r="C62" t="e">
        <f>_xlfn.CHISQ.INV(A1,A1)</f>
        <v>#NUM!</v>
      </c>
    </row>
    <row r="63" spans="3:3" x14ac:dyDescent="0.25">
      <c r="C63">
        <f>_xlfn.CHISQ.INV.RT(A1,A1)</f>
        <v>0</v>
      </c>
    </row>
    <row r="64" spans="3:3" x14ac:dyDescent="0.25">
      <c r="C64" t="e">
        <f>_xlfn.CHISQ.TEST(A1,A1)</f>
        <v>#N/A</v>
      </c>
    </row>
    <row r="65" spans="3:3" x14ac:dyDescent="0.25">
      <c r="C65" t="e">
        <f>CHITEST(A1,A1)</f>
        <v>#N/A</v>
      </c>
    </row>
    <row r="66" spans="3:3" x14ac:dyDescent="0.25">
      <c r="C66">
        <f>CHOOSE(A1,A1)</f>
        <v>1</v>
      </c>
    </row>
    <row r="67" spans="3:3" x14ac:dyDescent="0.25">
      <c r="C67">
        <f>_xlfn.CHOOSECOLS(A1,A1)</f>
        <v>1</v>
      </c>
    </row>
    <row r="68" spans="3:3" x14ac:dyDescent="0.25">
      <c r="C68">
        <f>_xlfn.CHOOSEROWS(A1,A1)</f>
        <v>1</v>
      </c>
    </row>
    <row r="69" spans="3:3" x14ac:dyDescent="0.25">
      <c r="C69" t="str">
        <f>CLEAN(A1)</f>
        <v>1</v>
      </c>
    </row>
    <row r="70" spans="3:3" x14ac:dyDescent="0.25">
      <c r="C70">
        <f>CODE(A1)</f>
        <v>49</v>
      </c>
    </row>
    <row r="71" spans="3:3" x14ac:dyDescent="0.25">
      <c r="C71">
        <f>COLUMN()</f>
        <v>3</v>
      </c>
    </row>
    <row r="72" spans="3:3" x14ac:dyDescent="0.25">
      <c r="C72">
        <f>COLUMNS(A1)</f>
        <v>1</v>
      </c>
    </row>
    <row r="73" spans="3:3" x14ac:dyDescent="0.25">
      <c r="C73">
        <f>COMBIN(A1,A1)</f>
        <v>1</v>
      </c>
    </row>
    <row r="74" spans="3:3" x14ac:dyDescent="0.25">
      <c r="C74">
        <f>_xlfn.COMBINA(A1,A1)</f>
        <v>1</v>
      </c>
    </row>
    <row r="75" spans="3:3" x14ac:dyDescent="0.25">
      <c r="C75" t="str">
        <f>COMPLEX(A1,A1)</f>
        <v>1+i</v>
      </c>
    </row>
    <row r="76" spans="3:3" x14ac:dyDescent="0.25">
      <c r="C76" t="str">
        <f>_xlfn.CONCAT(A1)</f>
        <v>1</v>
      </c>
    </row>
    <row r="77" spans="3:3" x14ac:dyDescent="0.25">
      <c r="C77" t="str">
        <f>CONCATENATE(A1)</f>
        <v>1</v>
      </c>
    </row>
    <row r="78" spans="3:3" x14ac:dyDescent="0.25">
      <c r="C78" t="e">
        <f>CONFIDENCE(A1,A1,A1)</f>
        <v>#NUM!</v>
      </c>
    </row>
    <row r="79" spans="3:3" x14ac:dyDescent="0.25">
      <c r="C79" t="e">
        <f>_xlfn.CONFIDENCE.NORM(A1,A1,A1)</f>
        <v>#NUM!</v>
      </c>
    </row>
    <row r="80" spans="3:3" x14ac:dyDescent="0.25">
      <c r="C80" t="e">
        <f>_xlfn.CONFIDENCE.T(A1,A1,A1)</f>
        <v>#NUM!</v>
      </c>
    </row>
    <row r="81" spans="3:3" x14ac:dyDescent="0.25">
      <c r="C81" t="e">
        <f>CONVERT(A1,A1,A1)</f>
        <v>#N/A</v>
      </c>
    </row>
    <row r="82" spans="3:3" x14ac:dyDescent="0.25">
      <c r="C82" t="e">
        <f>CORREL(A1,A1)</f>
        <v>#DIV/0!</v>
      </c>
    </row>
    <row r="83" spans="3:3" x14ac:dyDescent="0.25">
      <c r="C83">
        <f>COS(A1)</f>
        <v>0.54030230586813977</v>
      </c>
    </row>
    <row r="84" spans="3:3" x14ac:dyDescent="0.25">
      <c r="C84">
        <f>COSH(A1)</f>
        <v>1.5430806348152437</v>
      </c>
    </row>
    <row r="85" spans="3:3" x14ac:dyDescent="0.25">
      <c r="C85">
        <f>_xlfn.COT(A1)</f>
        <v>0.64209261593433065</v>
      </c>
    </row>
    <row r="86" spans="3:3" x14ac:dyDescent="0.25">
      <c r="C86">
        <f>_xlfn.COTH(A1)</f>
        <v>1.3130352854993315</v>
      </c>
    </row>
    <row r="87" spans="3:3" x14ac:dyDescent="0.25">
      <c r="C87">
        <f>COUNT(A1)</f>
        <v>1</v>
      </c>
    </row>
    <row r="88" spans="3:3" x14ac:dyDescent="0.25">
      <c r="C88">
        <f>COUNTA(A1)</f>
        <v>1</v>
      </c>
    </row>
    <row r="89" spans="3:3" x14ac:dyDescent="0.25">
      <c r="C89">
        <f>COUNTBLANK(A1)</f>
        <v>0</v>
      </c>
    </row>
    <row r="90" spans="3:3" x14ac:dyDescent="0.25">
      <c r="C90">
        <f>COUNTIF(A1,A1)</f>
        <v>1</v>
      </c>
    </row>
    <row r="91" spans="3:3" x14ac:dyDescent="0.25">
      <c r="C91">
        <f>COUNTIFS(A1,A1)</f>
        <v>1</v>
      </c>
    </row>
    <row r="92" spans="3:3" x14ac:dyDescent="0.25">
      <c r="C92" t="e">
        <f>COUPDAYBS(A1,A1,A1)</f>
        <v>#NUM!</v>
      </c>
    </row>
    <row r="93" spans="3:3" x14ac:dyDescent="0.25">
      <c r="C93" t="e">
        <f>COUPDAYS(A1,A1,A1)</f>
        <v>#NUM!</v>
      </c>
    </row>
    <row r="94" spans="3:3" x14ac:dyDescent="0.25">
      <c r="C94" t="e">
        <f>COUPDAYSNC(A1,A1,A1)</f>
        <v>#NUM!</v>
      </c>
    </row>
    <row r="95" spans="3:3" x14ac:dyDescent="0.25">
      <c r="C95" t="e">
        <f>COUPNCD(A1,A1,A1)</f>
        <v>#NUM!</v>
      </c>
    </row>
    <row r="96" spans="3:3" x14ac:dyDescent="0.25">
      <c r="C96" t="e">
        <f>COUPNUM(A1,A1,A1)</f>
        <v>#NUM!</v>
      </c>
    </row>
    <row r="97" spans="3:3" x14ac:dyDescent="0.25">
      <c r="C97" t="e">
        <f>COUPPCD(A1,A1,A1)</f>
        <v>#NUM!</v>
      </c>
    </row>
    <row r="98" spans="3:3" x14ac:dyDescent="0.25">
      <c r="C98">
        <f>COVAR(A1,A1)</f>
        <v>0</v>
      </c>
    </row>
    <row r="99" spans="3:3" x14ac:dyDescent="0.25">
      <c r="C99">
        <f>_xlfn.COVARIANCE.P(A1,A1)</f>
        <v>0</v>
      </c>
    </row>
    <row r="100" spans="3:3" x14ac:dyDescent="0.25">
      <c r="C100" t="e">
        <f>_xlfn.COVARIANCE.S(A1,A1)</f>
        <v>#DIV/0!</v>
      </c>
    </row>
    <row r="101" spans="3:3" x14ac:dyDescent="0.25">
      <c r="C101" t="e">
        <f>CRITBINOM(A1,A1,A1)</f>
        <v>#NUM!</v>
      </c>
    </row>
    <row r="102" spans="3:3" x14ac:dyDescent="0.25">
      <c r="C102">
        <f>_xlfn.CSC(A1)</f>
        <v>1.1883951057781212</v>
      </c>
    </row>
    <row r="103" spans="3:3" x14ac:dyDescent="0.25">
      <c r="C103">
        <f>_xlfn.CSCH(A1)</f>
        <v>0.85091812823932156</v>
      </c>
    </row>
    <row r="104" spans="3:3" x14ac:dyDescent="0.25">
      <c r="C104" t="e">
        <f>CUBEKPIMEMBER(A1,A1,A1)</f>
        <v>#N/A</v>
      </c>
    </row>
    <row r="105" spans="3:3" x14ac:dyDescent="0.25">
      <c r="C105" t="e">
        <f>CUBEMEMBER(A1,A1)</f>
        <v>#N/A</v>
      </c>
    </row>
    <row r="106" spans="3:3" x14ac:dyDescent="0.25">
      <c r="C106" t="e">
        <f>CUBEMEMBERPROPERTY(A1,A1,A1)</f>
        <v>#N/A</v>
      </c>
    </row>
    <row r="107" spans="3:3" x14ac:dyDescent="0.25">
      <c r="C107" t="e">
        <f>CUBERANKEDMEMBER(A1,A1,A1)</f>
        <v>#N/A</v>
      </c>
    </row>
    <row r="108" spans="3:3" x14ac:dyDescent="0.25">
      <c r="C108" t="e">
        <f>CUBESET(A1,A1)</f>
        <v>#N/A</v>
      </c>
    </row>
    <row r="109" spans="3:3" x14ac:dyDescent="0.25">
      <c r="C109" t="e">
        <f>CUBESETCOUNT(A1)</f>
        <v>#N/A</v>
      </c>
    </row>
    <row r="110" spans="3:3" x14ac:dyDescent="0.25">
      <c r="C110" t="e">
        <f>CUBEVALUE(A1)</f>
        <v>#N/A</v>
      </c>
    </row>
    <row r="111" spans="3:3" x14ac:dyDescent="0.25">
      <c r="C111">
        <f>CUMIPMT(A1,A1,A1,A1,A1,A1)</f>
        <v>0</v>
      </c>
    </row>
    <row r="112" spans="3:3" x14ac:dyDescent="0.25">
      <c r="C112">
        <f>CUMPRINC(A1,A1,A1,A1,A1,A1)</f>
        <v>-1</v>
      </c>
    </row>
    <row r="113" spans="3:3" x14ac:dyDescent="0.25">
      <c r="C113" s="1">
        <f>DATE(A1,A1,A1)</f>
        <v>367</v>
      </c>
    </row>
    <row r="114" spans="3:3" x14ac:dyDescent="0.25">
      <c r="C114" t="e">
        <f>DATEDIF(A1,A1,A1)</f>
        <v>#NUM!</v>
      </c>
    </row>
    <row r="115" spans="3:3" x14ac:dyDescent="0.25">
      <c r="C115" t="e">
        <f>DATEVALUE(A1)</f>
        <v>#VALUE!</v>
      </c>
    </row>
    <row r="116" spans="3:3" x14ac:dyDescent="0.25">
      <c r="C116" t="e">
        <f>DAVERAGE(A1,A1,A1)</f>
        <v>#VALUE!</v>
      </c>
    </row>
    <row r="117" spans="3:3" x14ac:dyDescent="0.25">
      <c r="C117">
        <f>DAY(A1)</f>
        <v>1</v>
      </c>
    </row>
    <row r="118" spans="3:3" x14ac:dyDescent="0.25">
      <c r="C118">
        <f>_xlfn.DAYS(A1,A1)</f>
        <v>0</v>
      </c>
    </row>
    <row r="119" spans="3:3" x14ac:dyDescent="0.25">
      <c r="C119">
        <f>DAYS360(A1,A1)</f>
        <v>0</v>
      </c>
    </row>
    <row r="120" spans="3:3" x14ac:dyDescent="0.25">
      <c r="C120" s="2">
        <f>DB(A1,A1,A1,A1)</f>
        <v>0</v>
      </c>
    </row>
    <row r="121" spans="3:3" x14ac:dyDescent="0.25">
      <c r="C121" t="str">
        <f>DBCS(A1)</f>
        <v>1</v>
      </c>
    </row>
    <row r="122" spans="3:3" x14ac:dyDescent="0.25">
      <c r="C122" t="e">
        <f>DCOUNT(A1,A1,A1)</f>
        <v>#VALUE!</v>
      </c>
    </row>
    <row r="123" spans="3:3" x14ac:dyDescent="0.25">
      <c r="C123" t="e">
        <f>DCOUNTA(A1,A1,A1)</f>
        <v>#VALUE!</v>
      </c>
    </row>
    <row r="124" spans="3:3" x14ac:dyDescent="0.25">
      <c r="C124" s="2">
        <f>DDB(A1,A1,A1,A1)</f>
        <v>0</v>
      </c>
    </row>
    <row r="125" spans="3:3" x14ac:dyDescent="0.25">
      <c r="C125" t="str">
        <f>DEC2BIN(A1)</f>
        <v>1</v>
      </c>
    </row>
    <row r="126" spans="3:3" x14ac:dyDescent="0.25">
      <c r="C126" t="str">
        <f>DEC2HEX(A1)</f>
        <v>1</v>
      </c>
    </row>
    <row r="127" spans="3:3" x14ac:dyDescent="0.25">
      <c r="C127" t="str">
        <f>DEC2OCT(A1)</f>
        <v>1</v>
      </c>
    </row>
    <row r="128" spans="3:3" x14ac:dyDescent="0.25">
      <c r="C128" t="e">
        <f>_xlfn.DECIMAL(A1,A1)</f>
        <v>#NUM!</v>
      </c>
    </row>
    <row r="129" spans="3:3" x14ac:dyDescent="0.25">
      <c r="C129">
        <f>DEGREES(A1)</f>
        <v>57.295779513082323</v>
      </c>
    </row>
    <row r="130" spans="3:3" x14ac:dyDescent="0.25">
      <c r="C130">
        <f>DELTA(A1)</f>
        <v>0</v>
      </c>
    </row>
    <row r="131" spans="3:3" x14ac:dyDescent="0.25">
      <c r="C131">
        <f ca="1">_xlfn.DETECTLANGUAGE(A1)</f>
        <v>0</v>
      </c>
    </row>
    <row r="132" spans="3:3" x14ac:dyDescent="0.25">
      <c r="C132">
        <f>DEVSQ(A1)</f>
        <v>0</v>
      </c>
    </row>
    <row r="133" spans="3:3" x14ac:dyDescent="0.25">
      <c r="C133" t="e">
        <f>DGET(A1,A1,A1)</f>
        <v>#VALUE!</v>
      </c>
    </row>
    <row r="134" spans="3:3" x14ac:dyDescent="0.25">
      <c r="C134" t="e">
        <f>DISC(A1,A1,A1,A1)</f>
        <v>#NUM!</v>
      </c>
    </row>
    <row r="135" spans="3:3" x14ac:dyDescent="0.25">
      <c r="C135" t="e">
        <f>DMAX(A1,A1,A1)</f>
        <v>#VALUE!</v>
      </c>
    </row>
    <row r="136" spans="3:3" x14ac:dyDescent="0.25">
      <c r="C136" t="e">
        <f>DMIN(A1,A1,A1)</f>
        <v>#VALUE!</v>
      </c>
    </row>
    <row r="137" spans="3:3" x14ac:dyDescent="0.25">
      <c r="C137" t="str">
        <f>DOLLAR(A1)</f>
        <v>$1.00</v>
      </c>
    </row>
    <row r="138" spans="3:3" x14ac:dyDescent="0.25">
      <c r="C138">
        <f>DOLLARDE(A1,A1)</f>
        <v>1</v>
      </c>
    </row>
    <row r="139" spans="3:3" x14ac:dyDescent="0.25">
      <c r="C139">
        <f>DOLLARFR(A1,A1)</f>
        <v>1</v>
      </c>
    </row>
    <row r="140" spans="3:3" x14ac:dyDescent="0.25">
      <c r="C140" t="e">
        <f>DPRODUCT(A1,A1,A1)</f>
        <v>#VALUE!</v>
      </c>
    </row>
    <row r="141" spans="3:3" x14ac:dyDescent="0.25">
      <c r="C141" t="e" vm="2">
        <f>_xlfn.DROP(A1,A1)</f>
        <v>#VALUE!</v>
      </c>
    </row>
    <row r="142" spans="3:3" x14ac:dyDescent="0.25">
      <c r="C142" t="e">
        <f>DSTDEV(A1,A1,A1)</f>
        <v>#VALUE!</v>
      </c>
    </row>
    <row r="143" spans="3:3" x14ac:dyDescent="0.25">
      <c r="C143" t="e">
        <f>DSTDEVP(A1,A1,A1)</f>
        <v>#VALUE!</v>
      </c>
    </row>
    <row r="144" spans="3:3" x14ac:dyDescent="0.25">
      <c r="C144" t="e">
        <f>DSUM(A1,A1,A1)</f>
        <v>#VALUE!</v>
      </c>
    </row>
    <row r="145" spans="3:3" x14ac:dyDescent="0.25">
      <c r="C145" t="e">
        <f>DURATION(A1,A1,A1,A1,A1)</f>
        <v>#NUM!</v>
      </c>
    </row>
    <row r="146" spans="3:3" x14ac:dyDescent="0.25">
      <c r="C146" t="e">
        <f>DVAR(A1,A1,A1)</f>
        <v>#VALUE!</v>
      </c>
    </row>
    <row r="147" spans="3:3" x14ac:dyDescent="0.25">
      <c r="C147" t="e">
        <f>DVARP(A1,A1,A1)</f>
        <v>#VALUE!</v>
      </c>
    </row>
    <row r="148" spans="3:3" x14ac:dyDescent="0.25">
      <c r="C148">
        <f>ECMA.CEILING(A1,A1)</f>
        <v>1</v>
      </c>
    </row>
    <row r="149" spans="3:3" x14ac:dyDescent="0.25">
      <c r="C149">
        <f>EDATE(A1,A1)</f>
        <v>32</v>
      </c>
    </row>
    <row r="150" spans="3:3" x14ac:dyDescent="0.25">
      <c r="C150">
        <f>EFFECT(A1,A1)</f>
        <v>1</v>
      </c>
    </row>
    <row r="151" spans="3:3" x14ac:dyDescent="0.25">
      <c r="C151" t="str">
        <f>_xlfn.ENCODEURL(A1)</f>
        <v>1</v>
      </c>
    </row>
    <row r="152" spans="3:3" x14ac:dyDescent="0.25">
      <c r="C152">
        <f>EOMONTH(A1,A1)</f>
        <v>59</v>
      </c>
    </row>
    <row r="153" spans="3:3" x14ac:dyDescent="0.25">
      <c r="C153">
        <f>ERF(A1)</f>
        <v>0.84270079294971489</v>
      </c>
    </row>
    <row r="154" spans="3:3" x14ac:dyDescent="0.25">
      <c r="C154">
        <f>_xlfn.ERF.PRECISE(A1)</f>
        <v>0.84270079294971489</v>
      </c>
    </row>
    <row r="155" spans="3:3" x14ac:dyDescent="0.25">
      <c r="C155">
        <f>ERFC(A1)</f>
        <v>0.15729920705028513</v>
      </c>
    </row>
    <row r="156" spans="3:3" x14ac:dyDescent="0.25">
      <c r="C156">
        <f>_xlfn.ERFC.PRECISE(A1)</f>
        <v>0.15729920705028513</v>
      </c>
    </row>
    <row r="157" spans="3:3" x14ac:dyDescent="0.25">
      <c r="C157" t="e">
        <f>ERROR.TYPE(A1)</f>
        <v>#N/A</v>
      </c>
    </row>
    <row r="158" spans="3:3" x14ac:dyDescent="0.25">
      <c r="C158" t="e">
        <f ca="1">EUROCONVERT()</f>
        <v>#NAME?</v>
      </c>
    </row>
    <row r="159" spans="3:3" x14ac:dyDescent="0.25">
      <c r="C159">
        <f>EVEN(A1)</f>
        <v>2</v>
      </c>
    </row>
    <row r="160" spans="3:3" x14ac:dyDescent="0.25">
      <c r="C160" t="b">
        <f>EXACT(A1,A1)</f>
        <v>1</v>
      </c>
    </row>
    <row r="161" spans="3:3" x14ac:dyDescent="0.25">
      <c r="C161">
        <f>EXP(A1)</f>
        <v>2.7182818284590451</v>
      </c>
    </row>
    <row r="162" spans="3:3" x14ac:dyDescent="0.25">
      <c r="C162">
        <f>_xlfn.EXPAND(A1,A1)</f>
        <v>1</v>
      </c>
    </row>
    <row r="163" spans="3:3" x14ac:dyDescent="0.25">
      <c r="C163">
        <f>_xlfn.EXPON.DIST(A1,A1,A1)</f>
        <v>0.63212055882855767</v>
      </c>
    </row>
    <row r="164" spans="3:3" x14ac:dyDescent="0.25">
      <c r="C164">
        <f>EXPONDIST(A1,A1,A1)</f>
        <v>0.63212055882855767</v>
      </c>
    </row>
    <row r="165" spans="3:3" x14ac:dyDescent="0.25">
      <c r="C165">
        <f>_xlfn.F.DIST(A1,A1,A1,A1)</f>
        <v>0.50000000000000011</v>
      </c>
    </row>
    <row r="166" spans="3:3" x14ac:dyDescent="0.25">
      <c r="C166">
        <f>_xlfn.F.DIST.RT(A1,A1,A1)</f>
        <v>0.49999999999999989</v>
      </c>
    </row>
    <row r="167" spans="3:3" x14ac:dyDescent="0.25">
      <c r="C167" t="e">
        <f>_xlfn.F.INV(A1,A1,A1)</f>
        <v>#NUM!</v>
      </c>
    </row>
    <row r="168" spans="3:3" x14ac:dyDescent="0.25">
      <c r="C168">
        <f>_xlfn.F.INV.RT(A1,A1,A1)</f>
        <v>0</v>
      </c>
    </row>
    <row r="169" spans="3:3" x14ac:dyDescent="0.25">
      <c r="C169" t="e">
        <f>_xlfn.F.TEST(A1,A1)</f>
        <v>#DIV/0!</v>
      </c>
    </row>
    <row r="170" spans="3:3" x14ac:dyDescent="0.25">
      <c r="C170">
        <f>FACT(A1)</f>
        <v>1</v>
      </c>
    </row>
    <row r="171" spans="3:3" x14ac:dyDescent="0.25">
      <c r="C171">
        <f>FACTDOUBLE(A1)</f>
        <v>1</v>
      </c>
    </row>
    <row r="172" spans="3:3" x14ac:dyDescent="0.25">
      <c r="C172" t="b">
        <f>FALSE()</f>
        <v>0</v>
      </c>
    </row>
    <row r="173" spans="3:3" x14ac:dyDescent="0.25">
      <c r="C173">
        <f>FDIST(A1,A1,A1)</f>
        <v>0.49999999999999989</v>
      </c>
    </row>
    <row r="174" spans="3:3" x14ac:dyDescent="0.25">
      <c r="C174">
        <f>_xlfn._xlws.FILTER(A1,A1)</f>
        <v>1</v>
      </c>
    </row>
    <row r="175" spans="3:3" x14ac:dyDescent="0.25">
      <c r="C175" t="e">
        <f>_xlfn.FILTERXML(A1,A1)</f>
        <v>#VALUE!</v>
      </c>
    </row>
    <row r="176" spans="3:3" x14ac:dyDescent="0.25">
      <c r="C176">
        <f>FIND(A1,A1)</f>
        <v>1</v>
      </c>
    </row>
    <row r="177" spans="3:3" x14ac:dyDescent="0.25">
      <c r="C177">
        <f>FINDB(A1,A1)</f>
        <v>1</v>
      </c>
    </row>
    <row r="178" spans="3:3" x14ac:dyDescent="0.25">
      <c r="C178">
        <f>FINV(A1,A1,A1)</f>
        <v>0</v>
      </c>
    </row>
    <row r="179" spans="3:3" x14ac:dyDescent="0.25">
      <c r="C179" t="e">
        <f>FISHER(A1)</f>
        <v>#NUM!</v>
      </c>
    </row>
    <row r="180" spans="3:3" x14ac:dyDescent="0.25">
      <c r="C180">
        <f>FISHERINV(A1)</f>
        <v>0.76159415595576485</v>
      </c>
    </row>
    <row r="181" spans="3:3" x14ac:dyDescent="0.25">
      <c r="C181" t="str">
        <f>FIXED(A1)</f>
        <v>1.00</v>
      </c>
    </row>
    <row r="182" spans="3:3" x14ac:dyDescent="0.25">
      <c r="C182">
        <f>FLOOR(A1,A1)</f>
        <v>1</v>
      </c>
    </row>
    <row r="183" spans="3:3" x14ac:dyDescent="0.25">
      <c r="C183">
        <f>_xlfn.FLOOR.MATH(A1)</f>
        <v>1</v>
      </c>
    </row>
    <row r="184" spans="3:3" x14ac:dyDescent="0.25">
      <c r="C184">
        <f>_xlfn.FLOOR.PRECISE(A1)</f>
        <v>1</v>
      </c>
    </row>
    <row r="185" spans="3:3" x14ac:dyDescent="0.25">
      <c r="C185" t="e">
        <f>FORECAST(A1,A1,A1)</f>
        <v>#DIV/0!</v>
      </c>
    </row>
    <row r="186" spans="3:3" x14ac:dyDescent="0.25">
      <c r="C186" t="e">
        <f>_xlfn.FORECAST.ETS(A1,A1,A1)</f>
        <v>#DIV/0!</v>
      </c>
    </row>
    <row r="187" spans="3:3" x14ac:dyDescent="0.25">
      <c r="C187" t="e">
        <f>_xlfn.FORECAST.ETS.CONFINT(A1,A1,A1)</f>
        <v>#DIV/0!</v>
      </c>
    </row>
    <row r="188" spans="3:3" x14ac:dyDescent="0.25">
      <c r="C188" t="e">
        <f>_xlfn.FORECAST.ETS.SEASONALITY(A1,A1)</f>
        <v>#DIV/0!</v>
      </c>
    </row>
    <row r="189" spans="3:3" x14ac:dyDescent="0.25">
      <c r="C189" t="e">
        <f>_xlfn.FORECAST.ETS.STAT(A1,A1,A1)</f>
        <v>#DIV/0!</v>
      </c>
    </row>
    <row r="190" spans="3:3" x14ac:dyDescent="0.25">
      <c r="C190" t="e">
        <f>_xlfn.FORECAST.LINEAR(A1,A1,A1)</f>
        <v>#DIV/0!</v>
      </c>
    </row>
    <row r="191" spans="3:3" x14ac:dyDescent="0.25">
      <c r="C191" t="e">
        <f ca="1">_xlfn.FORMULATEXT(A1)</f>
        <v>#N/A</v>
      </c>
    </row>
    <row r="192" spans="3:3" x14ac:dyDescent="0.25">
      <c r="C192">
        <f>FREQUENCY(A1,A1)</f>
        <v>1</v>
      </c>
    </row>
    <row r="193" spans="3:3" x14ac:dyDescent="0.25">
      <c r="C193" t="e">
        <f>FTEST(A1,A1)</f>
        <v>#DIV/0!</v>
      </c>
    </row>
    <row r="194" spans="3:3" x14ac:dyDescent="0.25">
      <c r="C194" s="2">
        <f>FV(A1,A1,A1)</f>
        <v>-1</v>
      </c>
    </row>
    <row r="195" spans="3:3" x14ac:dyDescent="0.25">
      <c r="C195">
        <f>FVSCHEDULE(A1,A1)</f>
        <v>2</v>
      </c>
    </row>
    <row r="196" spans="3:3" x14ac:dyDescent="0.25">
      <c r="C196">
        <f>_xlfn.GAMMA(A1)</f>
        <v>1</v>
      </c>
    </row>
    <row r="197" spans="3:3" x14ac:dyDescent="0.25">
      <c r="C197">
        <f>_xlfn.GAMMA.DIST(A1,A1,A1,A1)</f>
        <v>0.63212055882855767</v>
      </c>
    </row>
    <row r="198" spans="3:3" x14ac:dyDescent="0.25">
      <c r="C198" t="e">
        <f>_xlfn.GAMMA.INV(A1,A1,A1)</f>
        <v>#NUM!</v>
      </c>
    </row>
    <row r="199" spans="3:3" x14ac:dyDescent="0.25">
      <c r="C199">
        <f>GAMMADIST(A1,A1,A1,A1)</f>
        <v>0.63212055882855767</v>
      </c>
    </row>
    <row r="200" spans="3:3" x14ac:dyDescent="0.25">
      <c r="C200" t="e">
        <f>GAMMAINV(A1,A1,A1)</f>
        <v>#NUM!</v>
      </c>
    </row>
    <row r="201" spans="3:3" x14ac:dyDescent="0.25">
      <c r="C201">
        <f>GAMMALN(A1)</f>
        <v>0</v>
      </c>
    </row>
    <row r="202" spans="3:3" x14ac:dyDescent="0.25">
      <c r="C202">
        <f>_xlfn.GAMMALN.PRECISE(A1)</f>
        <v>0</v>
      </c>
    </row>
    <row r="203" spans="3:3" x14ac:dyDescent="0.25">
      <c r="C203">
        <f>_xlfn.GAUSS(A1)</f>
        <v>0.34134474606854304</v>
      </c>
    </row>
    <row r="204" spans="3:3" x14ac:dyDescent="0.25">
      <c r="C204">
        <f>GCD(A1)</f>
        <v>1</v>
      </c>
    </row>
    <row r="205" spans="3:3" x14ac:dyDescent="0.25">
      <c r="C205">
        <f>GEOMEAN(A1)</f>
        <v>1</v>
      </c>
    </row>
    <row r="206" spans="3:3" x14ac:dyDescent="0.25">
      <c r="C206">
        <f>GESTEP(A1)</f>
        <v>1</v>
      </c>
    </row>
    <row r="207" spans="3:3" x14ac:dyDescent="0.25">
      <c r="C207" t="e">
        <f>GETPIVOTDATA(A1,A1)</f>
        <v>#REF!</v>
      </c>
    </row>
    <row r="208" spans="3:3" x14ac:dyDescent="0.25">
      <c r="C208" t="e" vm="3">
        <f>_xlfn.GROUPBY(A1,A1,A1)</f>
        <v>#VALUE!</v>
      </c>
    </row>
    <row r="209" spans="3:3" x14ac:dyDescent="0.25">
      <c r="C209">
        <f>GROWTH(A1)</f>
        <v>1</v>
      </c>
    </row>
    <row r="210" spans="3:3" x14ac:dyDescent="0.25">
      <c r="C210">
        <f>HARMEAN(A1)</f>
        <v>1</v>
      </c>
    </row>
    <row r="211" spans="3:3" x14ac:dyDescent="0.25">
      <c r="C211" t="str">
        <f>HEX2BIN(A1)</f>
        <v>1</v>
      </c>
    </row>
    <row r="212" spans="3:3" x14ac:dyDescent="0.25">
      <c r="C212">
        <f>HEX2DEC(A1)</f>
        <v>1</v>
      </c>
    </row>
    <row r="213" spans="3:3" x14ac:dyDescent="0.25">
      <c r="C213" t="str">
        <f>HEX2OCT(A1)</f>
        <v>1</v>
      </c>
    </row>
    <row r="214" spans="3:3" x14ac:dyDescent="0.25">
      <c r="C214">
        <f>HLOOKUP(A1,A1,A1)</f>
        <v>1</v>
      </c>
    </row>
    <row r="215" spans="3:3" x14ac:dyDescent="0.25">
      <c r="C215">
        <f>HOUR(A1)</f>
        <v>0</v>
      </c>
    </row>
    <row r="216" spans="3:3" x14ac:dyDescent="0.25">
      <c r="C216">
        <f>_xlfn.HSTACK(A1)</f>
        <v>1</v>
      </c>
    </row>
    <row r="217" spans="3:3" x14ac:dyDescent="0.25">
      <c r="C217" s="3" t="str">
        <f>HYPERLINK(A1)</f>
        <v>1</v>
      </c>
    </row>
    <row r="218" spans="3:3" x14ac:dyDescent="0.25">
      <c r="C218">
        <f>_xlfn.HYPGEOM.DIST(A1,A1,A1,A1,A1)</f>
        <v>1</v>
      </c>
    </row>
    <row r="219" spans="3:3" x14ac:dyDescent="0.25">
      <c r="C219">
        <f>HYPGEOMDIST(A1,A1,A1,A1)</f>
        <v>1</v>
      </c>
    </row>
    <row r="220" spans="3:3" x14ac:dyDescent="0.25">
      <c r="C220">
        <f>IF(A1,A1)</f>
        <v>1</v>
      </c>
    </row>
    <row r="221" spans="3:3" x14ac:dyDescent="0.25">
      <c r="C221">
        <f>IFERROR(A1,A1)</f>
        <v>1</v>
      </c>
    </row>
    <row r="222" spans="3:3" x14ac:dyDescent="0.25">
      <c r="C222">
        <f>_xlfn.IFNA(A1,A1)</f>
        <v>1</v>
      </c>
    </row>
    <row r="223" spans="3:3" x14ac:dyDescent="0.25">
      <c r="C223">
        <f>_xlfn.IFS(A1,A1)</f>
        <v>1</v>
      </c>
    </row>
    <row r="224" spans="3:3" x14ac:dyDescent="0.25">
      <c r="C224">
        <f>IMABS(A1)</f>
        <v>1</v>
      </c>
    </row>
    <row r="225" spans="3:3" x14ac:dyDescent="0.25">
      <c r="C225" t="e" vm="4">
        <f>_xlfn.IMAGE(A1)</f>
        <v>#VALUE!</v>
      </c>
    </row>
    <row r="226" spans="3:3" x14ac:dyDescent="0.25">
      <c r="C226">
        <f>IMAGINARY(A1)</f>
        <v>0</v>
      </c>
    </row>
    <row r="227" spans="3:3" x14ac:dyDescent="0.25">
      <c r="C227">
        <f>IMARGUMENT(A1)</f>
        <v>0</v>
      </c>
    </row>
    <row r="228" spans="3:3" x14ac:dyDescent="0.25">
      <c r="C228" t="str">
        <f>IMCONJUGATE(A1)</f>
        <v>1</v>
      </c>
    </row>
    <row r="229" spans="3:3" x14ac:dyDescent="0.25">
      <c r="C229" t="str">
        <f>IMCOS(A1)</f>
        <v>0.54030230586814</v>
      </c>
    </row>
    <row r="230" spans="3:3" x14ac:dyDescent="0.25">
      <c r="C230" t="str">
        <f>_xlfn.IMCOSH(A1)</f>
        <v>1.54308063481524</v>
      </c>
    </row>
    <row r="231" spans="3:3" x14ac:dyDescent="0.25">
      <c r="C231" t="str">
        <f>_xlfn.IMCOT(A1)</f>
        <v>0.642092615934331</v>
      </c>
    </row>
    <row r="232" spans="3:3" x14ac:dyDescent="0.25">
      <c r="C232" t="str">
        <f>_xlfn.IMCSC(A1)</f>
        <v>1.18839510577812</v>
      </c>
    </row>
    <row r="233" spans="3:3" x14ac:dyDescent="0.25">
      <c r="C233" t="str">
        <f>_xlfn.IMCSCH(A1)</f>
        <v>0.850918128239322</v>
      </c>
    </row>
    <row r="234" spans="3:3" x14ac:dyDescent="0.25">
      <c r="C234" t="str">
        <f>IMDIV(A1,A1)</f>
        <v>1</v>
      </c>
    </row>
    <row r="235" spans="3:3" x14ac:dyDescent="0.25">
      <c r="C235" t="str">
        <f>IMEXP(A1)</f>
        <v>2.71828182845905</v>
      </c>
    </row>
    <row r="236" spans="3:3" x14ac:dyDescent="0.25">
      <c r="C236" t="str">
        <f>IMLN(A1)</f>
        <v>0</v>
      </c>
    </row>
    <row r="237" spans="3:3" x14ac:dyDescent="0.25">
      <c r="C237" t="str">
        <f>IMLOG10(A1)</f>
        <v>0</v>
      </c>
    </row>
    <row r="238" spans="3:3" x14ac:dyDescent="0.25">
      <c r="C238" t="str">
        <f>IMLOG2(A1)</f>
        <v>0</v>
      </c>
    </row>
    <row r="239" spans="3:3" x14ac:dyDescent="0.25">
      <c r="C239" t="str">
        <f>IMPOWER(A1,A1)</f>
        <v>1</v>
      </c>
    </row>
    <row r="240" spans="3:3" x14ac:dyDescent="0.25">
      <c r="C240" t="str">
        <f>IMPRODUCT(A1)</f>
        <v>1</v>
      </c>
    </row>
    <row r="241" spans="3:3" x14ac:dyDescent="0.25">
      <c r="C241">
        <f>IMREAL(A1)</f>
        <v>1</v>
      </c>
    </row>
    <row r="242" spans="3:3" x14ac:dyDescent="0.25">
      <c r="C242" t="str">
        <f>_xlfn.IMSEC(A1)</f>
        <v>1.85081571768093</v>
      </c>
    </row>
    <row r="243" spans="3:3" x14ac:dyDescent="0.25">
      <c r="C243" t="str">
        <f>_xlfn.IMSECH(A1)</f>
        <v>0.648054273663885</v>
      </c>
    </row>
    <row r="244" spans="3:3" x14ac:dyDescent="0.25">
      <c r="C244" t="str">
        <f>IMSIN(A1)</f>
        <v>0.841470984807897</v>
      </c>
    </row>
    <row r="245" spans="3:3" x14ac:dyDescent="0.25">
      <c r="C245" t="str">
        <f>_xlfn.IMSINH(A1)</f>
        <v>1.1752011936438</v>
      </c>
    </row>
    <row r="246" spans="3:3" x14ac:dyDescent="0.25">
      <c r="C246" t="str">
        <f>IMSQRT(A1)</f>
        <v>1</v>
      </c>
    </row>
    <row r="247" spans="3:3" x14ac:dyDescent="0.25">
      <c r="C247" t="str">
        <f>IMSUB(A1,A1)</f>
        <v>0</v>
      </c>
    </row>
    <row r="248" spans="3:3" x14ac:dyDescent="0.25">
      <c r="C248" t="str">
        <f>IMSUM(A1)</f>
        <v>1</v>
      </c>
    </row>
    <row r="249" spans="3:3" x14ac:dyDescent="0.25">
      <c r="C249" t="str">
        <f>_xlfn.IMTAN(A1)</f>
        <v>1.5574077246549</v>
      </c>
    </row>
    <row r="250" spans="3:3" x14ac:dyDescent="0.25">
      <c r="C250">
        <f>INDEX(A1,1)</f>
        <v>1</v>
      </c>
    </row>
    <row r="251" spans="3:3" x14ac:dyDescent="0.25">
      <c r="C251" t="e">
        <f ca="1">INDIRECT(A1)</f>
        <v>#REF!</v>
      </c>
    </row>
    <row r="252" spans="3:3" x14ac:dyDescent="0.25">
      <c r="C252" t="e">
        <f ca="1">INFO(A1)</f>
        <v>#VALUE!</v>
      </c>
    </row>
    <row r="253" spans="3:3" x14ac:dyDescent="0.25">
      <c r="C253">
        <f>INT(A1)</f>
        <v>1</v>
      </c>
    </row>
    <row r="254" spans="3:3" x14ac:dyDescent="0.25">
      <c r="C254" t="e">
        <f>INTERCEPT(A1,A1)</f>
        <v>#DIV/0!</v>
      </c>
    </row>
    <row r="255" spans="3:3" x14ac:dyDescent="0.25">
      <c r="C255" t="e">
        <f>INTRATE(A1,A1,A1,A1)</f>
        <v>#NUM!</v>
      </c>
    </row>
    <row r="256" spans="3:3" x14ac:dyDescent="0.25">
      <c r="C256" s="2">
        <f>IPMT(A1,A1,A1,A1)</f>
        <v>-1</v>
      </c>
    </row>
    <row r="257" spans="3:3" x14ac:dyDescent="0.25">
      <c r="C257" s="4" t="e">
        <f>IRR(A1)</f>
        <v>#NUM!</v>
      </c>
    </row>
    <row r="258" spans="3:3" x14ac:dyDescent="0.25">
      <c r="C258" t="b">
        <f>ISBLANK(A1)</f>
        <v>0</v>
      </c>
    </row>
    <row r="259" spans="3:3" x14ac:dyDescent="0.25">
      <c r="C259" t="b">
        <f>ISERR(A1)</f>
        <v>0</v>
      </c>
    </row>
    <row r="260" spans="3:3" x14ac:dyDescent="0.25">
      <c r="C260" t="b">
        <f>ISERROR(A1)</f>
        <v>0</v>
      </c>
    </row>
    <row r="261" spans="3:3" x14ac:dyDescent="0.25">
      <c r="C261" t="b">
        <f>ISEVEN(A1)</f>
        <v>0</v>
      </c>
    </row>
    <row r="262" spans="3:3" x14ac:dyDescent="0.25">
      <c r="C262" t="b">
        <f>_xlfn.ISFORMULA(A1)</f>
        <v>0</v>
      </c>
    </row>
    <row r="263" spans="3:3" x14ac:dyDescent="0.25">
      <c r="C263" t="b">
        <f>ISLOGICAL(A1)</f>
        <v>0</v>
      </c>
    </row>
    <row r="264" spans="3:3" x14ac:dyDescent="0.25">
      <c r="C264" t="b">
        <f>ISNA(A1)</f>
        <v>0</v>
      </c>
    </row>
    <row r="265" spans="3:3" x14ac:dyDescent="0.25">
      <c r="C265" t="b">
        <f>ISNONTEXT(A1)</f>
        <v>1</v>
      </c>
    </row>
    <row r="266" spans="3:3" x14ac:dyDescent="0.25">
      <c r="C266" t="b">
        <f>ISNUMBER(A1)</f>
        <v>1</v>
      </c>
    </row>
    <row r="267" spans="3:3" x14ac:dyDescent="0.25">
      <c r="C267">
        <f>ISO.CEILING(A1)</f>
        <v>1</v>
      </c>
    </row>
    <row r="268" spans="3:3" x14ac:dyDescent="0.25">
      <c r="C268" t="b">
        <f>ISODD(A1)</f>
        <v>1</v>
      </c>
    </row>
    <row r="269" spans="3:3" x14ac:dyDescent="0.25">
      <c r="C269" t="b">
        <f>_xlfn.ISOMITTED(A1)</f>
        <v>0</v>
      </c>
    </row>
    <row r="270" spans="3:3" x14ac:dyDescent="0.25">
      <c r="C270">
        <f>_xlfn.ISOWEEKNUM(A1)</f>
        <v>52</v>
      </c>
    </row>
    <row r="271" spans="3:3" x14ac:dyDescent="0.25">
      <c r="C271">
        <f>ISPMT(A1,A1,A1,A1)</f>
        <v>0</v>
      </c>
    </row>
    <row r="272" spans="3:3" x14ac:dyDescent="0.25">
      <c r="C272" t="b">
        <f>ISREF(A1)</f>
        <v>1</v>
      </c>
    </row>
    <row r="273" spans="3:3" x14ac:dyDescent="0.25">
      <c r="C273" t="b">
        <f>ISTEXT(A1)</f>
        <v>0</v>
      </c>
    </row>
    <row r="274" spans="3:3" x14ac:dyDescent="0.25">
      <c r="C274" t="e">
        <f>KURT(A1)</f>
        <v>#DIV/0!</v>
      </c>
    </row>
    <row r="275" spans="3:3" x14ac:dyDescent="0.25">
      <c r="C275">
        <f>_xlfn.LAMBDA(_xlpm.x,_xlpm.x)(A1)</f>
        <v>1</v>
      </c>
    </row>
    <row r="276" spans="3:3" x14ac:dyDescent="0.25">
      <c r="C276">
        <f>LARGE(A1,A1)</f>
        <v>1</v>
      </c>
    </row>
    <row r="277" spans="3:3" x14ac:dyDescent="0.25">
      <c r="C277">
        <f>LCM(A1)</f>
        <v>1</v>
      </c>
    </row>
    <row r="278" spans="3:3" x14ac:dyDescent="0.25">
      <c r="C278" t="str">
        <f>LEFT(A1)</f>
        <v>1</v>
      </c>
    </row>
    <row r="279" spans="3:3" x14ac:dyDescent="0.25">
      <c r="C279" t="str">
        <f>LEFTB(A1)</f>
        <v>1</v>
      </c>
    </row>
    <row r="280" spans="3:3" x14ac:dyDescent="0.25">
      <c r="C280">
        <f>LEN(A1)</f>
        <v>1</v>
      </c>
    </row>
    <row r="281" spans="3:3" x14ac:dyDescent="0.25">
      <c r="C281">
        <f>LENB(A1)</f>
        <v>1</v>
      </c>
    </row>
    <row r="282" spans="3:3" x14ac:dyDescent="0.25">
      <c r="C282">
        <f>_xlfn.LET(_xlpm.x,A1,_xlpm.x)</f>
        <v>1</v>
      </c>
    </row>
    <row r="283" spans="3:3" x14ac:dyDescent="0.25">
      <c r="C283">
        <f>LINEST(A1)</f>
        <v>0</v>
      </c>
    </row>
    <row r="284" spans="3:3" x14ac:dyDescent="0.25">
      <c r="C284">
        <f>LN(A1)</f>
        <v>0</v>
      </c>
    </row>
    <row r="285" spans="3:3" x14ac:dyDescent="0.25">
      <c r="C285">
        <f>LOG(A1)</f>
        <v>0</v>
      </c>
    </row>
    <row r="286" spans="3:3" x14ac:dyDescent="0.25">
      <c r="C286">
        <f>LOG10(A1)</f>
        <v>0</v>
      </c>
    </row>
    <row r="287" spans="3:3" x14ac:dyDescent="0.25">
      <c r="C287">
        <f>LOGEST(A1)</f>
        <v>1</v>
      </c>
    </row>
    <row r="288" spans="3:3" x14ac:dyDescent="0.25">
      <c r="C288" t="e">
        <f>LOGINV(A1,A1,A1)</f>
        <v>#NUM!</v>
      </c>
    </row>
    <row r="289" spans="3:3" x14ac:dyDescent="0.25">
      <c r="C289">
        <f>_xlfn.LOGNORM.DIST(A1,A1,A1,A1)</f>
        <v>0.15865525393145699</v>
      </c>
    </row>
    <row r="290" spans="3:3" x14ac:dyDescent="0.25">
      <c r="C290" t="e">
        <f>_xlfn.LOGNORM.INV(A1,A1,A1)</f>
        <v>#NUM!</v>
      </c>
    </row>
    <row r="291" spans="3:3" x14ac:dyDescent="0.25">
      <c r="C291">
        <f>LOGNORMDIST(A1,A1,A1)</f>
        <v>0.15865525393145699</v>
      </c>
    </row>
    <row r="292" spans="3:3" x14ac:dyDescent="0.25">
      <c r="C292">
        <f>LOOKUP(A1,A1)</f>
        <v>1</v>
      </c>
    </row>
    <row r="293" spans="3:3" x14ac:dyDescent="0.25">
      <c r="C293" t="str">
        <f>LOWER(A1)</f>
        <v>1</v>
      </c>
    </row>
    <row r="294" spans="3:3" x14ac:dyDescent="0.25">
      <c r="C294" t="e">
        <f>_xlfn.MAKEARRAY(A1,A1,A1)</f>
        <v>#VALUE!</v>
      </c>
    </row>
    <row r="295" spans="3:3" x14ac:dyDescent="0.25">
      <c r="C295">
        <f>_xlfn.MAP(A1,_xlfn.LAMBDA(_xlpm.x,_xlpm.x))</f>
        <v>1</v>
      </c>
    </row>
    <row r="296" spans="3:3" x14ac:dyDescent="0.25">
      <c r="C296">
        <f>MATCH(A1,A1)</f>
        <v>1</v>
      </c>
    </row>
    <row r="297" spans="3:3" x14ac:dyDescent="0.25">
      <c r="C297">
        <f>MAX(A1)</f>
        <v>1</v>
      </c>
    </row>
    <row r="298" spans="3:3" x14ac:dyDescent="0.25">
      <c r="C298">
        <f>MAXA(A1)</f>
        <v>1</v>
      </c>
    </row>
    <row r="299" spans="3:3" x14ac:dyDescent="0.25">
      <c r="C299">
        <f>_xlfn.MAXIFS(A1,A1,A1)</f>
        <v>1</v>
      </c>
    </row>
    <row r="300" spans="3:3" x14ac:dyDescent="0.25">
      <c r="C300">
        <f>MDETERM(A1)</f>
        <v>1</v>
      </c>
    </row>
    <row r="301" spans="3:3" x14ac:dyDescent="0.25">
      <c r="C301" t="e">
        <f>MDURATION(A1,A1,A1,A1,A1)</f>
        <v>#NUM!</v>
      </c>
    </row>
    <row r="302" spans="3:3" x14ac:dyDescent="0.25">
      <c r="C302">
        <f>MEDIAN(A1)</f>
        <v>1</v>
      </c>
    </row>
    <row r="303" spans="3:3" x14ac:dyDescent="0.25">
      <c r="C303" t="str">
        <f>MID(A1,A1,A1)</f>
        <v>1</v>
      </c>
    </row>
    <row r="304" spans="3:3" x14ac:dyDescent="0.25">
      <c r="C304" t="str">
        <f>MIDB(A1,A1,A1)</f>
        <v>1</v>
      </c>
    </row>
    <row r="305" spans="3:3" x14ac:dyDescent="0.25">
      <c r="C305">
        <f>MIN(A1)</f>
        <v>1</v>
      </c>
    </row>
    <row r="306" spans="3:3" x14ac:dyDescent="0.25">
      <c r="C306">
        <f>MINA(A1)</f>
        <v>1</v>
      </c>
    </row>
    <row r="307" spans="3:3" x14ac:dyDescent="0.25">
      <c r="C307">
        <f>_xlfn.MINIFS(A1,A1,A1)</f>
        <v>1</v>
      </c>
    </row>
    <row r="308" spans="3:3" x14ac:dyDescent="0.25">
      <c r="C308">
        <f>MINUTE(A1)</f>
        <v>0</v>
      </c>
    </row>
    <row r="309" spans="3:3" x14ac:dyDescent="0.25">
      <c r="C309">
        <f>MINVERSE(A1)</f>
        <v>1</v>
      </c>
    </row>
    <row r="310" spans="3:3" x14ac:dyDescent="0.25">
      <c r="C310" s="4" t="e">
        <f>MIRR(A1,A1,A1)</f>
        <v>#DIV/0!</v>
      </c>
    </row>
    <row r="311" spans="3:3" x14ac:dyDescent="0.25">
      <c r="C311">
        <f>MMULT(A1,A1)</f>
        <v>1</v>
      </c>
    </row>
    <row r="312" spans="3:3" x14ac:dyDescent="0.25">
      <c r="C312">
        <f>MOD(A1,A1)</f>
        <v>0</v>
      </c>
    </row>
    <row r="313" spans="3:3" x14ac:dyDescent="0.25">
      <c r="C313" t="e">
        <f>MODE(A1)</f>
        <v>#N/A</v>
      </c>
    </row>
    <row r="314" spans="3:3" x14ac:dyDescent="0.25">
      <c r="C314" t="e">
        <f>_xlfn.MODE.MULT(A1)</f>
        <v>#N/A</v>
      </c>
    </row>
    <row r="315" spans="3:3" x14ac:dyDescent="0.25">
      <c r="C315" t="e">
        <f>_xlfn.MODE.SNGL(A1)</f>
        <v>#N/A</v>
      </c>
    </row>
    <row r="316" spans="3:3" x14ac:dyDescent="0.25">
      <c r="C316">
        <f>MONTH(A1)</f>
        <v>1</v>
      </c>
    </row>
    <row r="317" spans="3:3" x14ac:dyDescent="0.25">
      <c r="C317">
        <f>MROUND(A1,A1)</f>
        <v>1</v>
      </c>
    </row>
    <row r="318" spans="3:3" x14ac:dyDescent="0.25">
      <c r="C318">
        <f>MULTINOMIAL(A1)</f>
        <v>1</v>
      </c>
    </row>
    <row r="319" spans="3:3" x14ac:dyDescent="0.25">
      <c r="C319">
        <f>_xlfn.MUNIT(A1)</f>
        <v>1</v>
      </c>
    </row>
    <row r="320" spans="3:3" x14ac:dyDescent="0.25">
      <c r="C320">
        <f>N(A1)</f>
        <v>1</v>
      </c>
    </row>
    <row r="321" spans="3:3" x14ac:dyDescent="0.25">
      <c r="C321" t="e">
        <f>NA()</f>
        <v>#N/A</v>
      </c>
    </row>
    <row r="322" spans="3:3" x14ac:dyDescent="0.25">
      <c r="C322" t="e">
        <f>_xlfn.NEGBINOM.DIST(A1,A1,A1,A1)</f>
        <v>#NUM!</v>
      </c>
    </row>
    <row r="323" spans="3:3" x14ac:dyDescent="0.25">
      <c r="C323" t="e">
        <f>NEGBINOMDIST(A1,A1,A1)</f>
        <v>#NUM!</v>
      </c>
    </row>
    <row r="324" spans="3:3" x14ac:dyDescent="0.25">
      <c r="C324">
        <f>NETWORKDAYS(A1,A1)</f>
        <v>0</v>
      </c>
    </row>
    <row r="325" spans="3:3" x14ac:dyDescent="0.25">
      <c r="C325">
        <f>NETWORKDAYS.INTL(A1,A1)</f>
        <v>0</v>
      </c>
    </row>
    <row r="326" spans="3:3" x14ac:dyDescent="0.25">
      <c r="C326">
        <f>NOMINAL(A1,A1)</f>
        <v>1</v>
      </c>
    </row>
    <row r="327" spans="3:3" x14ac:dyDescent="0.25">
      <c r="C327">
        <f>_xlfn.NORM.DIST(A1,A1,A1,A1)</f>
        <v>0.5</v>
      </c>
    </row>
    <row r="328" spans="3:3" x14ac:dyDescent="0.25">
      <c r="C328" t="e">
        <f>_xlfn.NORM.INV(A1,A1,A1)</f>
        <v>#NUM!</v>
      </c>
    </row>
    <row r="329" spans="3:3" x14ac:dyDescent="0.25">
      <c r="C329">
        <f>_xlfn.NORM.S.DIST(A1,A1)</f>
        <v>0.84134474606854304</v>
      </c>
    </row>
    <row r="330" spans="3:3" x14ac:dyDescent="0.25">
      <c r="C330" t="e">
        <f>_xlfn.NORM.S.INV(A1)</f>
        <v>#NUM!</v>
      </c>
    </row>
    <row r="331" spans="3:3" x14ac:dyDescent="0.25">
      <c r="C331">
        <f>NORMDIST(A1,A1,A1,A1)</f>
        <v>0.5</v>
      </c>
    </row>
    <row r="332" spans="3:3" x14ac:dyDescent="0.25">
      <c r="C332" t="e">
        <f>NORMINV(A1,A1,A1)</f>
        <v>#NUM!</v>
      </c>
    </row>
    <row r="333" spans="3:3" x14ac:dyDescent="0.25">
      <c r="C333">
        <f>NORMSDIST(A1)</f>
        <v>0.84134474606854304</v>
      </c>
    </row>
    <row r="334" spans="3:3" x14ac:dyDescent="0.25">
      <c r="C334" t="e">
        <f>NORMSINV(A1)</f>
        <v>#NUM!</v>
      </c>
    </row>
    <row r="335" spans="3:3" x14ac:dyDescent="0.25">
      <c r="C335" t="b">
        <f>NOT(A1)</f>
        <v>0</v>
      </c>
    </row>
    <row r="336" spans="3:3" x14ac:dyDescent="0.25">
      <c r="C336" s="5">
        <f ca="1">NOW()</f>
        <v>46288.641477083336</v>
      </c>
    </row>
    <row r="337" spans="3:3" x14ac:dyDescent="0.25">
      <c r="C337">
        <f>NPER(A1,A1,A1)</f>
        <v>-1</v>
      </c>
    </row>
    <row r="338" spans="3:3" x14ac:dyDescent="0.25">
      <c r="C338" s="2">
        <f>NPV(A1,A1)</f>
        <v>0.5</v>
      </c>
    </row>
    <row r="339" spans="3:3" x14ac:dyDescent="0.25">
      <c r="C339">
        <f>_xlfn.NUMBERVALUE(A1)</f>
        <v>1</v>
      </c>
    </row>
    <row r="340" spans="3:3" x14ac:dyDescent="0.25">
      <c r="C340" t="str">
        <f>OCT2BIN(A1)</f>
        <v>1</v>
      </c>
    </row>
    <row r="341" spans="3:3" x14ac:dyDescent="0.25">
      <c r="C341">
        <f>OCT2DEC(A1)</f>
        <v>1</v>
      </c>
    </row>
    <row r="342" spans="3:3" x14ac:dyDescent="0.25">
      <c r="C342" t="str">
        <f>OCT2HEX(A1)</f>
        <v>1</v>
      </c>
    </row>
    <row r="343" spans="3:3" x14ac:dyDescent="0.25">
      <c r="C343">
        <f>ODD(A1)</f>
        <v>1</v>
      </c>
    </row>
    <row r="348" spans="3:3" x14ac:dyDescent="0.25">
      <c r="C348">
        <f ca="1">OFFSET(A1,A1,A1)</f>
        <v>0</v>
      </c>
    </row>
    <row r="349" spans="3:3" x14ac:dyDescent="0.25">
      <c r="C349" t="b">
        <f>OR(A1)</f>
        <v>1</v>
      </c>
    </row>
    <row r="350" spans="3:3" x14ac:dyDescent="0.25">
      <c r="C350">
        <f>_xlfn.PDURATION(A1,A1,A1)</f>
        <v>0</v>
      </c>
    </row>
    <row r="351" spans="3:3" x14ac:dyDescent="0.25">
      <c r="C351" t="e">
        <f>PEARSON(A1,A1)</f>
        <v>#DIV/0!</v>
      </c>
    </row>
    <row r="352" spans="3:3" x14ac:dyDescent="0.25">
      <c r="C352">
        <f>PERCENTILE(A1,A1)</f>
        <v>1</v>
      </c>
    </row>
    <row r="353" spans="3:3" x14ac:dyDescent="0.25">
      <c r="C353" t="e">
        <f>_xlfn.PERCENTILE.EXC(A1,A1)</f>
        <v>#NUM!</v>
      </c>
    </row>
    <row r="354" spans="3:3" x14ac:dyDescent="0.25">
      <c r="C354">
        <f>_xlfn.PERCENTILE.INC(A1,A1)</f>
        <v>1</v>
      </c>
    </row>
    <row r="355" spans="3:3" x14ac:dyDescent="0.25">
      <c r="C355">
        <f>_xlfn.PERCENTOF(A1,A1)</f>
        <v>1</v>
      </c>
    </row>
    <row r="356" spans="3:3" x14ac:dyDescent="0.25">
      <c r="C356">
        <f>PERCENTRANK(A1,A1)</f>
        <v>1</v>
      </c>
    </row>
    <row r="357" spans="3:3" x14ac:dyDescent="0.25">
      <c r="C357">
        <f>_xlfn.PERCENTRANK.EXC(A1,A1)</f>
        <v>1</v>
      </c>
    </row>
    <row r="358" spans="3:3" x14ac:dyDescent="0.25">
      <c r="C358">
        <f>_xlfn.PERCENTRANK.INC(A1,A1)</f>
        <v>1</v>
      </c>
    </row>
    <row r="359" spans="3:3" x14ac:dyDescent="0.25">
      <c r="C359">
        <f>PERMUT(A1,A1)</f>
        <v>1</v>
      </c>
    </row>
    <row r="360" spans="3:3" x14ac:dyDescent="0.25">
      <c r="C360">
        <f>_xlfn.PERMUTATIONA(A1,A1)</f>
        <v>1</v>
      </c>
    </row>
    <row r="361" spans="3:3" x14ac:dyDescent="0.25">
      <c r="C361">
        <f>_xlfn.PHI(A1)</f>
        <v>0.24197072451914337</v>
      </c>
    </row>
    <row r="362" spans="3:3" x14ac:dyDescent="0.25">
      <c r="C362" t="e">
        <f>PHONETIC(A1)</f>
        <v>#N/A</v>
      </c>
    </row>
    <row r="363" spans="3:3" x14ac:dyDescent="0.25">
      <c r="C363">
        <f>PI()</f>
        <v>3.1415926535897931</v>
      </c>
    </row>
    <row r="364" spans="3:3" x14ac:dyDescent="0.25">
      <c r="C364" t="e" vm="3">
        <f>_xlfn.PIVOTBY(A1,A1,A1,A1)</f>
        <v>#VALUE!</v>
      </c>
    </row>
    <row r="365" spans="3:3" x14ac:dyDescent="0.25">
      <c r="C365" s="2">
        <f>PMT(A1,A1,A1)</f>
        <v>-2</v>
      </c>
    </row>
    <row r="366" spans="3:3" x14ac:dyDescent="0.25">
      <c r="C366">
        <f>POISSON(A1,A1,A1)</f>
        <v>0.73575888234288478</v>
      </c>
    </row>
    <row r="367" spans="3:3" x14ac:dyDescent="0.25">
      <c r="C367">
        <f>_xlfn.POISSON.DIST(A1,A1,A1)</f>
        <v>0.73575888234288478</v>
      </c>
    </row>
    <row r="368" spans="3:3" x14ac:dyDescent="0.25">
      <c r="C368">
        <f>POWER(A1,A1)</f>
        <v>1</v>
      </c>
    </row>
    <row r="369" spans="3:3" x14ac:dyDescent="0.25">
      <c r="C369" s="2">
        <f>PPMT(A1,A1,A1,A1)</f>
        <v>-1</v>
      </c>
    </row>
    <row r="370" spans="3:3" x14ac:dyDescent="0.25">
      <c r="C370" t="e">
        <f>PRICE(A1,A1,A1,A1,A1,A1)</f>
        <v>#NUM!</v>
      </c>
    </row>
    <row r="371" spans="3:3" x14ac:dyDescent="0.25">
      <c r="C371" t="e">
        <f>PRICEDISC(A1,A1,A1,A1)</f>
        <v>#NUM!</v>
      </c>
    </row>
    <row r="372" spans="3:3" x14ac:dyDescent="0.25">
      <c r="C372" t="e">
        <f>PRICEMAT(A1,A1,A1,A1,A1)</f>
        <v>#NUM!</v>
      </c>
    </row>
    <row r="373" spans="3:3" x14ac:dyDescent="0.25">
      <c r="C373">
        <f>PROB(A1,A1,A1)</f>
        <v>1</v>
      </c>
    </row>
    <row r="374" spans="3:3" x14ac:dyDescent="0.25">
      <c r="C374">
        <f>PRODUCT(A1)</f>
        <v>1</v>
      </c>
    </row>
    <row r="375" spans="3:3" x14ac:dyDescent="0.25">
      <c r="C375" t="str">
        <f>PROPER(A1)</f>
        <v>1</v>
      </c>
    </row>
    <row r="376" spans="3:3" x14ac:dyDescent="0.25">
      <c r="C376" s="2">
        <f>PV(A1,A1,A1)</f>
        <v>-0.5</v>
      </c>
    </row>
    <row r="378" spans="3:3" x14ac:dyDescent="0.25">
      <c r="C378">
        <f>QUARTILE(A1,A1)</f>
        <v>1</v>
      </c>
    </row>
    <row r="379" spans="3:3" x14ac:dyDescent="0.25">
      <c r="C379" t="e">
        <f>_xlfn.QUARTILE.EXC(A1,A1)</f>
        <v>#NUM!</v>
      </c>
    </row>
    <row r="380" spans="3:3" x14ac:dyDescent="0.25">
      <c r="C380">
        <f>_xlfn.QUARTILE.INC(A1,A1)</f>
        <v>1</v>
      </c>
    </row>
    <row r="381" spans="3:3" x14ac:dyDescent="0.25">
      <c r="C381">
        <f>QUOTIENT(A1,A1)</f>
        <v>1</v>
      </c>
    </row>
    <row r="382" spans="3:3" x14ac:dyDescent="0.25">
      <c r="C382">
        <f>RADIANS(A1)</f>
        <v>1.7453292519943295E-2</v>
      </c>
    </row>
    <row r="383" spans="3:3" x14ac:dyDescent="0.25">
      <c r="C383">
        <f ca="1">RAND()</f>
        <v>0.30804821842897712</v>
      </c>
    </row>
    <row r="384" spans="3:3" x14ac:dyDescent="0.25">
      <c r="C384">
        <f ca="1">_xlfn.RANDARRAY()</f>
        <v>0.13617788214369897</v>
      </c>
    </row>
    <row r="385" spans="3:3" x14ac:dyDescent="0.25">
      <c r="C385">
        <f ca="1">RANDBETWEEN(A1,A1)</f>
        <v>1</v>
      </c>
    </row>
    <row r="386" spans="3:3" x14ac:dyDescent="0.25">
      <c r="C386">
        <f>RANK(A1,A1)</f>
        <v>1</v>
      </c>
    </row>
    <row r="387" spans="3:3" x14ac:dyDescent="0.25">
      <c r="C387">
        <f>_xlfn.RANK.AVG(A1,A1)</f>
        <v>1</v>
      </c>
    </row>
    <row r="388" spans="3:3" x14ac:dyDescent="0.25">
      <c r="C388">
        <f>_xlfn.RANK.EQ(A1,A1)</f>
        <v>1</v>
      </c>
    </row>
    <row r="389" spans="3:3" x14ac:dyDescent="0.25">
      <c r="C389" s="4" t="e">
        <f>RATE(A1,A1,A1)</f>
        <v>#NUM!</v>
      </c>
    </row>
    <row r="390" spans="3:3" x14ac:dyDescent="0.25">
      <c r="C390" t="e">
        <f>RECEIVED(A1,A1,A1,A1)</f>
        <v>#NUM!</v>
      </c>
    </row>
    <row r="391" spans="3:3" x14ac:dyDescent="0.25">
      <c r="C391" t="e">
        <f>_xlfn.REDUCE(A1,A1,A1)</f>
        <v>#VALUE!</v>
      </c>
    </row>
    <row r="392" spans="3:3" x14ac:dyDescent="0.25">
      <c r="C392" t="str">
        <f>_xlfn.REGEXEXTRACT(A1,A1)</f>
        <v>1</v>
      </c>
    </row>
    <row r="393" spans="3:3" x14ac:dyDescent="0.25">
      <c r="C393" t="str">
        <f>_xlfn.REGEXREPLACE(A1,A1,A1)</f>
        <v>1</v>
      </c>
    </row>
    <row r="394" spans="3:3" x14ac:dyDescent="0.25">
      <c r="C394" t="b">
        <f>_xlfn.REGEXTEST(A1,A1)</f>
        <v>1</v>
      </c>
    </row>
    <row r="396" spans="3:3" x14ac:dyDescent="0.25">
      <c r="C396" t="str">
        <f>REPLACE(A1,A1,A1,A1)</f>
        <v>1</v>
      </c>
    </row>
    <row r="397" spans="3:3" x14ac:dyDescent="0.25">
      <c r="C397" t="str">
        <f>REPLACEB(A1,A1,A1,A1)</f>
        <v>1</v>
      </c>
    </row>
    <row r="398" spans="3:3" x14ac:dyDescent="0.25">
      <c r="C398" t="str">
        <f>REPT(A1,A1)</f>
        <v>1</v>
      </c>
    </row>
    <row r="399" spans="3:3" x14ac:dyDescent="0.25">
      <c r="C399" t="str">
        <f>RIGHT(A1)</f>
        <v>1</v>
      </c>
    </row>
    <row r="400" spans="3:3" x14ac:dyDescent="0.25">
      <c r="C400" t="str">
        <f>RIGHTB(A1)</f>
        <v>1</v>
      </c>
    </row>
    <row r="401" spans="3:3" x14ac:dyDescent="0.25">
      <c r="C401" t="str">
        <f>ROMAN(A1)</f>
        <v>I</v>
      </c>
    </row>
    <row r="402" spans="3:3" x14ac:dyDescent="0.25">
      <c r="C402">
        <f>ROUND(A1,A1)</f>
        <v>1</v>
      </c>
    </row>
    <row r="403" spans="3:3" x14ac:dyDescent="0.25">
      <c r="C403">
        <f>ROUNDDOWN(A1,A1)</f>
        <v>1</v>
      </c>
    </row>
    <row r="404" spans="3:3" x14ac:dyDescent="0.25">
      <c r="C404">
        <f>ROUNDUP(A1,A1)</f>
        <v>1</v>
      </c>
    </row>
    <row r="405" spans="3:3" x14ac:dyDescent="0.25">
      <c r="C405">
        <f>ROW()</f>
        <v>405</v>
      </c>
    </row>
    <row r="406" spans="3:3" x14ac:dyDescent="0.25">
      <c r="C406">
        <f>ROWS(A1)</f>
        <v>1</v>
      </c>
    </row>
    <row r="407" spans="3:3" x14ac:dyDescent="0.25">
      <c r="C407">
        <f>_xlfn.RRI(A1,A1,A1)</f>
        <v>0</v>
      </c>
    </row>
    <row r="408" spans="3:3" x14ac:dyDescent="0.25">
      <c r="C408" t="e">
        <f>RSQ(A1,A1)</f>
        <v>#DIV/0!</v>
      </c>
    </row>
    <row r="409" spans="3:3" x14ac:dyDescent="0.25">
      <c r="C409" t="e">
        <f>RTD(A1,A1,A1)</f>
        <v>#N/A</v>
      </c>
    </row>
    <row r="410" spans="3:3" x14ac:dyDescent="0.25">
      <c r="C410" t="e">
        <f>_xlfn.SCAN(A1,A1,A1)</f>
        <v>#VALUE!</v>
      </c>
    </row>
    <row r="411" spans="3:3" x14ac:dyDescent="0.25">
      <c r="C411">
        <f>SEARCH(A1,A1)</f>
        <v>1</v>
      </c>
    </row>
    <row r="412" spans="3:3" x14ac:dyDescent="0.25">
      <c r="C412">
        <f>SEARCHB(A1,A1)</f>
        <v>1</v>
      </c>
    </row>
    <row r="413" spans="3:3" x14ac:dyDescent="0.25">
      <c r="C413">
        <f>_xlfn.SEC(A1)</f>
        <v>1.8508157176809255</v>
      </c>
    </row>
    <row r="414" spans="3:3" x14ac:dyDescent="0.25">
      <c r="C414">
        <f>_xlfn.SECH(A1)</f>
        <v>0.64805427366388546</v>
      </c>
    </row>
    <row r="415" spans="3:3" x14ac:dyDescent="0.25">
      <c r="C415">
        <f>SECOND(A1)</f>
        <v>0</v>
      </c>
    </row>
    <row r="416" spans="3:3" x14ac:dyDescent="0.25">
      <c r="C416">
        <f>_xlfn.SEQUENCE(A1)</f>
        <v>1</v>
      </c>
    </row>
    <row r="417" spans="3:3" x14ac:dyDescent="0.25">
      <c r="C417">
        <f>SERIESSUM(A1,A1,A1,A1)</f>
        <v>1</v>
      </c>
    </row>
    <row r="418" spans="3:3" x14ac:dyDescent="0.25">
      <c r="C418">
        <f ca="1">_xlfn.SHEET()</f>
        <v>1</v>
      </c>
    </row>
    <row r="419" spans="3:3" x14ac:dyDescent="0.25">
      <c r="C419">
        <f ca="1">_xlfn.SHEETS()</f>
        <v>1</v>
      </c>
    </row>
    <row r="420" spans="3:3" x14ac:dyDescent="0.25">
      <c r="C420">
        <f>SIGN(A1)</f>
        <v>1</v>
      </c>
    </row>
    <row r="421" spans="3:3" x14ac:dyDescent="0.25">
      <c r="C421">
        <f>SIN(A1)</f>
        <v>0.8414709848078965</v>
      </c>
    </row>
    <row r="422" spans="3:3" x14ac:dyDescent="0.25">
      <c r="C422">
        <f>_xlfn.SINGLE(A1)</f>
        <v>1</v>
      </c>
    </row>
    <row r="423" spans="3:3" x14ac:dyDescent="0.25">
      <c r="C423">
        <f>SINH(A1)</f>
        <v>1.1752011936438014</v>
      </c>
    </row>
    <row r="424" spans="3:3" x14ac:dyDescent="0.25">
      <c r="C424" t="e">
        <f>SKEW(A1)</f>
        <v>#DIV/0!</v>
      </c>
    </row>
    <row r="425" spans="3:3" x14ac:dyDescent="0.25">
      <c r="C425" t="e">
        <f>_xlfn.SKEW.P(A1)</f>
        <v>#DIV/0!</v>
      </c>
    </row>
    <row r="426" spans="3:3" x14ac:dyDescent="0.25">
      <c r="C426" s="2">
        <f>SLN(A1,A1,A1)</f>
        <v>0</v>
      </c>
    </row>
    <row r="427" spans="3:3" x14ac:dyDescent="0.25">
      <c r="C427" t="e">
        <f>SLOPE(A1,A1)</f>
        <v>#DIV/0!</v>
      </c>
    </row>
    <row r="428" spans="3:3" x14ac:dyDescent="0.25">
      <c r="C428">
        <f>SMALL(A1,A1)</f>
        <v>1</v>
      </c>
    </row>
    <row r="429" spans="3:3" x14ac:dyDescent="0.25">
      <c r="C429">
        <f>_xlfn._xlws.SORT(A1)</f>
        <v>1</v>
      </c>
    </row>
    <row r="430" spans="3:3" x14ac:dyDescent="0.25">
      <c r="C430">
        <f>_xlfn.SORTBY(A1,A1)</f>
        <v>1</v>
      </c>
    </row>
    <row r="431" spans="3:3" x14ac:dyDescent="0.25">
      <c r="C431">
        <f>SQRT(A1)</f>
        <v>1</v>
      </c>
    </row>
    <row r="432" spans="3:3" x14ac:dyDescent="0.25">
      <c r="C432">
        <f>SQRTPI(A1)</f>
        <v>1.7724538509055159</v>
      </c>
    </row>
    <row r="433" spans="3:3" x14ac:dyDescent="0.25">
      <c r="C433">
        <f>STANDARDIZE(A1,A1,A1)</f>
        <v>0</v>
      </c>
    </row>
    <row r="434" spans="3:3" x14ac:dyDescent="0.25">
      <c r="C434" t="e">
        <f>STDEV(A1)</f>
        <v>#DIV/0!</v>
      </c>
    </row>
    <row r="435" spans="3:3" x14ac:dyDescent="0.25">
      <c r="C435">
        <f>_xlfn.STDEV.P(A1)</f>
        <v>0</v>
      </c>
    </row>
    <row r="436" spans="3:3" x14ac:dyDescent="0.25">
      <c r="C436" t="e">
        <f>_xlfn.STDEV.S(A1)</f>
        <v>#DIV/0!</v>
      </c>
    </row>
    <row r="437" spans="3:3" x14ac:dyDescent="0.25">
      <c r="C437" t="e">
        <f>STDEVA(A1)</f>
        <v>#DIV/0!</v>
      </c>
    </row>
    <row r="438" spans="3:3" x14ac:dyDescent="0.25">
      <c r="C438">
        <f>STDEVP(A1)</f>
        <v>0</v>
      </c>
    </row>
    <row r="439" spans="3:3" x14ac:dyDescent="0.25">
      <c r="C439">
        <f>STDEVPA(A1)</f>
        <v>0</v>
      </c>
    </row>
    <row r="440" spans="3:3" x14ac:dyDescent="0.25">
      <c r="C440" t="e">
        <f>STEYX(A1,A1)</f>
        <v>#DIV/0!</v>
      </c>
    </row>
    <row r="441" spans="3:3" x14ac:dyDescent="0.25">
      <c r="C441" t="e" vm="5">
        <f>_xlfn.STOCKHISTORY(A1,A1)</f>
        <v>#VALUE!</v>
      </c>
    </row>
    <row r="442" spans="3:3" x14ac:dyDescent="0.25">
      <c r="C442" t="str">
        <f>SUBSTITUTE(A1,A1,A1)</f>
        <v>1</v>
      </c>
    </row>
    <row r="443" spans="3:3" x14ac:dyDescent="0.25">
      <c r="C443">
        <f>SUBTOTAL(A1,A1)</f>
        <v>1</v>
      </c>
    </row>
    <row r="444" spans="3:3" x14ac:dyDescent="0.25">
      <c r="C444">
        <f>SUM(A1)</f>
        <v>1</v>
      </c>
    </row>
    <row r="445" spans="3:3" x14ac:dyDescent="0.25">
      <c r="C445">
        <f>SUMIF(A1,A1)</f>
        <v>1</v>
      </c>
    </row>
    <row r="446" spans="3:3" x14ac:dyDescent="0.25">
      <c r="C446">
        <f>SUMIFS(A1,A1,A1)</f>
        <v>1</v>
      </c>
    </row>
    <row r="447" spans="3:3" x14ac:dyDescent="0.25">
      <c r="C447">
        <f>SUMPRODUCT(A1)</f>
        <v>1</v>
      </c>
    </row>
    <row r="448" spans="3:3" x14ac:dyDescent="0.25">
      <c r="C448">
        <f>SUMSQ(A1)</f>
        <v>1</v>
      </c>
    </row>
    <row r="449" spans="3:3" x14ac:dyDescent="0.25">
      <c r="C449">
        <f>SUMX2MY2(A1,A1)</f>
        <v>0</v>
      </c>
    </row>
    <row r="450" spans="3:3" x14ac:dyDescent="0.25">
      <c r="C450">
        <f>SUMX2PY2(A1,A1)</f>
        <v>2</v>
      </c>
    </row>
    <row r="451" spans="3:3" x14ac:dyDescent="0.25">
      <c r="C451">
        <f>SUMXMY2(A1,A1)</f>
        <v>0</v>
      </c>
    </row>
    <row r="452" spans="3:3" x14ac:dyDescent="0.25">
      <c r="C452">
        <f>_xlfn.SWITCH(A1,A1,A1)</f>
        <v>1</v>
      </c>
    </row>
    <row r="453" spans="3:3" x14ac:dyDescent="0.25">
      <c r="C453" s="2">
        <f>SYD(A1,A1,A1,A1)</f>
        <v>0</v>
      </c>
    </row>
    <row r="454" spans="3:3" x14ac:dyDescent="0.25">
      <c r="C454" t="str">
        <f>T(A1)</f>
        <v/>
      </c>
    </row>
    <row r="455" spans="3:3" x14ac:dyDescent="0.25">
      <c r="C455">
        <f>_xlfn.T.DIST(A1,A1,A1)</f>
        <v>0.75</v>
      </c>
    </row>
    <row r="456" spans="3:3" x14ac:dyDescent="0.25">
      <c r="C456">
        <f>_xlfn.T.DIST.2T(A1,A1)</f>
        <v>0.50000000000000011</v>
      </c>
    </row>
    <row r="457" spans="3:3" x14ac:dyDescent="0.25">
      <c r="C457">
        <f>_xlfn.T.DIST.RT(A1,A1)</f>
        <v>0.25000000000000006</v>
      </c>
    </row>
    <row r="458" spans="3:3" x14ac:dyDescent="0.25">
      <c r="C458" t="e">
        <f>_xlfn.T.INV(A1,A1)</f>
        <v>#NUM!</v>
      </c>
    </row>
    <row r="459" spans="3:3" x14ac:dyDescent="0.25">
      <c r="C459">
        <f>_xlfn.T.INV.2T(A1,A1)</f>
        <v>0</v>
      </c>
    </row>
    <row r="460" spans="3:3" x14ac:dyDescent="0.25">
      <c r="C460" t="e">
        <f>_xlfn.T.TEST(A1,A1,A1,A1)</f>
        <v>#DIV/0!</v>
      </c>
    </row>
    <row r="461" spans="3:3" x14ac:dyDescent="0.25">
      <c r="C461">
        <f>_xlfn.TAKE(A1,A1)</f>
        <v>1</v>
      </c>
    </row>
    <row r="462" spans="3:3" x14ac:dyDescent="0.25">
      <c r="C462">
        <f>TAN(A1)</f>
        <v>1.5574077246549023</v>
      </c>
    </row>
    <row r="463" spans="3:3" x14ac:dyDescent="0.25">
      <c r="C463">
        <f>TANH(A1)</f>
        <v>0.76159415595576485</v>
      </c>
    </row>
    <row r="464" spans="3:3" x14ac:dyDescent="0.25">
      <c r="C464" t="e">
        <f>TBILLEQ(A1,A1,A1)</f>
        <v>#NUM!</v>
      </c>
    </row>
    <row r="465" spans="3:3" x14ac:dyDescent="0.25">
      <c r="C465" t="e">
        <f>TBILLPRICE(A1,A1,A1)</f>
        <v>#NUM!</v>
      </c>
    </row>
    <row r="466" spans="3:3" x14ac:dyDescent="0.25">
      <c r="C466" t="e">
        <f>TBILLYIELD(A1,A1,A1)</f>
        <v>#NUM!</v>
      </c>
    </row>
    <row r="467" spans="3:3" x14ac:dyDescent="0.25">
      <c r="C467">
        <f>TDIST(A1,A1,A1)</f>
        <v>0.25000000000000006</v>
      </c>
    </row>
    <row r="468" spans="3:3" x14ac:dyDescent="0.25">
      <c r="C468" t="str">
        <f>TEXT(A1,A1)</f>
        <v>1</v>
      </c>
    </row>
    <row r="469" spans="3:3" x14ac:dyDescent="0.25">
      <c r="C469" t="str">
        <f>_xlfn.TEXTAFTER(A1,A1)</f>
        <v/>
      </c>
    </row>
    <row r="470" spans="3:3" x14ac:dyDescent="0.25">
      <c r="C470" t="str">
        <f>_xlfn.TEXTBEFORE(A1,A1)</f>
        <v/>
      </c>
    </row>
    <row r="471" spans="3:3" x14ac:dyDescent="0.25">
      <c r="C471" t="str">
        <f>_xlfn.TEXTJOIN(A1,A1,A1)</f>
        <v>1</v>
      </c>
    </row>
    <row r="472" spans="3:3" x14ac:dyDescent="0.25">
      <c r="C472" t="str">
        <f>_xlfn.TEXTSPLIT(A1,A1)</f>
        <v/>
      </c>
    </row>
    <row r="473" spans="3:3" x14ac:dyDescent="0.25">
      <c r="C473" s="6">
        <f>TIME(A1,A1,A1)</f>
        <v>4.2372685185185187E-2</v>
      </c>
    </row>
    <row r="474" spans="3:3" x14ac:dyDescent="0.25">
      <c r="C474" t="e">
        <f>TIMEVALUE(A1)</f>
        <v>#VALUE!</v>
      </c>
    </row>
    <row r="475" spans="3:3" x14ac:dyDescent="0.25">
      <c r="C475">
        <f>TINV(A1,A1)</f>
        <v>0</v>
      </c>
    </row>
    <row r="476" spans="3:3" x14ac:dyDescent="0.25">
      <c r="C476">
        <f>_xlfn.TOCOL(A1)</f>
        <v>1</v>
      </c>
    </row>
    <row r="477" spans="3:3" x14ac:dyDescent="0.25">
      <c r="C477" s="1">
        <f ca="1">TODAY()</f>
        <v>46288</v>
      </c>
    </row>
    <row r="478" spans="3:3" x14ac:dyDescent="0.25">
      <c r="C478">
        <f>_xlfn.TOROW(A1)</f>
        <v>1</v>
      </c>
    </row>
    <row r="479" spans="3:3" x14ac:dyDescent="0.25">
      <c r="C479">
        <f ca="1">_xlfn.TRANSLATE(A1)</f>
        <v>0</v>
      </c>
    </row>
    <row r="480" spans="3:3" x14ac:dyDescent="0.25">
      <c r="C480">
        <f>TRANSPOSE(A1)</f>
        <v>1</v>
      </c>
    </row>
    <row r="481" spans="3:3" x14ac:dyDescent="0.25">
      <c r="C481">
        <f>TREND(A1)</f>
        <v>1</v>
      </c>
    </row>
    <row r="482" spans="3:3" x14ac:dyDescent="0.25">
      <c r="C482" t="str">
        <f>TRIM(A1)</f>
        <v>1</v>
      </c>
    </row>
    <row r="483" spans="3:3" x14ac:dyDescent="0.25">
      <c r="C483" t="e">
        <f>TRIMMEAN(A1,A1)</f>
        <v>#NUM!</v>
      </c>
    </row>
    <row r="484" spans="3:3" x14ac:dyDescent="0.25">
      <c r="C484">
        <f>_xlfn.TRIMRANGE(A1)</f>
        <v>1</v>
      </c>
    </row>
    <row r="485" spans="3:3" x14ac:dyDescent="0.25">
      <c r="C485" t="b">
        <f>TRUE()</f>
        <v>1</v>
      </c>
    </row>
    <row r="486" spans="3:3" x14ac:dyDescent="0.25">
      <c r="C486">
        <f>TRUNC(A1)</f>
        <v>1</v>
      </c>
    </row>
    <row r="487" spans="3:3" x14ac:dyDescent="0.25">
      <c r="C487" t="e">
        <f>TTEST(A1,A1,A1,A1)</f>
        <v>#DIV/0!</v>
      </c>
    </row>
    <row r="488" spans="3:3" x14ac:dyDescent="0.25">
      <c r="C488">
        <f>TYPE(A1)</f>
        <v>1</v>
      </c>
    </row>
    <row r="489" spans="3:3" x14ac:dyDescent="0.25">
      <c r="C489" t="str">
        <f>_xlfn.UNICHAR(A1)</f>
        <v>_x0001_</v>
      </c>
    </row>
    <row r="490" spans="3:3" x14ac:dyDescent="0.25">
      <c r="C490">
        <f>_xlfn.UNICODE(A1)</f>
        <v>49</v>
      </c>
    </row>
    <row r="491" spans="3:3" x14ac:dyDescent="0.25">
      <c r="C491">
        <f>_xlfn.UNIQUE(A1)</f>
        <v>1</v>
      </c>
    </row>
    <row r="492" spans="3:3" x14ac:dyDescent="0.25">
      <c r="C492" t="str">
        <f>UPPER(A1)</f>
        <v>1</v>
      </c>
    </row>
    <row r="493" spans="3:3" x14ac:dyDescent="0.25">
      <c r="C493" t="str">
        <f>USDOLLAR(A1)</f>
        <v>$1.00</v>
      </c>
    </row>
    <row r="494" spans="3:3" x14ac:dyDescent="0.25">
      <c r="C494">
        <f>VALUE(A1)</f>
        <v>1</v>
      </c>
    </row>
    <row r="495" spans="3:3" x14ac:dyDescent="0.25">
      <c r="C495" t="str">
        <f>_xlfn.VALUETOTEXT(A1)</f>
        <v>1</v>
      </c>
    </row>
    <row r="496" spans="3:3" x14ac:dyDescent="0.25">
      <c r="C496" t="e">
        <f>VAR(A1)</f>
        <v>#DIV/0!</v>
      </c>
    </row>
    <row r="497" spans="3:3" x14ac:dyDescent="0.25">
      <c r="C497">
        <f>_xlfn.VAR.P(A1)</f>
        <v>0</v>
      </c>
    </row>
    <row r="498" spans="3:3" x14ac:dyDescent="0.25">
      <c r="C498" t="e">
        <f>_xlfn.VAR.S(A1)</f>
        <v>#DIV/0!</v>
      </c>
    </row>
    <row r="499" spans="3:3" x14ac:dyDescent="0.25">
      <c r="C499" t="e">
        <f>VARA(A1)</f>
        <v>#DIV/0!</v>
      </c>
    </row>
    <row r="500" spans="3:3" x14ac:dyDescent="0.25">
      <c r="C500">
        <f>VARP(A1)</f>
        <v>0</v>
      </c>
    </row>
    <row r="501" spans="3:3" x14ac:dyDescent="0.25">
      <c r="C501">
        <f>VARPA(A1)</f>
        <v>0</v>
      </c>
    </row>
    <row r="502" spans="3:3" x14ac:dyDescent="0.25">
      <c r="C502" s="2">
        <f>VDB(A1,A1,A1,A1,A1)</f>
        <v>0</v>
      </c>
    </row>
    <row r="503" spans="3:3" x14ac:dyDescent="0.25">
      <c r="C503">
        <f>VLOOKUP(A1,A1,A1)</f>
        <v>1</v>
      </c>
    </row>
    <row r="504" spans="3:3" x14ac:dyDescent="0.25">
      <c r="C504">
        <f>_xlfn.VSTACK(A1)</f>
        <v>1</v>
      </c>
    </row>
    <row r="505" spans="3:3" x14ac:dyDescent="0.25">
      <c r="C505" t="e">
        <f>_xlfn.WEBSERVICE(A1)</f>
        <v>#VALUE!</v>
      </c>
    </row>
    <row r="506" spans="3:3" x14ac:dyDescent="0.25">
      <c r="C506">
        <f>WEEKDAY(A1)</f>
        <v>1</v>
      </c>
    </row>
    <row r="507" spans="3:3" x14ac:dyDescent="0.25">
      <c r="C507">
        <f>WEEKNUM(A1)</f>
        <v>1</v>
      </c>
    </row>
    <row r="508" spans="3:3" x14ac:dyDescent="0.25">
      <c r="C508">
        <f>WEIBULL(A1,A1,A1,A1)</f>
        <v>0.63212055882855767</v>
      </c>
    </row>
    <row r="509" spans="3:3" x14ac:dyDescent="0.25">
      <c r="C509">
        <f>_xlfn.WEIBULL.DIST(A1,A1,A1,A1)</f>
        <v>0.63212055882855767</v>
      </c>
    </row>
    <row r="510" spans="3:3" x14ac:dyDescent="0.25">
      <c r="C510">
        <f>WORKDAY(A1,A1)</f>
        <v>2</v>
      </c>
    </row>
    <row r="511" spans="3:3" x14ac:dyDescent="0.25">
      <c r="C511">
        <f>WORKDAY.INTL(A1,A1)</f>
        <v>2</v>
      </c>
    </row>
    <row r="512" spans="3:3" x14ac:dyDescent="0.25">
      <c r="C512">
        <f>_xlfn.WRAPCOLS(A1,A1)</f>
        <v>1</v>
      </c>
    </row>
    <row r="513" spans="3:3" x14ac:dyDescent="0.25">
      <c r="C513">
        <f>_xlfn.WRAPROWS(A1,A1)</f>
        <v>1</v>
      </c>
    </row>
    <row r="514" spans="3:3" x14ac:dyDescent="0.25">
      <c r="C514" t="e">
        <f>XIRR(A1,A1)</f>
        <v>#N/A</v>
      </c>
    </row>
    <row r="515" spans="3:3" x14ac:dyDescent="0.25">
      <c r="C515">
        <f>_xlfn.XLOOKUP(A1,A1,A1)</f>
        <v>1</v>
      </c>
    </row>
    <row r="516" spans="3:3" x14ac:dyDescent="0.25">
      <c r="C516">
        <f>_xlfn.XMATCH(A1,A1)</f>
        <v>1</v>
      </c>
    </row>
    <row r="517" spans="3:3" x14ac:dyDescent="0.25">
      <c r="C517">
        <f>XNPV(A1,A1,A1)</f>
        <v>1</v>
      </c>
    </row>
    <row r="518" spans="3:3" x14ac:dyDescent="0.25">
      <c r="C518" t="b">
        <f>_xlfn.XOR(A1)</f>
        <v>1</v>
      </c>
    </row>
    <row r="519" spans="3:3" x14ac:dyDescent="0.25">
      <c r="C519">
        <f>YEAR(A1)</f>
        <v>1900</v>
      </c>
    </row>
    <row r="520" spans="3:3" x14ac:dyDescent="0.25">
      <c r="C520">
        <f>YEARFRAC(A1,A1)</f>
        <v>0</v>
      </c>
    </row>
    <row r="521" spans="3:3" x14ac:dyDescent="0.25">
      <c r="C521" t="e">
        <f>YIELD(A1,A1,A1,A1,A1,A1)</f>
        <v>#NUM!</v>
      </c>
    </row>
    <row r="522" spans="3:3" x14ac:dyDescent="0.25">
      <c r="C522" t="e">
        <f>YIELDDISC(A1,A1,A1,A1)</f>
        <v>#NUM!</v>
      </c>
    </row>
    <row r="523" spans="3:3" x14ac:dyDescent="0.25">
      <c r="C523" t="e">
        <f>YIELDMAT(A1,A1,A1,A1,A1)</f>
        <v>#NUM!</v>
      </c>
    </row>
    <row r="524" spans="3:3" x14ac:dyDescent="0.25">
      <c r="C524" t="e">
        <f>_xlfn.Z.TEST(A1,A1)</f>
        <v>#DIV/0!</v>
      </c>
    </row>
    <row r="525" spans="3:3" x14ac:dyDescent="0.25">
      <c r="C525" t="e">
        <f>ZTEST(A1,A1)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2026-09-23T22:23:40Z</dcterms:created>
  <dcterms:modified xsi:type="dcterms:W3CDTF">2026-09-23T22:23:43Z</dcterms:modified>
</cp:coreProperties>
</file>