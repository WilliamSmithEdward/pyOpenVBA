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odd-bonds\pyOpenVBA\.cache\"/>
    </mc:Choice>
  </mc:AlternateContent>
  <xr:revisionPtr revIDLastSave="0" documentId="8_{71E053B9-6B27-4863-8419-CA91308117AB}" xr6:coauthVersionLast="47" xr6:coauthVersionMax="47" xr10:uidLastSave="{00000000-0000-0000-0000-000000000000}"/>
  <bookViews>
    <workbookView xWindow="1950" yWindow="1950" windowWidth="7920" windowHeight="13995" xr2:uid="{04F59BDC-5A3C-495A-AA09-6EBD5412A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94" i="1" l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AF93-EED4-430C-8468-BFB4297FC1D0}">
  <sheetPr codeName="Sheet1"/>
  <dimension ref="A1:A194"/>
  <sheetViews>
    <sheetView tabSelected="1" workbookViewId="0"/>
  </sheetViews>
  <sheetFormatPr defaultRowHeight="15" x14ac:dyDescent="0.25"/>
  <sheetData>
    <row r="1" spans="1:1" x14ac:dyDescent="0.25">
      <c r="A1">
        <f>ODDFPRICE(DATE(2024,6,1),DATE(2028,6,30),DATE(2024,5,15),DATE(2024,6,30),0.05,0.06,100,1,0)</f>
        <v>96.482683532942119</v>
      </c>
    </row>
    <row r="2" spans="1:1" x14ac:dyDescent="0.25">
      <c r="A2">
        <f>ODDFYIELD(DATE(2024,6,1),DATE(2028,6,30),DATE(2024,5,15),DATE(2024,6,30),0.05,98,100,1,0)</f>
        <v>5.5638357771556339E-2</v>
      </c>
    </row>
    <row r="3" spans="1:1" x14ac:dyDescent="0.25">
      <c r="A3">
        <f>ODDFPRICE(DATE(2023,2,17),DATE(2028,6,30),DATE(2022,1,15),DATE(2024,6,30),0.05,0.06,100,1,0)</f>
        <v>89.348074430300372</v>
      </c>
    </row>
    <row r="4" spans="1:1" x14ac:dyDescent="0.25">
      <c r="A4">
        <f>ODDFYIELD(DATE(2023,2,17),DATE(2028,6,30),DATE(2022,1,15),DATE(2024,6,30),0.05,98,100,1,0)</f>
        <v>4.3829468839208699E-2</v>
      </c>
    </row>
    <row r="5" spans="1:1" x14ac:dyDescent="0.25">
      <c r="A5">
        <f>ODDLPRICE(DATE(2023,10,15),DATE(2023,11,15),DATE(2023,8,31),0.05,0.06,100,1,0)</f>
        <v>99.913971807628542</v>
      </c>
    </row>
    <row r="6" spans="1:1" x14ac:dyDescent="0.25">
      <c r="A6">
        <f>ODDLYIELD(DATE(2023,10,15),DATE(2023,11,15),DATE(2023,8,31),0.05,98,100,1,0)</f>
        <v>0.29404309252218058</v>
      </c>
    </row>
    <row r="7" spans="1:1" x14ac:dyDescent="0.25">
      <c r="A7">
        <f>ODDLPRICE(DATE(2023,10,15),DATE(2025,5,30),DATE(2023,8,31),0.05,0.06,100,1,0)</f>
        <v>98.448792894017629</v>
      </c>
    </row>
    <row r="8" spans="1:1" x14ac:dyDescent="0.25">
      <c r="A8">
        <f>ODDLYIELD(DATE(2023,10,15),DATE(2025,5,30),DATE(2023,8,31),0.05,98,100,1,0)</f>
        <v>6.3068557858264457E-2</v>
      </c>
    </row>
    <row r="9" spans="1:1" x14ac:dyDescent="0.25">
      <c r="A9">
        <f>ODDFPRICE(DATE(2024,6,1),DATE(2028,6,30),DATE(2024,5,15),DATE(2024,6,30),0.05,0.06,100,2,0)</f>
        <v>96.431544391486028</v>
      </c>
    </row>
    <row r="10" spans="1:1" x14ac:dyDescent="0.25">
      <c r="A10">
        <f>ODDFYIELD(DATE(2024,6,1),DATE(2028,6,30),DATE(2024,5,15),DATE(2024,6,30),0.05,98,100,2,0)</f>
        <v>5.5555319971593041E-2</v>
      </c>
    </row>
    <row r="11" spans="1:1" x14ac:dyDescent="0.25">
      <c r="A11">
        <f>ODDFPRICE(DATE(2023,2,17),DATE(2028,6,30),DATE(2022,1,15),DATE(2024,6,30),0.05,0.06,100,2,0)</f>
        <v>91.955647326913393</v>
      </c>
    </row>
    <row r="12" spans="1:1" x14ac:dyDescent="0.25">
      <c r="A12">
        <f>ODDFYIELD(DATE(2023,2,17),DATE(2028,6,30),DATE(2022,1,15),DATE(2024,6,30),0.05,98,100,2,0)</f>
        <v>4.795694011367399E-2</v>
      </c>
    </row>
    <row r="13" spans="1:1" x14ac:dyDescent="0.25">
      <c r="A13">
        <f>ODDLPRICE(DATE(2023,10,15),DATE(2023,11,15),DATE(2023,8,31),0.05,0.06,100,2,0)</f>
        <v>99.913971807628542</v>
      </c>
    </row>
    <row r="14" spans="1:1" x14ac:dyDescent="0.25">
      <c r="A14">
        <f>ODDLYIELD(DATE(2023,10,15),DATE(2023,11,15),DATE(2023,8,31),0.05,98,100,2,0)</f>
        <v>0.29404309252218058</v>
      </c>
    </row>
    <row r="15" spans="1:1" x14ac:dyDescent="0.25">
      <c r="A15">
        <f>ODDLPRICE(DATE(2023,10,15),DATE(2025,5,30),DATE(2023,8,31),0.05,0.06,100,2,0)</f>
        <v>98.506408241257333</v>
      </c>
    </row>
    <row r="16" spans="1:1" x14ac:dyDescent="0.25">
      <c r="A16">
        <f>ODDLYIELD(DATE(2023,10,15),DATE(2025,5,30),DATE(2023,8,31),0.05,98,100,2,0)</f>
        <v>6.3478605413750319E-2</v>
      </c>
    </row>
    <row r="17" spans="1:1" x14ac:dyDescent="0.25">
      <c r="A17">
        <f>ODDFPRICE(DATE(2024,6,1),DATE(2028,6,30),DATE(2024,5,15),DATE(2024,6,30),0.05,0.06,100,4,0)</f>
        <v>96.405283189626942</v>
      </c>
    </row>
    <row r="18" spans="1:1" x14ac:dyDescent="0.25">
      <c r="A18">
        <f>ODDFYIELD(DATE(2024,6,1),DATE(2028,6,30),DATE(2024,5,15),DATE(2024,6,30),0.05,98,100,4,0)</f>
        <v>5.5513602962415996E-2</v>
      </c>
    </row>
    <row r="19" spans="1:1" x14ac:dyDescent="0.25">
      <c r="A19">
        <f>ODDFPRICE(DATE(2023,2,17),DATE(2028,6,30),DATE(2022,1,15),DATE(2024,6,30),0.05,0.06,100,4,0)</f>
        <v>93.315087865118002</v>
      </c>
    </row>
    <row r="20" spans="1:1" x14ac:dyDescent="0.25">
      <c r="A20">
        <f>ODDFYIELD(DATE(2023,2,17),DATE(2028,6,30),DATE(2022,1,15),DATE(2024,6,30),0.05,98,100,4,0)</f>
        <v>5.0331566196144595E-2</v>
      </c>
    </row>
    <row r="21" spans="1:1" x14ac:dyDescent="0.25">
      <c r="A21">
        <f>ODDLPRICE(DATE(2023,10,15),DATE(2023,11,15),DATE(2023,8,31),0.05,0.06,100,4,0)</f>
        <v>99.913971807628542</v>
      </c>
    </row>
    <row r="22" spans="1:1" x14ac:dyDescent="0.25">
      <c r="A22">
        <f>ODDLYIELD(DATE(2023,10,15),DATE(2023,11,15),DATE(2023,8,31),0.05,98,100,4,0)</f>
        <v>0.29404309252218058</v>
      </c>
    </row>
    <row r="23" spans="1:1" x14ac:dyDescent="0.25">
      <c r="A23">
        <f>ODDLPRICE(DATE(2023,10,15),DATE(2025,5,30),DATE(2023,8,31),0.05,0.06,100,4,0)</f>
        <v>98.534567793116722</v>
      </c>
    </row>
    <row r="24" spans="1:1" x14ac:dyDescent="0.25">
      <c r="A24">
        <f>ODDLYIELD(DATE(2023,10,15),DATE(2025,5,30),DATE(2023,8,31),0.05,98,100,4,0)</f>
        <v>6.3677790336518006E-2</v>
      </c>
    </row>
    <row r="25" spans="1:1" x14ac:dyDescent="0.25">
      <c r="A25">
        <f>ODDFPRICE(DATE(2024,6,1),DATE(2028,6,30),DATE(2024,5,15),DATE(2024,6,30),0.05,0.06,100,1,1)</f>
        <v>96.483506511271131</v>
      </c>
    </row>
    <row r="26" spans="1:1" x14ac:dyDescent="0.25">
      <c r="A26">
        <f>ODDFYIELD(DATE(2024,6,1),DATE(2028,6,30),DATE(2024,5,15),DATE(2024,6,30),0.05,98,100,1,1)</f>
        <v>5.5639513274619863E-2</v>
      </c>
    </row>
    <row r="27" spans="1:1" x14ac:dyDescent="0.25">
      <c r="A27">
        <f>ODDFPRICE(DATE(2023,2,17),DATE(2028,6,30),DATE(2022,1,15),DATE(2024,6,30),0.05,0.06,100,1,1)</f>
        <v>89.353004947992034</v>
      </c>
    </row>
    <row r="28" spans="1:1" x14ac:dyDescent="0.25">
      <c r="A28">
        <f>ODDFYIELD(DATE(2023,2,17),DATE(2028,6,30),DATE(2022,1,15),DATE(2024,6,30),0.05,98,100,1,1)</f>
        <v>4.3827450651520522E-2</v>
      </c>
    </row>
    <row r="29" spans="1:1" x14ac:dyDescent="0.25">
      <c r="A29">
        <f>ODDLPRICE(DATE(2023,10,15),DATE(2023,11,15),DATE(2023,8,31),0.05,0.06,100,1,1)</f>
        <v>99.91262044630308</v>
      </c>
    </row>
    <row r="30" spans="1:1" x14ac:dyDescent="0.25">
      <c r="A30">
        <f>ODDLYIELD(DATE(2023,10,15),DATE(2023,11,15),DATE(2023,8,31),0.05,98,100,1,1)</f>
        <v>0.2901482996881723</v>
      </c>
    </row>
    <row r="31" spans="1:1" x14ac:dyDescent="0.25">
      <c r="A31">
        <f>ODDLPRICE(DATE(2023,10,15),DATE(2025,5,30),DATE(2023,8,31),0.05,0.06,100,1,1)</f>
        <v>98.46711214602125</v>
      </c>
    </row>
    <row r="32" spans="1:1" x14ac:dyDescent="0.25">
      <c r="A32">
        <f>ODDLYIELD(DATE(2023,10,15),DATE(2025,5,30),DATE(2023,8,31),0.05,98,100,1,1)</f>
        <v>6.3204052147253165E-2</v>
      </c>
    </row>
    <row r="33" spans="1:1" x14ac:dyDescent="0.25">
      <c r="A33">
        <f>ODDFPRICE(DATE(2024,6,1),DATE(2028,6,30),DATE(2024,5,15),DATE(2024,6,30),0.05,0.06,100,2,1)</f>
        <v>96.432144248967859</v>
      </c>
    </row>
    <row r="34" spans="1:1" x14ac:dyDescent="0.25">
      <c r="A34">
        <f>ODDFYIELD(DATE(2024,6,1),DATE(2028,6,30),DATE(2024,5,15),DATE(2024,6,30),0.05,98,100,2,1)</f>
        <v>5.5556186484787384E-2</v>
      </c>
    </row>
    <row r="35" spans="1:1" x14ac:dyDescent="0.25">
      <c r="A35">
        <f>ODDFPRICE(DATE(2023,2,17),DATE(2028,6,30),DATE(2022,1,15),DATE(2024,6,30),0.05,0.06,100,2,1)</f>
        <v>91.948298276247726</v>
      </c>
    </row>
    <row r="36" spans="1:1" x14ac:dyDescent="0.25">
      <c r="A36">
        <f>ODDFYIELD(DATE(2023,2,17),DATE(2028,6,30),DATE(2022,1,15),DATE(2024,6,30),0.05,98,100,2,1)</f>
        <v>4.7939000885773089E-2</v>
      </c>
    </row>
    <row r="37" spans="1:1" x14ac:dyDescent="0.25">
      <c r="A37">
        <f>ODDLPRICE(DATE(2023,10,15),DATE(2023,11,15),DATE(2023,8,31),0.05,0.06,100,2,1)</f>
        <v>99.91212560740523</v>
      </c>
    </row>
    <row r="38" spans="1:1" x14ac:dyDescent="0.25">
      <c r="A38">
        <f>ODDLYIELD(DATE(2023,10,15),DATE(2023,11,15),DATE(2023,8,31),0.05,98,100,2,1)</f>
        <v>0.28882995883383183</v>
      </c>
    </row>
    <row r="39" spans="1:1" x14ac:dyDescent="0.25">
      <c r="A39">
        <f>ODDLPRICE(DATE(2023,10,15),DATE(2025,5,30),DATE(2023,8,31),0.05,0.06,100,2,1)</f>
        <v>98.462076841718357</v>
      </c>
    </row>
    <row r="40" spans="1:1" x14ac:dyDescent="0.25">
      <c r="A40">
        <f>ODDLYIELD(DATE(2023,10,15),DATE(2025,5,30),DATE(2023,8,31),0.05,98,100,2,1)</f>
        <v>6.3159645560001684E-2</v>
      </c>
    </row>
    <row r="41" spans="1:1" x14ac:dyDescent="0.25">
      <c r="A41">
        <f>ODDFPRICE(DATE(2024,6,1),DATE(2028,6,30),DATE(2024,5,15),DATE(2024,6,30),0.05,0.06,100,4,1)</f>
        <v>96.405918803341095</v>
      </c>
    </row>
    <row r="42" spans="1:1" x14ac:dyDescent="0.25">
      <c r="A42">
        <f>ODDFYIELD(DATE(2024,6,1),DATE(2028,6,30),DATE(2024,5,15),DATE(2024,6,30),0.05,98,100,4,1)</f>
        <v>5.5514543997461224E-2</v>
      </c>
    </row>
    <row r="43" spans="1:1" x14ac:dyDescent="0.25">
      <c r="A43">
        <f>ODDFPRICE(DATE(2023,2,17),DATE(2028,6,30),DATE(2022,1,15),DATE(2024,6,30),0.05,0.06,100,4,1)</f>
        <v>93.304923993858935</v>
      </c>
    </row>
    <row r="44" spans="1:1" x14ac:dyDescent="0.25">
      <c r="A44">
        <f>ODDFYIELD(DATE(2023,2,17),DATE(2028,6,30),DATE(2022,1,15),DATE(2024,6,30),0.05,98,100,4,1)</f>
        <v>5.0306778639418771E-2</v>
      </c>
    </row>
    <row r="45" spans="1:1" x14ac:dyDescent="0.25">
      <c r="A45">
        <f>ODDLPRICE(DATE(2023,10,15),DATE(2023,11,15),DATE(2023,8,31),0.05,0.06,100,4,1)</f>
        <v>99.91212560740523</v>
      </c>
    </row>
    <row r="46" spans="1:1" x14ac:dyDescent="0.25">
      <c r="A46">
        <f>ODDLYIELD(DATE(2023,10,15),DATE(2023,11,15),DATE(2023,8,31),0.05,98,100,4,1)</f>
        <v>0.28882995883383183</v>
      </c>
    </row>
    <row r="47" spans="1:1" x14ac:dyDescent="0.25">
      <c r="A47">
        <f>ODDLPRICE(DATE(2023,10,15),DATE(2025,5,30),DATE(2023,8,31),0.05,0.06,100,4,1)</f>
        <v>98.488858317844105</v>
      </c>
    </row>
    <row r="48" spans="1:1" x14ac:dyDescent="0.25">
      <c r="A48">
        <f>ODDLYIELD(DATE(2023,10,15),DATE(2025,5,30),DATE(2023,8,31),0.05,98,100,4,1)</f>
        <v>6.3345361510711615E-2</v>
      </c>
    </row>
    <row r="49" spans="1:1" x14ac:dyDescent="0.25">
      <c r="A49">
        <f>ODDFPRICE(DATE(2024,6,1),DATE(2028,6,30),DATE(2024,5,15),DATE(2024,6,30),0.05,0.06,100,1,2)</f>
        <v>96.482618492869804</v>
      </c>
    </row>
    <row r="50" spans="1:1" x14ac:dyDescent="0.25">
      <c r="A50">
        <f>ODDFYIELD(DATE(2024,6,1),DATE(2028,6,30),DATE(2024,5,15),DATE(2024,6,30),0.05,98,100,1,2)</f>
        <v>5.5638185774156086E-2</v>
      </c>
    </row>
    <row r="51" spans="1:1" x14ac:dyDescent="0.25">
      <c r="A51">
        <f>ODDFPRICE(DATE(2023,2,17),DATE(2028,6,30),DATE(2022,1,15),DATE(2024,6,30),0.05,0.06,100,1,2)</f>
        <v>89.276838904243107</v>
      </c>
    </row>
    <row r="52" spans="1:1" x14ac:dyDescent="0.25">
      <c r="A52">
        <f>ODDFYIELD(DATE(2023,2,17),DATE(2028,6,30),DATE(2022,1,15),DATE(2024,6,30),0.05,98,100,1,2)</f>
        <v>4.3704127245787004E-2</v>
      </c>
    </row>
    <row r="53" spans="1:1" x14ac:dyDescent="0.25">
      <c r="A53">
        <f>ODDLPRICE(DATE(2023,10,15),DATE(2023,11,15),DATE(2023,8,31),0.05,0.06,100,1,2)</f>
        <v>99.91262044630308</v>
      </c>
    </row>
    <row r="54" spans="1:1" x14ac:dyDescent="0.25">
      <c r="A54">
        <f>ODDLYIELD(DATE(2023,10,15),DATE(2023,11,15),DATE(2023,8,31),0.05,98,100,1,2)</f>
        <v>0.2901482996881723</v>
      </c>
    </row>
    <row r="55" spans="1:1" x14ac:dyDescent="0.25">
      <c r="A55">
        <f>ODDLPRICE(DATE(2023,10,15),DATE(2025,5,30),DATE(2023,8,31),0.05,0.06,100,1,2)</f>
        <v>98.46711214602125</v>
      </c>
    </row>
    <row r="56" spans="1:1" x14ac:dyDescent="0.25">
      <c r="A56">
        <f>ODDLYIELD(DATE(2023,10,15),DATE(2025,5,30),DATE(2023,8,31),0.05,98,100,1,2)</f>
        <v>6.3204052147253165E-2</v>
      </c>
    </row>
    <row r="57" spans="1:1" x14ac:dyDescent="0.25">
      <c r="A57">
        <f>ODDFPRICE(DATE(2024,6,1),DATE(2028,6,30),DATE(2024,5,15),DATE(2024,6,30),0.05,0.06,100,2,2)</f>
        <v>96.431478406348077</v>
      </c>
    </row>
    <row r="58" spans="1:1" x14ac:dyDescent="0.25">
      <c r="A58">
        <f>ODDFYIELD(DATE(2024,6,1),DATE(2028,6,30),DATE(2024,5,15),DATE(2024,6,30),0.05,98,100,2,2)</f>
        <v>5.5555148271796181E-2</v>
      </c>
    </row>
    <row r="59" spans="1:1" x14ac:dyDescent="0.25">
      <c r="A59">
        <f>ODDFPRICE(DATE(2023,2,17),DATE(2028,6,30),DATE(2022,1,15),DATE(2024,6,30),0.05,0.06,100,2,2)</f>
        <v>91.884749702462926</v>
      </c>
    </row>
    <row r="60" spans="1:1" x14ac:dyDescent="0.25">
      <c r="A60">
        <f>ODDFYIELD(DATE(2023,2,17),DATE(2028,6,30),DATE(2022,1,15),DATE(2024,6,30),0.05,98,100,2,2)</f>
        <v>4.7821146818560964E-2</v>
      </c>
    </row>
    <row r="61" spans="1:1" x14ac:dyDescent="0.25">
      <c r="A61">
        <f>ODDLPRICE(DATE(2023,10,15),DATE(2023,11,15),DATE(2023,8,31),0.05,0.06,100,2,2)</f>
        <v>99.91212560740523</v>
      </c>
    </row>
    <row r="62" spans="1:1" x14ac:dyDescent="0.25">
      <c r="A62">
        <f>ODDLYIELD(DATE(2023,10,15),DATE(2023,11,15),DATE(2023,8,31),0.05,98,100,2,2)</f>
        <v>0.28882995883383183</v>
      </c>
    </row>
    <row r="63" spans="1:1" x14ac:dyDescent="0.25">
      <c r="A63">
        <f>ODDLPRICE(DATE(2023,10,15),DATE(2025,5,30),DATE(2023,8,31),0.05,0.06,100,2,2)</f>
        <v>98.462076841718357</v>
      </c>
    </row>
    <row r="64" spans="1:1" x14ac:dyDescent="0.25">
      <c r="A64">
        <f>ODDLYIELD(DATE(2023,10,15),DATE(2025,5,30),DATE(2023,8,31),0.05,98,100,2,2)</f>
        <v>6.3159645560001684E-2</v>
      </c>
    </row>
    <row r="65" spans="1:1" x14ac:dyDescent="0.25">
      <c r="A65">
        <f>ODDFPRICE(DATE(2024,6,1),DATE(2028,6,30),DATE(2024,5,15),DATE(2024,6,30),0.05,0.06,100,4,2)</f>
        <v>96.405216718065006</v>
      </c>
    </row>
    <row r="66" spans="1:1" x14ac:dyDescent="0.25">
      <c r="A66">
        <f>ODDFYIELD(DATE(2024,6,1),DATE(2028,6,30),DATE(2024,5,15),DATE(2024,6,30),0.05,98,100,4,2)</f>
        <v>5.5513431410801783E-2</v>
      </c>
    </row>
    <row r="67" spans="1:1" x14ac:dyDescent="0.25">
      <c r="A67">
        <f>ODDFPRICE(DATE(2023,2,17),DATE(2028,6,30),DATE(2022,1,15),DATE(2024,6,30),0.05,0.06,100,4,2)</f>
        <v>93.235479549414492</v>
      </c>
    </row>
    <row r="68" spans="1:1" x14ac:dyDescent="0.25">
      <c r="A68">
        <f>ODDFYIELD(DATE(2023,2,17),DATE(2028,6,30),DATE(2022,1,15),DATE(2024,6,30),0.05,98,100,4,2)</f>
        <v>5.0167183934231536E-2</v>
      </c>
    </row>
    <row r="69" spans="1:1" x14ac:dyDescent="0.25">
      <c r="A69">
        <f>ODDLPRICE(DATE(2023,10,15),DATE(2023,11,15),DATE(2023,8,31),0.05,0.06,100,4,2)</f>
        <v>99.91212560740523</v>
      </c>
    </row>
    <row r="70" spans="1:1" x14ac:dyDescent="0.25">
      <c r="A70">
        <f>ODDLYIELD(DATE(2023,10,15),DATE(2023,11,15),DATE(2023,8,31),0.05,98,100,4,2)</f>
        <v>0.28882995883383183</v>
      </c>
    </row>
    <row r="71" spans="1:1" x14ac:dyDescent="0.25">
      <c r="A71">
        <f>ODDLPRICE(DATE(2023,10,15),DATE(2025,5,30),DATE(2023,8,31),0.05,0.06,100,4,2)</f>
        <v>98.488858317844105</v>
      </c>
    </row>
    <row r="72" spans="1:1" x14ac:dyDescent="0.25">
      <c r="A72">
        <f>ODDLYIELD(DATE(2023,10,15),DATE(2025,5,30),DATE(2023,8,31),0.05,98,100,4,2)</f>
        <v>6.3345361510711615E-2</v>
      </c>
    </row>
    <row r="73" spans="1:1" x14ac:dyDescent="0.25">
      <c r="A73">
        <f>ODDFPRICE(DATE(2024,6,1),DATE(2028,6,30),DATE(2024,5,15),DATE(2024,6,30),0.05,0.06,100,1,3)</f>
        <v>96.483360606502615</v>
      </c>
    </row>
    <row r="74" spans="1:1" x14ac:dyDescent="0.25">
      <c r="A74">
        <f>ODDFYIELD(DATE(2024,6,1),DATE(2028,6,30),DATE(2024,5,15),DATE(2024,6,30),0.05,98,100,1,3)</f>
        <v>5.5639295196993566E-2</v>
      </c>
    </row>
    <row r="75" spans="1:1" x14ac:dyDescent="0.25">
      <c r="A75">
        <f>ODDFPRICE(DATE(2023,2,17),DATE(2028,6,30),DATE(2022,1,15),DATE(2024,6,30),0.05,0.06,100,1,3)</f>
        <v>89.353004947992034</v>
      </c>
    </row>
    <row r="76" spans="1:1" x14ac:dyDescent="0.25">
      <c r="A76">
        <f>ODDFYIELD(DATE(2023,2,17),DATE(2028,6,30),DATE(2022,1,15),DATE(2024,6,30),0.05,98,100,1,3)</f>
        <v>4.3827450651523173E-2</v>
      </c>
    </row>
    <row r="77" spans="1:1" x14ac:dyDescent="0.25">
      <c r="A77">
        <f>ODDLPRICE(DATE(2023,10,15),DATE(2023,11,15),DATE(2023,8,31),0.05,0.06,100,1,3)</f>
        <v>99.91262044630308</v>
      </c>
    </row>
    <row r="78" spans="1:1" x14ac:dyDescent="0.25">
      <c r="A78">
        <f>ODDLYIELD(DATE(2023,10,15),DATE(2023,11,15),DATE(2023,8,31),0.05,98,100,1,3)</f>
        <v>0.2901482996881723</v>
      </c>
    </row>
    <row r="79" spans="1:1" x14ac:dyDescent="0.25">
      <c r="A79">
        <f>ODDLPRICE(DATE(2023,10,15),DATE(2025,5,30),DATE(2023,8,31),0.05,0.06,100,1,3)</f>
        <v>98.46711214602125</v>
      </c>
    </row>
    <row r="80" spans="1:1" x14ac:dyDescent="0.25">
      <c r="A80">
        <f>ODDLYIELD(DATE(2023,10,15),DATE(2025,5,30),DATE(2023,8,31),0.05,98,100,1,3)</f>
        <v>6.3204052147253165E-2</v>
      </c>
    </row>
    <row r="81" spans="1:1" x14ac:dyDescent="0.25">
      <c r="A81">
        <f>ODDFPRICE(DATE(2024,6,1),DATE(2028,6,30),DATE(2024,5,15),DATE(2024,6,30),0.05,0.06,100,2,3)</f>
        <v>96.432308357625317</v>
      </c>
    </row>
    <row r="82" spans="1:1" x14ac:dyDescent="0.25">
      <c r="A82">
        <f>ODDFYIELD(DATE(2024,6,1),DATE(2028,6,30),DATE(2024,5,15),DATE(2024,6,30),0.05,98,100,2,3)</f>
        <v>5.5556442351021869E-2</v>
      </c>
    </row>
    <row r="83" spans="1:1" x14ac:dyDescent="0.25">
      <c r="A83">
        <f>ODDFPRICE(DATE(2023,2,17),DATE(2028,6,30),DATE(2022,1,15),DATE(2024,6,30),0.05,0.06,100,2,3)</f>
        <v>91.961334710823806</v>
      </c>
    </row>
    <row r="84" spans="1:1" x14ac:dyDescent="0.25">
      <c r="A84">
        <f>ODDFYIELD(DATE(2023,2,17),DATE(2028,6,30),DATE(2022,1,15),DATE(2024,6,30),0.05,98,100,2,3)</f>
        <v>4.7958874952771333E-2</v>
      </c>
    </row>
    <row r="85" spans="1:1" x14ac:dyDescent="0.25">
      <c r="A85">
        <f>ODDLPRICE(DATE(2023,10,15),DATE(2023,11,15),DATE(2023,8,31),0.05,0.06,100,2,3)</f>
        <v>99.91212560740523</v>
      </c>
    </row>
    <row r="86" spans="1:1" x14ac:dyDescent="0.25">
      <c r="A86">
        <f>ODDLYIELD(DATE(2023,10,15),DATE(2023,11,15),DATE(2023,8,31),0.05,98,100,2,3)</f>
        <v>0.28882995883383183</v>
      </c>
    </row>
    <row r="87" spans="1:1" x14ac:dyDescent="0.25">
      <c r="A87">
        <f>ODDLPRICE(DATE(2023,10,15),DATE(2025,5,30),DATE(2023,8,31),0.05,0.06,100,2,3)</f>
        <v>98.462076841718357</v>
      </c>
    </row>
    <row r="88" spans="1:1" x14ac:dyDescent="0.25">
      <c r="A88">
        <f>ODDLYIELD(DATE(2023,10,15),DATE(2025,5,30),DATE(2023,8,31),0.05,98,100,2,3)</f>
        <v>6.3159645560001684E-2</v>
      </c>
    </row>
    <row r="89" spans="1:1" x14ac:dyDescent="0.25">
      <c r="A89">
        <f>ODDFPRICE(DATE(2024,6,1),DATE(2028,6,30),DATE(2024,5,15),DATE(2024,6,30),0.05,0.06,100,4,3)</f>
        <v>96.406091848309643</v>
      </c>
    </row>
    <row r="90" spans="1:1" x14ac:dyDescent="0.25">
      <c r="A90">
        <f>ODDFYIELD(DATE(2024,6,1),DATE(2028,6,30),DATE(2024,5,15),DATE(2024,6,30),0.05,98,100,4,3)</f>
        <v>5.5514818208197217E-2</v>
      </c>
    </row>
    <row r="91" spans="1:1" x14ac:dyDescent="0.25">
      <c r="A91">
        <f>ODDFPRICE(DATE(2023,2,17),DATE(2028,6,30),DATE(2022,1,15),DATE(2024,6,30),0.05,0.06,100,4,3)</f>
        <v>93.307815064184638</v>
      </c>
    </row>
    <row r="92" spans="1:1" x14ac:dyDescent="0.25">
      <c r="A92">
        <f>ODDFYIELD(DATE(2023,2,17),DATE(2028,6,30),DATE(2022,1,15),DATE(2024,6,30),0.05,98,100,4,3)</f>
        <v>5.0309912378694713E-2</v>
      </c>
    </row>
    <row r="93" spans="1:1" x14ac:dyDescent="0.25">
      <c r="A93">
        <f>ODDLPRICE(DATE(2023,10,15),DATE(2023,11,15),DATE(2023,8,31),0.05,0.06,100,4,3)</f>
        <v>99.91212560740523</v>
      </c>
    </row>
    <row r="94" spans="1:1" x14ac:dyDescent="0.25">
      <c r="A94">
        <f>ODDLYIELD(DATE(2023,10,15),DATE(2023,11,15),DATE(2023,8,31),0.05,98,100,4,3)</f>
        <v>0.28882995883383183</v>
      </c>
    </row>
    <row r="95" spans="1:1" x14ac:dyDescent="0.25">
      <c r="A95">
        <f>ODDLPRICE(DATE(2023,10,15),DATE(2025,5,30),DATE(2023,8,31),0.05,0.06,100,4,3)</f>
        <v>98.488858317844105</v>
      </c>
    </row>
    <row r="96" spans="1:1" x14ac:dyDescent="0.25">
      <c r="A96">
        <f>ODDLYIELD(DATE(2023,10,15),DATE(2025,5,30),DATE(2023,8,31),0.05,98,100,4,3)</f>
        <v>6.3345361510711615E-2</v>
      </c>
    </row>
    <row r="97" spans="1:1" x14ac:dyDescent="0.25">
      <c r="A97">
        <f>ODDFPRICE(DATE(2024,6,1),DATE(2028,6,30),DATE(2024,5,15),DATE(2024,6,30),0.05,0.06,100,1,4)</f>
        <v>96.482683532942119</v>
      </c>
    </row>
    <row r="98" spans="1:1" x14ac:dyDescent="0.25">
      <c r="A98">
        <f>ODDFYIELD(DATE(2024,6,1),DATE(2028,6,30),DATE(2024,5,15),DATE(2024,6,30),0.05,98,100,1,4)</f>
        <v>5.5638357771556339E-2</v>
      </c>
    </row>
    <row r="99" spans="1:1" x14ac:dyDescent="0.25">
      <c r="A99">
        <f>ODDFPRICE(DATE(2023,2,17),DATE(2028,6,30),DATE(2022,1,15),DATE(2024,6,30),0.05,0.06,100,1,4)</f>
        <v>89.348074430300372</v>
      </c>
    </row>
    <row r="100" spans="1:1" x14ac:dyDescent="0.25">
      <c r="A100">
        <f>ODDFYIELD(DATE(2023,2,17),DATE(2028,6,30),DATE(2022,1,15),DATE(2024,6,30),0.05,98,100,1,4)</f>
        <v>4.3829468839208699E-2</v>
      </c>
    </row>
    <row r="101" spans="1:1" x14ac:dyDescent="0.25">
      <c r="A101">
        <f>ODDLPRICE(DATE(2023,10,15),DATE(2023,11,15),DATE(2023,8,31),0.05,0.06,100,1,4)</f>
        <v>99.913971807628542</v>
      </c>
    </row>
    <row r="102" spans="1:1" x14ac:dyDescent="0.25">
      <c r="A102">
        <f>ODDLYIELD(DATE(2023,10,15),DATE(2023,11,15),DATE(2023,8,31),0.05,98,100,1,4)</f>
        <v>0.29404309252218058</v>
      </c>
    </row>
    <row r="103" spans="1:1" x14ac:dyDescent="0.25">
      <c r="A103">
        <f>ODDLPRICE(DATE(2023,10,15),DATE(2025,5,30),DATE(2023,8,31),0.05,0.06,100,1,4)</f>
        <v>98.463838268792713</v>
      </c>
    </row>
    <row r="104" spans="1:1" x14ac:dyDescent="0.25">
      <c r="A104">
        <f>ODDLYIELD(DATE(2023,10,15),DATE(2025,5,30),DATE(2023,8,31),0.05,98,100,1,4)</f>
        <v>6.317636735887687E-2</v>
      </c>
    </row>
    <row r="105" spans="1:1" x14ac:dyDescent="0.25">
      <c r="A105">
        <f>ODDFPRICE(DATE(2024,6,1),DATE(2028,6,30),DATE(2024,5,15),DATE(2024,6,30),0.05,0.06,100,2,4)</f>
        <v>96.431544391486028</v>
      </c>
    </row>
    <row r="106" spans="1:1" x14ac:dyDescent="0.25">
      <c r="A106">
        <f>ODDFYIELD(DATE(2024,6,1),DATE(2028,6,30),DATE(2024,5,15),DATE(2024,6,30),0.05,98,100,2,4)</f>
        <v>5.5555319971593041E-2</v>
      </c>
    </row>
    <row r="107" spans="1:1" x14ac:dyDescent="0.25">
      <c r="A107">
        <f>ODDFPRICE(DATE(2023,2,17),DATE(2028,6,30),DATE(2022,1,15),DATE(2024,6,30),0.05,0.06,100,2,4)</f>
        <v>91.955647326913393</v>
      </c>
    </row>
    <row r="108" spans="1:1" x14ac:dyDescent="0.25">
      <c r="A108">
        <f>ODDFYIELD(DATE(2023,2,17),DATE(2028,6,30),DATE(2022,1,15),DATE(2024,6,30),0.05,98,100,2,4)</f>
        <v>4.795694011367399E-2</v>
      </c>
    </row>
    <row r="109" spans="1:1" x14ac:dyDescent="0.25">
      <c r="A109">
        <f>ODDLPRICE(DATE(2023,10,15),DATE(2023,11,15),DATE(2023,8,31),0.05,0.06,100,2,4)</f>
        <v>99.913476139754863</v>
      </c>
    </row>
    <row r="110" spans="1:1" x14ac:dyDescent="0.25">
      <c r="A110">
        <f>ODDLYIELD(DATE(2023,10,15),DATE(2023,11,15),DATE(2023,8,31),0.05,98,100,2,4)</f>
        <v>0.29268080848131195</v>
      </c>
    </row>
    <row r="111" spans="1:1" x14ac:dyDescent="0.25">
      <c r="A111">
        <f>ODDLPRICE(DATE(2023,10,15),DATE(2025,5,30),DATE(2023,8,31),0.05,0.06,100,2,4)</f>
        <v>98.459344574900882</v>
      </c>
    </row>
    <row r="112" spans="1:1" x14ac:dyDescent="0.25">
      <c r="A112">
        <f>ODDLYIELD(DATE(2023,10,15),DATE(2025,5,30),DATE(2023,8,31),0.05,98,100,2,4)</f>
        <v>6.3136941892900256E-2</v>
      </c>
    </row>
    <row r="113" spans="1:1" x14ac:dyDescent="0.25">
      <c r="A113">
        <f>ODDFPRICE(DATE(2024,6,1),DATE(2028,6,30),DATE(2024,5,15),DATE(2024,6,30),0.05,0.06,100,4,4)</f>
        <v>96.405283189626942</v>
      </c>
    </row>
    <row r="114" spans="1:1" x14ac:dyDescent="0.25">
      <c r="A114">
        <f>ODDFYIELD(DATE(2024,6,1),DATE(2028,6,30),DATE(2024,5,15),DATE(2024,6,30),0.05,98,100,4,4)</f>
        <v>5.5513602962415996E-2</v>
      </c>
    </row>
    <row r="115" spans="1:1" x14ac:dyDescent="0.25">
      <c r="A115">
        <f>ODDFPRICE(DATE(2023,2,17),DATE(2028,6,30),DATE(2022,1,15),DATE(2024,6,30),0.05,0.06,100,4,4)</f>
        <v>93.315087865118002</v>
      </c>
    </row>
    <row r="116" spans="1:1" x14ac:dyDescent="0.25">
      <c r="A116">
        <f>ODDFYIELD(DATE(2023,2,17),DATE(2028,6,30),DATE(2022,1,15),DATE(2024,6,30),0.05,98,100,4,4)</f>
        <v>5.0331566196144595E-2</v>
      </c>
    </row>
    <row r="117" spans="1:1" x14ac:dyDescent="0.25">
      <c r="A117">
        <f>ODDLPRICE(DATE(2023,10,15),DATE(2023,11,15),DATE(2023,8,31),0.05,0.06,100,4,4)</f>
        <v>99.913971807628542</v>
      </c>
    </row>
    <row r="118" spans="1:1" x14ac:dyDescent="0.25">
      <c r="A118">
        <f>ODDLYIELD(DATE(2023,10,15),DATE(2023,11,15),DATE(2023,8,31),0.05,98,100,4,4)</f>
        <v>0.29404309252218058</v>
      </c>
    </row>
    <row r="119" spans="1:1" x14ac:dyDescent="0.25">
      <c r="A119">
        <f>ODDLPRICE(DATE(2023,10,15),DATE(2025,5,30),DATE(2023,8,31),0.05,0.06,100,4,4)</f>
        <v>98.48914831688181</v>
      </c>
    </row>
    <row r="120" spans="1:1" x14ac:dyDescent="0.25">
      <c r="A120">
        <f>ODDLYIELD(DATE(2023,10,15),DATE(2025,5,30),DATE(2023,8,31),0.05,98,100,4,4)</f>
        <v>6.3349690726116542E-2</v>
      </c>
    </row>
    <row r="121" spans="1:1" x14ac:dyDescent="0.25">
      <c r="A121">
        <f>ODDLPRICE(DATE(2021,9,10),DATE(2022,5,30),DATE(2021,8,31),0.1,0.1,100,4,1)</f>
        <v>100.0338820483653</v>
      </c>
    </row>
    <row r="122" spans="1:1" x14ac:dyDescent="0.25">
      <c r="A122">
        <f>ODDLPRICE(DATE(2021,9,10),DATE(2022,5,27),DATE(2021,8,31),0.1,0.1,100,4,1)</f>
        <v>99.981555032580744</v>
      </c>
    </row>
    <row r="123" spans="1:1" x14ac:dyDescent="0.25">
      <c r="A123">
        <f>ODDLPRICE(DATE(2018,4,2),DATE(2018,5,14),DATE(2018,2,28),0.1,0.1,100,2,0)</f>
        <v>99.989518931430098</v>
      </c>
    </row>
    <row r="124" spans="1:1" x14ac:dyDescent="0.25">
      <c r="A124">
        <f>ODDLYIELD(DATE(2021,5,30),DATE(2021,5,31),DATE(2021,1,1),0.05,98,100,2,0)</f>
        <v>0</v>
      </c>
    </row>
    <row r="125" spans="1:1" x14ac:dyDescent="0.25">
      <c r="A125">
        <f>ODDFPRICE(DATE(2021,11,3),DATE(2027,4,30),DATE(2021,10,29),DATE(2023,4,30),0.1,0.1,100,1,0)</f>
        <v>90.601142375533954</v>
      </c>
    </row>
    <row r="126" spans="1:1" x14ac:dyDescent="0.25">
      <c r="A126">
        <f>ODDFYIELD(DATE(2022,4,12),DATE(2027,6,15),DATE(2021,10,29),DATE(2023,6,15),0.1,90,100,1,0)</f>
        <v>0.12551573318812853</v>
      </c>
    </row>
    <row r="127" spans="1:1" x14ac:dyDescent="0.25">
      <c r="A127" t="e">
        <f>ODDFPRICE(DATE(2021,2,1),DATE(2023,6,30),DATE(2020,12,31),DATE(2021,6,30),0.05,0.06,100,2,0)</f>
        <v>#NUM!</v>
      </c>
    </row>
    <row r="128" spans="1:1" x14ac:dyDescent="0.25">
      <c r="A128" t="e">
        <f>ODDFPRICE(DATE(2021,2,3),DATE(2023,6,30),DATE(2021,1,1),DATE(2021,6,29),0.05,0.06,100,2,0)</f>
        <v>#NUM!</v>
      </c>
    </row>
    <row r="129" spans="1:1" x14ac:dyDescent="0.25">
      <c r="A129" t="e">
        <f>ODDFPRICE(59,1000,1,181,0.05,0.06,100,2,1)</f>
        <v>#NUM!</v>
      </c>
    </row>
    <row r="130" spans="1:1" x14ac:dyDescent="0.25">
      <c r="A130" t="e">
        <f>ODDLPRICE(60,181,1,0.05,0.06,100,2,1)</f>
        <v>#NUM!</v>
      </c>
    </row>
    <row r="131" spans="1:1" x14ac:dyDescent="0.25">
      <c r="A131" t="e">
        <f>ODDFPRICE("bad",DATE(2028,6,30),DATE(2024,5,15),DATE(2024,6,30),0.05,0.06,100,2,0)</f>
        <v>#VALUE!</v>
      </c>
    </row>
    <row r="132" spans="1:1" x14ac:dyDescent="0.25">
      <c r="A132" t="e">
        <f>ODDFPRICE(-1,DATE(2028,6,30),DATE(2024,5,15),DATE(2024,6,30),0.05,0.06,100,2,0)</f>
        <v>#NUM!</v>
      </c>
    </row>
    <row r="133" spans="1:1" x14ac:dyDescent="0.25">
      <c r="A133" t="e">
        <f>ODDFPRICE(DATE(2028,6,30),DATE(2028,6,30),DATE(2024,5,15),DATE(2024,6,30),0.05,0.06,100,2,0)</f>
        <v>#NUM!</v>
      </c>
    </row>
    <row r="134" spans="1:1" x14ac:dyDescent="0.25">
      <c r="A134" t="e">
        <f>ODDFPRICE(DATE(2024,6,1),DATE(2028,6,30),DATE(2024,5,15),DATE(2024,6,30),-0.01,0.06,100,2,0)</f>
        <v>#NUM!</v>
      </c>
    </row>
    <row r="135" spans="1:1" x14ac:dyDescent="0.25">
      <c r="A135" t="e">
        <f>ODDFPRICE(DATE(2024,6,1),DATE(2028,6,30),DATE(2024,5,15),DATE(2024,6,30),0.05,0.06,0,2,0)</f>
        <v>#NUM!</v>
      </c>
    </row>
    <row r="136" spans="1:1" x14ac:dyDescent="0.25">
      <c r="A136" t="e">
        <f>ODDFPRICE(DATE(2024,6,1),DATE(2028,6,30),DATE(2024,5,15),DATE(2024,6,30),0.05,0.06,100,3,0)</f>
        <v>#NUM!</v>
      </c>
    </row>
    <row r="137" spans="1:1" x14ac:dyDescent="0.25">
      <c r="A137">
        <f>ODDFPRICE(DATE(2024,6,1),DATE(2028,6,30),DATE(2024,5,15),DATE(2024,6,30),0.05,0.06,100,2.9,0)</f>
        <v>96.431544391486028</v>
      </c>
    </row>
    <row r="138" spans="1:1" x14ac:dyDescent="0.25">
      <c r="A138" t="e">
        <f>ODDFPRICE(DATE(2024,6,1),DATE(2028,6,30),DATE(2024,5,15),DATE(2024,6,30),0.05,0.06,100,2,5)</f>
        <v>#NUM!</v>
      </c>
    </row>
    <row r="139" spans="1:1" x14ac:dyDescent="0.25">
      <c r="A139">
        <f>ODDFPRICE(DATE(2024,6,1),DATE(2028,6,30),DATE(2024,5,15),DATE(2024,6,30),0.05,0.06,100,2,1.9)</f>
        <v>96.432144248967859</v>
      </c>
    </row>
    <row r="140" spans="1:1" x14ac:dyDescent="0.25">
      <c r="A140" t="e">
        <f>ODDFPRICE(DATE(2024,6,1),DATE(2028,6,30),DATE(2024,5,15),DATE(2024,6,30),0.05,-1,100,2,0)</f>
        <v>#NUM!</v>
      </c>
    </row>
    <row r="141" spans="1:1" x14ac:dyDescent="0.25">
      <c r="A141">
        <f>ODDFPRICE(DATE(2024,6,1),DATE(2028,6,30),DATE(2024,5,15),DATE(2024,6,30),0.05,0,100,2,0)</f>
        <v>120.40277777777777</v>
      </c>
    </row>
    <row r="142" spans="1:1" x14ac:dyDescent="0.25">
      <c r="A142">
        <f>ODDFPRICE(DATE(2024,6,1),DATE(2028,6,30),DATE(2024,5,15),DATE(2024,6,30),0,0.06,100,2,0)</f>
        <v>78.565880635415951</v>
      </c>
    </row>
    <row r="143" spans="1:1" x14ac:dyDescent="0.25">
      <c r="A143">
        <f>ODDFPRICE(DATE(2024,6,1),DATE(2028,6,30),DATE(2024,5,15),DATE(2024,6,30),"0.05",0.06,100,2,0)</f>
        <v>96.431544391486028</v>
      </c>
    </row>
    <row r="144" spans="1:1" x14ac:dyDescent="0.25">
      <c r="A144" t="e">
        <f>ODDFPRICE(DATE(2024,6,1),DATE(2028,6,30),DATE(2024,5,15),DATE(2024,6,30),NA(),0.06,100,2,0)</f>
        <v>#N/A</v>
      </c>
    </row>
    <row r="145" spans="1:1" x14ac:dyDescent="0.25">
      <c r="A145">
        <f>ODDFPRICE(DATE(2024,6,1),DATE(2028,6,30),DATE(2024,5,15),DATE(2024,6,30),0.05,0.06,100,2)</f>
        <v>96.431544391486028</v>
      </c>
    </row>
    <row r="146" spans="1:1" x14ac:dyDescent="0.25">
      <c r="A146">
        <f>ODDFPRICE(DATE(2024,6,1)+0.75,DATE(2028,6,30)+0.75,DATE(2024,5,15)+0.75,DATE(2024,6,30)+0.75,0.05,0.06,100,2,0)</f>
        <v>96.431544391486028</v>
      </c>
    </row>
    <row r="147" spans="1:1" x14ac:dyDescent="0.25">
      <c r="A147" t="e">
        <f>ODDFYIELD("bad",DATE(2028,6,30),DATE(2024,5,15),DATE(2024,6,30),0.05,98,100,2,0)</f>
        <v>#VALUE!</v>
      </c>
    </row>
    <row r="148" spans="1:1" x14ac:dyDescent="0.25">
      <c r="A148" t="e">
        <f>ODDFYIELD(-1,DATE(2028,6,30),DATE(2024,5,15),DATE(2024,6,30),0.05,98,100,2,0)</f>
        <v>#NUM!</v>
      </c>
    </row>
    <row r="149" spans="1:1" x14ac:dyDescent="0.25">
      <c r="A149" t="e">
        <f>ODDFYIELD(DATE(2028,6,30),DATE(2028,6,30),DATE(2024,5,15),DATE(2024,6,30),0.05,98,100,2,0)</f>
        <v>#NUM!</v>
      </c>
    </row>
    <row r="150" spans="1:1" x14ac:dyDescent="0.25">
      <c r="A150" t="e">
        <f>ODDFYIELD(DATE(2024,6,1),DATE(2028,6,30),DATE(2024,5,15),DATE(2024,6,30),-0.01,98,100,2,0)</f>
        <v>#NUM!</v>
      </c>
    </row>
    <row r="151" spans="1:1" x14ac:dyDescent="0.25">
      <c r="A151" t="e">
        <f>ODDFYIELD(DATE(2024,6,1),DATE(2028,6,30),DATE(2024,5,15),DATE(2024,6,30),0.05,98,0,2,0)</f>
        <v>#NUM!</v>
      </c>
    </row>
    <row r="152" spans="1:1" x14ac:dyDescent="0.25">
      <c r="A152" t="e">
        <f>ODDFYIELD(DATE(2024,6,1),DATE(2028,6,30),DATE(2024,5,15),DATE(2024,6,30),0.05,98,100,3,0)</f>
        <v>#NUM!</v>
      </c>
    </row>
    <row r="153" spans="1:1" x14ac:dyDescent="0.25">
      <c r="A153">
        <f>ODDFYIELD(DATE(2024,6,1),DATE(2028,6,30),DATE(2024,5,15),DATE(2024,6,30),0.05,98,100,2.9,0)</f>
        <v>5.5555319971593041E-2</v>
      </c>
    </row>
    <row r="154" spans="1:1" x14ac:dyDescent="0.25">
      <c r="A154" t="e">
        <f>ODDFYIELD(DATE(2024,6,1),DATE(2028,6,30),DATE(2024,5,15),DATE(2024,6,30),0.05,98,100,2,5)</f>
        <v>#NUM!</v>
      </c>
    </row>
    <row r="155" spans="1:1" x14ac:dyDescent="0.25">
      <c r="A155">
        <f>ODDFYIELD(DATE(2024,6,1),DATE(2028,6,30),DATE(2024,5,15),DATE(2024,6,30),0.05,98,100,2,1.9)</f>
        <v>5.5556186484787384E-2</v>
      </c>
    </row>
    <row r="156" spans="1:1" x14ac:dyDescent="0.25">
      <c r="A156" t="e">
        <f>ODDFYIELD(DATE(2024,6,1),DATE(2028,6,30),DATE(2024,5,15),DATE(2024,6,30),0.05,-1,100,2,0)</f>
        <v>#NUM!</v>
      </c>
    </row>
    <row r="157" spans="1:1" x14ac:dyDescent="0.25">
      <c r="A157" t="e">
        <f>ODDFYIELD(DATE(2024,6,1),DATE(2028,6,30),DATE(2024,5,15),DATE(2024,6,30),0.05,0,100,2,0)</f>
        <v>#NUM!</v>
      </c>
    </row>
    <row r="158" spans="1:1" x14ac:dyDescent="0.25">
      <c r="A158">
        <f>ODDFYIELD(DATE(2024,6,1),DATE(2028,6,30),DATE(2024,5,15),DATE(2024,6,30),0,98,100,2,0)</f>
        <v>4.9571028838774813E-3</v>
      </c>
    </row>
    <row r="159" spans="1:1" x14ac:dyDescent="0.25">
      <c r="A159">
        <f>ODDFYIELD(DATE(2024,6,1),DATE(2028,6,30),DATE(2024,5,15),DATE(2024,6,30),"0.05",98,100,2,0)</f>
        <v>5.5555319971593041E-2</v>
      </c>
    </row>
    <row r="160" spans="1:1" x14ac:dyDescent="0.25">
      <c r="A160" t="e">
        <f>ODDFYIELD(DATE(2024,6,1),DATE(2028,6,30),DATE(2024,5,15),DATE(2024,6,30),NA(),98,100,2,0)</f>
        <v>#N/A</v>
      </c>
    </row>
    <row r="161" spans="1:1" x14ac:dyDescent="0.25">
      <c r="A161">
        <f>ODDFYIELD(DATE(2024,6,1),DATE(2028,6,30),DATE(2024,5,15),DATE(2024,6,30),0.05,98,100,2)</f>
        <v>5.5555319971593041E-2</v>
      </c>
    </row>
    <row r="162" spans="1:1" x14ac:dyDescent="0.25">
      <c r="A162">
        <f>ODDFYIELD(DATE(2024,6,1)+0.75,DATE(2028,6,30)+0.75,DATE(2024,5,15)+0.75,DATE(2024,6,30)+0.75,0.05,98,100,2,0)</f>
        <v>5.5555319971593041E-2</v>
      </c>
    </row>
    <row r="163" spans="1:1" x14ac:dyDescent="0.25">
      <c r="A163" t="e">
        <f>ODDLPRICE("bad",DATE(2028,6,30),DATE(2024,5,15),0.05,0.06,100,2,0)</f>
        <v>#VALUE!</v>
      </c>
    </row>
    <row r="164" spans="1:1" x14ac:dyDescent="0.25">
      <c r="A164" t="e">
        <f>ODDLPRICE(-1,DATE(2028,6,30),DATE(2024,5,15),0.05,0.06,100,2,0)</f>
        <v>#NUM!</v>
      </c>
    </row>
    <row r="165" spans="1:1" x14ac:dyDescent="0.25">
      <c r="A165" t="e">
        <f>ODDLPRICE(DATE(2028,6,30),DATE(2028,6,30),DATE(2024,5,15),0.05,0.06,100,2,0)</f>
        <v>#NUM!</v>
      </c>
    </row>
    <row r="166" spans="1:1" x14ac:dyDescent="0.25">
      <c r="A166" t="e">
        <f>ODDLPRICE(DATE(2024,6,1),DATE(2028,6,30),DATE(2024,5,15),-0.01,0.06,100,2,0)</f>
        <v>#NUM!</v>
      </c>
    </row>
    <row r="167" spans="1:1" x14ac:dyDescent="0.25">
      <c r="A167" t="e">
        <f>ODDLPRICE(DATE(2024,6,1),DATE(2028,6,30),DATE(2024,5,15),0.05,0.06,0,2,0)</f>
        <v>#NUM!</v>
      </c>
    </row>
    <row r="168" spans="1:1" x14ac:dyDescent="0.25">
      <c r="A168" t="e">
        <f>ODDLPRICE(DATE(2024,6,1),DATE(2028,6,30),DATE(2024,5,15),0.05,0.06,100,3,0)</f>
        <v>#NUM!</v>
      </c>
    </row>
    <row r="169" spans="1:1" x14ac:dyDescent="0.25">
      <c r="A169">
        <f>ODDLPRICE(DATE(2024,6,1),DATE(2028,6,30),DATE(2024,5,15),0.05,0.06,100,2.9,0)</f>
        <v>96.678299936031891</v>
      </c>
    </row>
    <row r="170" spans="1:1" x14ac:dyDescent="0.25">
      <c r="A170" t="e">
        <f>ODDLPRICE(DATE(2024,6,1),DATE(2028,6,30),DATE(2024,5,15),0.05,0.06,100,2,5)</f>
        <v>#NUM!</v>
      </c>
    </row>
    <row r="171" spans="1:1" x14ac:dyDescent="0.25">
      <c r="A171">
        <f>ODDLPRICE(DATE(2024,6,1),DATE(2028,6,30),DATE(2024,5,15),0.05,0.06,100,2,1.9)</f>
        <v>96.677723655909901</v>
      </c>
    </row>
    <row r="172" spans="1:1" x14ac:dyDescent="0.25">
      <c r="A172" t="e">
        <f>ODDLPRICE(DATE(2024,6,1),DATE(2028,6,30),DATE(2024,5,15),0.05,-1,100,2,0)</f>
        <v>#NUM!</v>
      </c>
    </row>
    <row r="173" spans="1:1" x14ac:dyDescent="0.25">
      <c r="A173">
        <f>ODDLPRICE(DATE(2024,6,1),DATE(2028,6,30),DATE(2024,5,15),0.05,0,100,2,0)</f>
        <v>120.40277777777777</v>
      </c>
    </row>
    <row r="174" spans="1:1" x14ac:dyDescent="0.25">
      <c r="A174">
        <f>ODDLPRICE(DATE(2024,6,1),DATE(2028,6,30),DATE(2024,5,15),0,0.06,100,2,0)</f>
        <v>80.332039094925705</v>
      </c>
    </row>
    <row r="175" spans="1:1" x14ac:dyDescent="0.25">
      <c r="A175">
        <f>ODDLPRICE(DATE(2024,6,1),DATE(2028,6,30),DATE(2024,5,15),"0.05",0.06,100,2,0)</f>
        <v>96.678299936031891</v>
      </c>
    </row>
    <row r="176" spans="1:1" x14ac:dyDescent="0.25">
      <c r="A176" t="e">
        <f>ODDLPRICE(DATE(2024,6,1),DATE(2028,6,30),DATE(2024,5,15),NA(),0.06,100,2,0)</f>
        <v>#N/A</v>
      </c>
    </row>
    <row r="177" spans="1:1" x14ac:dyDescent="0.25">
      <c r="A177">
        <f>ODDLPRICE(DATE(2024,6,1),DATE(2028,6,30),DATE(2024,5,15),0.05,0.06,100,2)</f>
        <v>96.678299936031891</v>
      </c>
    </row>
    <row r="178" spans="1:1" x14ac:dyDescent="0.25">
      <c r="A178">
        <f>ODDLPRICE(DATE(2024,6,1)+0.75,DATE(2028,6,30)+0.75,DATE(2024,5,15)+0.75,0.05,0.06,100,2,0)</f>
        <v>96.678299936031891</v>
      </c>
    </row>
    <row r="179" spans="1:1" x14ac:dyDescent="0.25">
      <c r="A179" t="e">
        <f>ODDLYIELD("bad",DATE(2028,6,30),DATE(2024,5,15),0.05,98,100,2,0)</f>
        <v>#VALUE!</v>
      </c>
    </row>
    <row r="180" spans="1:1" x14ac:dyDescent="0.25">
      <c r="A180" t="e">
        <f>ODDLYIELD(-1,DATE(2028,6,30),DATE(2024,5,15),0.05,98,100,2,0)</f>
        <v>#NUM!</v>
      </c>
    </row>
    <row r="181" spans="1:1" x14ac:dyDescent="0.25">
      <c r="A181" t="e">
        <f>ODDLYIELD(DATE(2028,6,30),DATE(2028,6,30),DATE(2024,5,15),0.05,98,100,2,0)</f>
        <v>#NUM!</v>
      </c>
    </row>
    <row r="182" spans="1:1" x14ac:dyDescent="0.25">
      <c r="A182" t="e">
        <f>ODDLYIELD(DATE(2024,6,1),DATE(2028,6,30),DATE(2024,5,15),-0.01,98,100,2,0)</f>
        <v>#NUM!</v>
      </c>
    </row>
    <row r="183" spans="1:1" x14ac:dyDescent="0.25">
      <c r="A183" t="e">
        <f>ODDLYIELD(DATE(2024,6,1),DATE(2028,6,30),DATE(2024,5,15),0.05,98,0,2,0)</f>
        <v>#NUM!</v>
      </c>
    </row>
    <row r="184" spans="1:1" x14ac:dyDescent="0.25">
      <c r="A184" t="e">
        <f>ODDLYIELD(DATE(2024,6,1),DATE(2028,6,30),DATE(2024,5,15),0.05,98,100,3,0)</f>
        <v>#NUM!</v>
      </c>
    </row>
    <row r="185" spans="1:1" x14ac:dyDescent="0.25">
      <c r="A185">
        <f>ODDLYIELD(DATE(2024,6,1),DATE(2028,6,30),DATE(2024,5,15),0.05,98,100,2.9,0)</f>
        <v>5.5894981965137709E-2</v>
      </c>
    </row>
    <row r="186" spans="1:1" x14ac:dyDescent="0.25">
      <c r="A186" t="e">
        <f>ODDLYIELD(DATE(2024,6,1),DATE(2028,6,30),DATE(2024,5,15),0.05,98,100,2,5)</f>
        <v>#NUM!</v>
      </c>
    </row>
    <row r="187" spans="1:1" x14ac:dyDescent="0.25">
      <c r="A187">
        <f>ODDLYIELD(DATE(2024,6,1),DATE(2028,6,30),DATE(2024,5,15),0.05,98,100,2,1.9)</f>
        <v>5.5892141875079224E-2</v>
      </c>
    </row>
    <row r="188" spans="1:1" x14ac:dyDescent="0.25">
      <c r="A188" t="e">
        <f>ODDLYIELD(DATE(2024,6,1),DATE(2028,6,30),DATE(2024,5,15),0.05,-1,100,2,0)</f>
        <v>#NUM!</v>
      </c>
    </row>
    <row r="189" spans="1:1" x14ac:dyDescent="0.25">
      <c r="A189" t="e">
        <f>ODDLYIELD(DATE(2024,6,1),DATE(2028,6,30),DATE(2024,5,15),0.05,0,100,2,0)</f>
        <v>#NUM!</v>
      </c>
    </row>
    <row r="190" spans="1:1" x14ac:dyDescent="0.25">
      <c r="A190">
        <f>ODDLYIELD(DATE(2024,6,1),DATE(2028,6,30),DATE(2024,5,15),0,98,100,2,0)</f>
        <v>5.0013197927230787E-3</v>
      </c>
    </row>
    <row r="191" spans="1:1" x14ac:dyDescent="0.25">
      <c r="A191">
        <f>ODDLYIELD(DATE(2024,6,1),DATE(2028,6,30),DATE(2024,5,15),"0.05",98,100,2,0)</f>
        <v>5.5894981965137709E-2</v>
      </c>
    </row>
    <row r="192" spans="1:1" x14ac:dyDescent="0.25">
      <c r="A192" t="e">
        <f>ODDLYIELD(DATE(2024,6,1),DATE(2028,6,30),DATE(2024,5,15),NA(),98,100,2,0)</f>
        <v>#N/A</v>
      </c>
    </row>
    <row r="193" spans="1:1" x14ac:dyDescent="0.25">
      <c r="A193">
        <f>ODDLYIELD(DATE(2024,6,1),DATE(2028,6,30),DATE(2024,5,15),0.05,98,100,2)</f>
        <v>5.5894981965137709E-2</v>
      </c>
    </row>
    <row r="194" spans="1:1" x14ac:dyDescent="0.25">
      <c r="A194">
        <f>ODDLYIELD(DATE(2024,6,1)+0.75,DATE(2028,6,30)+0.75,DATE(2024,5,15)+0.75,0.05,98,100,2,0)</f>
        <v>5.5894981965137709E-2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2026-10-21T02:26:11Z</dcterms:created>
  <dcterms:modified xsi:type="dcterms:W3CDTF">2026-10-21T02:26:12Z</dcterms:modified>
</cp:coreProperties>
</file>