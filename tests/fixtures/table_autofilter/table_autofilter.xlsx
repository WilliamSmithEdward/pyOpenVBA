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E69E757-A8A6-4A7D-880E-0072B62979C7}" xr6:coauthVersionLast="47" xr6:coauthVersionMax="47" xr10:uidLastSave="{00000000-0000-0000-0000-000000000000}"/>
  <bookViews>
    <workbookView xWindow="1950" yWindow="1950" windowWidth="7920" windowHeight="13995" firstSheet="75" activeTab="75" xr2:uid="{46787AA7-3FBB-41DF-AEEB-1395833976B8}"/>
  </bookViews>
  <sheets>
    <sheet name="table" sheetId="1" r:id="rId1"/>
    <sheet name="equals" sheetId="2" r:id="rId2"/>
    <sheet name="not_equal" sheetId="3" r:id="rId3"/>
    <sheet name="wildcard" sheetId="4" r:id="rId4"/>
    <sheet name="number_greater" sheetId="5" r:id="rId5"/>
    <sheet name="between_and" sheetId="6" r:id="rId6"/>
    <sheet name="either_or" sheetId="7" r:id="rId7"/>
    <sheet name="or_blank" sheetId="8" r:id="rId8"/>
    <sheet name="values_list" sheetId="9" r:id="rId9"/>
    <sheet name="values_three" sheetId="10" r:id="rId10"/>
    <sheet name="top_items" sheetId="11" r:id="rId11"/>
    <sheet name="above_average" sheetId="12" r:id="rId12"/>
    <sheet name="date_after" sheetId="13" r:id="rId13"/>
    <sheet name="blanks" sheetId="14" r:id="rId14"/>
    <sheet name="two_fields" sheetId="15" r:id="rId15"/>
    <sheet name="clear_field" sheetId="16" r:id="rId16"/>
    <sheet name="cell_in_table" sheetId="17" r:id="rId17"/>
    <sheet name="part_of_table" sheetId="18" r:id="rId18"/>
    <sheet name="data_body" sheetId="19" r:id="rId19"/>
    <sheet name="column_range" sheetId="20" r:id="rId20"/>
    <sheet name="whole_columns" sheetId="21" r:id="rId21"/>
    <sheet name="overlapping" sheetId="22" r:id="rId22"/>
    <sheet name="field_outside" sheetId="23" r:id="rId23"/>
    <sheet name="hidden_dropdown" sheetId="24" r:id="rId24"/>
    <sheet name="toggle" sheetId="25" r:id="rId25"/>
    <sheet name="toggle_twice" sheetId="26" r:id="rId26"/>
    <sheet name="toggle_filtered" sheetId="27" r:id="rId27"/>
    <sheet name="cell_toggle" sheetId="28" r:id="rId28"/>
    <sheet name="show_all_object" sheetId="29" r:id="rId29"/>
    <sheet name="show_all_unfiltered" sheetId="30" r:id="rId30"/>
    <sheet name="show_all_sheet" sheetId="31" r:id="rId31"/>
    <sheet name="show_all_sheet_unfiltered" sheetId="32" r:id="rId32"/>
    <sheet name="show_off" sheetId="33" r:id="rId33"/>
    <sheet name="show_off_on" sheetId="34" r:id="rId34"/>
    <sheet name="show_off_then_filter" sheetId="35" r:id="rId35"/>
    <sheet name="mode_off" sheetId="36" r:id="rId36"/>
    <sheet name="apply_filter" sheetId="37" r:id="rId37"/>
    <sheet name="edit_after" sheetId="38" r:id="rId38"/>
    <sheet name="parent" sheetId="39" r:id="rId39"/>
    <sheet name="beside_sheet_filter" sheetId="40" r:id="rId40"/>
    <sheet name="sheet_filter_after" sheetId="41" r:id="rId41"/>
    <sheet name="sheet_show_all_both" sheetId="42" r:id="rId42"/>
    <sheet name="sheet_mode_off_both" sheetId="43" r:id="rId43"/>
    <sheet name="two_tables" sheetId="44" r:id="rId44"/>
    <sheet name="subtotal" sheetId="45" r:id="rId45"/>
    <sheet name="subtotal_hand_hidden" sheetId="46" r:id="rId46"/>
    <sheet name="edit_outside" sheetId="47" r:id="rId47"/>
    <sheet name="edit_inside" sheetId="48" r:id="rId48"/>
    <sheet name="visible_cells" sheetId="49" r:id="rId49"/>
    <sheet name="totals" sheetId="50" r:id="rId50"/>
    <sheet name="totals_sum" sheetId="51" r:id="rId51"/>
    <sheet name="no_headers" sheetId="52" r:id="rId52"/>
    <sheet name="no_headers_filter" sheetId="53" r:id="rId53"/>
    <sheet name="resize_filtered" sheetId="54" r:id="rId54"/>
    <sheet name="resize_unfiltered" sheetId="55" r:id="rId55"/>
    <sheet name="resize_gap" sheetId="56" r:id="rId56"/>
    <sheet name="resize_one_column" sheetId="57" r:id="rId57"/>
    <sheet name="row_added" sheetId="58" r:id="rId58"/>
    <sheet name="column_added" sheetId="59" r:id="rId59"/>
    <sheet name="table_deleted" sheetId="60" r:id="rId60"/>
    <sheet name="deleted_show_all" sheetId="61" r:id="rId61"/>
    <sheet name="deleted_refilter" sheetId="62" r:id="rId62"/>
    <sheet name="select_outside" sheetId="63" r:id="rId63"/>
    <sheet name="select_outside_show_all" sheetId="64" r:id="rId64"/>
    <sheet name="select_outside_mode_off" sheetId="65" r:id="rId65"/>
    <sheet name="both_select_sheet" sheetId="66" r:id="rId66"/>
    <sheet name="both_select_outside" sheetId="67" r:id="rId67"/>
    <sheet name="both_select_sheet_show_all" sheetId="68" r:id="rId68"/>
    <sheet name="both_select_sheet_mode_off" sheetId="69" r:id="rId69"/>
    <sheet name="two_tables_select_second" sheetId="70" r:id="rId70"/>
    <sheet name="two_tables_show_all" sheetId="71" r:id="rId71"/>
    <sheet name="edit_selected_outside" sheetId="72" r:id="rId72"/>
    <sheet name="subtotal_selected_outside" sheetId="73" r:id="rId73"/>
    <sheet name="subtotal_selected_inside" sheetId="74" r:id="rId74"/>
    <sheet name="made_over_filter" sheetId="75" r:id="rId75"/>
    <sheet name="made_over_arrows" sheetId="76" r:id="rId76"/>
  </sheets>
  <definedNames>
    <definedName name="_xlnm._FilterDatabase" localSheetId="39" hidden="1">beside_sheet_filter!$F$1:$F$9</definedName>
    <definedName name="_xlnm._FilterDatabase" localSheetId="66" hidden="1">both_select_outside!$F$1:$F$9</definedName>
    <definedName name="_xlnm._FilterDatabase" localSheetId="65" hidden="1">both_select_sheet!$F$1:$F$9</definedName>
    <definedName name="_xlnm._FilterDatabase" localSheetId="68" hidden="1">both_select_sheet_mode_off!$F$1:$F$9</definedName>
    <definedName name="_xlnm._FilterDatabase" localSheetId="67" hidden="1">both_select_sheet_show_all!$F$1:$F$9</definedName>
    <definedName name="_xlnm._FilterDatabase" localSheetId="75" hidden="1">made_over_arrows!$A$1:$D$13</definedName>
    <definedName name="_xlnm._FilterDatabase" localSheetId="74" hidden="1">made_over_filter!$A$1:$D$13</definedName>
    <definedName name="_xlnm._FilterDatabase" localSheetId="40" hidden="1">sheet_filter_after!$F$1:$F$9</definedName>
    <definedName name="_xlnm._FilterDatabase" localSheetId="42" hidden="1">sheet_mode_off_both!$F$1:$F$9</definedName>
    <definedName name="_xlnm._FilterDatabase" localSheetId="41" hidden="1">sheet_show_all_both!$F$1:$F$9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76" l="1"/>
  <c r="B11" i="75"/>
  <c r="H1" i="74"/>
  <c r="B11" i="74"/>
  <c r="H1" i="73"/>
  <c r="B11" i="73"/>
  <c r="B11" i="72"/>
  <c r="B11" i="71"/>
  <c r="B11" i="70"/>
  <c r="B11" i="69"/>
  <c r="B11" i="68"/>
  <c r="B11" i="67"/>
  <c r="B11" i="66"/>
  <c r="B11" i="65"/>
  <c r="B11" i="64"/>
  <c r="B11" i="63"/>
  <c r="C11" i="59"/>
  <c r="B11" i="58"/>
  <c r="B11" i="55"/>
  <c r="B11" i="54"/>
  <c r="B11" i="53"/>
  <c r="B11" i="52"/>
  <c r="B14" i="51"/>
  <c r="D14" i="51"/>
  <c r="B11" i="51"/>
  <c r="D14" i="50"/>
  <c r="B11" i="50"/>
  <c r="B11" i="49"/>
  <c r="B11" i="48"/>
  <c r="B11" i="47"/>
  <c r="H1" i="46"/>
  <c r="B11" i="46"/>
  <c r="H3" i="45"/>
  <c r="H2" i="45"/>
  <c r="H1" i="45"/>
  <c r="B11" i="45"/>
  <c r="B11" i="44"/>
  <c r="B11" i="43"/>
  <c r="B11" i="42"/>
  <c r="B11" i="41"/>
  <c r="B11" i="40"/>
  <c r="B11" i="39"/>
  <c r="B11" i="38"/>
  <c r="B11" i="37"/>
  <c r="B11" i="36"/>
  <c r="B11" i="35"/>
  <c r="B11" i="34"/>
  <c r="B11" i="33"/>
  <c r="B11" i="32"/>
  <c r="B11" i="31"/>
  <c r="B11" i="30"/>
  <c r="B11" i="29"/>
  <c r="B11" i="28"/>
  <c r="B11" i="27"/>
  <c r="B11" i="26"/>
  <c r="B11" i="25"/>
  <c r="B11" i="24"/>
  <c r="B11" i="23"/>
  <c r="B11" i="22"/>
  <c r="B11" i="21"/>
  <c r="B11" i="20"/>
  <c r="B11" i="19"/>
  <c r="B11" i="18"/>
  <c r="B11" i="17"/>
  <c r="B11" i="16"/>
  <c r="B11" i="15"/>
  <c r="B11" i="14"/>
  <c r="B11" i="13"/>
  <c r="B11" i="12"/>
  <c r="B11" i="11"/>
  <c r="B11" i="10"/>
  <c r="B11" i="9"/>
  <c r="B11" i="8"/>
  <c r="B11" i="7"/>
  <c r="B11" i="6"/>
  <c r="B11" i="5"/>
  <c r="B11" i="4"/>
  <c r="B11" i="3"/>
  <c r="B11" i="2"/>
  <c r="B11" i="1"/>
</calcChain>
</file>

<file path=xl/sharedStrings.xml><?xml version="1.0" encoding="utf-8"?>
<sst xmlns="http://schemas.openxmlformats.org/spreadsheetml/2006/main" count="1545" uniqueCount="25">
  <si>
    <t>Name</t>
  </si>
  <si>
    <t>Qty</t>
  </si>
  <si>
    <t>Day</t>
  </si>
  <si>
    <t>Note</t>
  </si>
  <si>
    <t>apple</t>
  </si>
  <si>
    <t>x</t>
  </si>
  <si>
    <t>Apple</t>
  </si>
  <si>
    <t>y</t>
  </si>
  <si>
    <t>banana</t>
  </si>
  <si>
    <t>cherry</t>
  </si>
  <si>
    <t>apple pie</t>
  </si>
  <si>
    <t>b*</t>
  </si>
  <si>
    <t>~</t>
  </si>
  <si>
    <t>123</t>
  </si>
  <si>
    <t>5</t>
  </si>
  <si>
    <t>text</t>
  </si>
  <si>
    <t>Banana</t>
  </si>
  <si>
    <t>date</t>
  </si>
  <si>
    <t>N</t>
  </si>
  <si>
    <t>z</t>
  </si>
  <si>
    <t>Total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</si>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</sst>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quotePrefix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107809-38A5-4297-93D5-1319C8A0037C}" name="Table1" displayName="Table1" ref="A1:D13" totalsRowShown="0">
  <autoFilter ref="A1:D13" xr:uid="{05107809-38A5-4297-93D5-1319C8A0037C}"/>
  <tableColumns count="4">
    <tableColumn id="1" xr3:uid="{B73CC69C-64C8-45DF-9ADF-550E25FAB0EC}" name="Name"/>
    <tableColumn id="2" xr3:uid="{C89EA6D6-05EB-44BB-BFD1-393C4FF545C7}" name="Qty"/>
    <tableColumn id="3" xr3:uid="{CDAB2666-08AF-4A02-B835-AEAB07A6EAEF}" name="Day"/>
    <tableColumn id="4" xr3:uid="{B97ADE25-0BB5-42A2-8C39-945587BFA451}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FA7916-2C57-47ED-A21F-C40F85E330E0}" name="Table2" displayName="Table2" ref="A1:D13" totalsRowShown="0">
  <autoFilter ref="A1:D13" xr:uid="{1DFA7916-2C57-47ED-A21F-C40F85E330E0}">
    <filterColumn colId="0">
      <filters>
        <filter val="apple"/>
      </filters>
    </filterColumn>
  </autoFilter>
  <tableColumns count="4">
    <tableColumn id="1" xr3:uid="{BE1AA0E8-1E7B-4B9B-9E14-81775D6CE523}" name="Name"/>
    <tableColumn id="2" xr3:uid="{D51395F5-9A47-4A66-904E-E41FD84F8695}" name="Qty"/>
    <tableColumn id="3" xr3:uid="{06BB7B0B-CB2A-4E65-9DF6-C2B44BB83B91}" name="Day"/>
    <tableColumn id="4" xr3:uid="{D9454487-5A55-4F05-BC6A-D330B1584CA5}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ABB823-9F87-4601-9B2A-B60CF2B25399}" name="Table3" displayName="Table3" ref="A1:D13" totalsRowShown="0">
  <autoFilter ref="A1:D13" xr:uid="{92ABB823-9F87-4601-9B2A-B60CF2B25399}">
    <filterColumn colId="0">
      <customFilters>
        <customFilter operator="notEqual" val="apple"/>
      </customFilters>
    </filterColumn>
  </autoFilter>
  <tableColumns count="4">
    <tableColumn id="1" xr3:uid="{CE544A4E-8C82-4FE2-B434-F9BCA742E64C}" name="Name"/>
    <tableColumn id="2" xr3:uid="{CC0504B5-3245-48BE-8C8C-F4D8A4C69BA7}" name="Qty"/>
    <tableColumn id="3" xr3:uid="{18CFB51C-BF7A-4D22-9811-5269CEEFCE80}" name="Day"/>
    <tableColumn id="4" xr3:uid="{72F93572-E949-4A43-BD1E-908FE70C558D}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A1D3B6-BA32-4DDD-A7CC-9F96943E18E3}" name="Table4" displayName="Table4" ref="A1:D13" totalsRowShown="0">
  <autoFilter ref="A1:D13" xr:uid="{0AA1D3B6-BA32-4DDD-A7CC-9F96943E18E3}">
    <filterColumn colId="0">
      <customFilters>
        <customFilter val="a*"/>
      </customFilters>
    </filterColumn>
  </autoFilter>
  <tableColumns count="4">
    <tableColumn id="1" xr3:uid="{71E51512-5C5A-4B48-9F20-A1F1A9062F36}" name="Name"/>
    <tableColumn id="2" xr3:uid="{8C859FAC-25F9-4AC1-BE86-22BC97E0496B}" name="Qty"/>
    <tableColumn id="3" xr3:uid="{7CE09EF0-9DDA-474D-8D69-96A66B85F4C1}" name="Day"/>
    <tableColumn id="4" xr3:uid="{D0B6BE5B-5CC8-4449-ADED-BF8793550CB1}" name="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72E67E-A830-4F9C-93CD-6BBE3E2D3D9A}" name="Table5" displayName="Table5" ref="A1:D13" totalsRowShown="0">
  <autoFilter ref="A1:D13" xr:uid="{6972E67E-A830-4F9C-93CD-6BBE3E2D3D9A}">
    <filterColumn colId="1">
      <customFilters>
        <customFilter operator="greaterThan" val="2"/>
      </customFilters>
    </filterColumn>
  </autoFilter>
  <tableColumns count="4">
    <tableColumn id="1" xr3:uid="{49395258-1662-4D2D-A2C2-AB4B93699DE1}" name="Name"/>
    <tableColumn id="2" xr3:uid="{CD6CEFA5-40D0-411A-A85B-344965CE9484}" name="Qty"/>
    <tableColumn id="3" xr3:uid="{09941F76-5279-4DCC-9522-E2CFBF1E29D2}" name="Day"/>
    <tableColumn id="4" xr3:uid="{48871E25-F6F1-4BEB-9802-71C513678974}" name="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BACEC8-A5F3-447E-9FD1-9C849A2847B0}" name="Table6" displayName="Table6" ref="A1:D13" totalsRowShown="0">
  <autoFilter ref="A1:D13" xr:uid="{F2BACEC8-A5F3-447E-9FD1-9C849A2847B0}">
    <filterColumn colId="1">
      <customFilters and="1">
        <customFilter operator="greaterThanOrEqual" val="1"/>
        <customFilter operator="lessThanOrEqual" val="10"/>
      </customFilters>
    </filterColumn>
  </autoFilter>
  <tableColumns count="4">
    <tableColumn id="1" xr3:uid="{06A848C3-CBAE-489C-AAA6-F3CF3BA4F891}" name="Name"/>
    <tableColumn id="2" xr3:uid="{28F193A9-3D85-48BC-B9F8-8D6C8F6D31EE}" name="Qty"/>
    <tableColumn id="3" xr3:uid="{1585B16B-C9AE-4C98-9708-F35900445FA6}" name="Day"/>
    <tableColumn id="4" xr3:uid="{FC37AF77-597D-4B1F-A158-DE0DA814E55B}" name="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CEBAC96-F464-49E6-BBBF-E8E2821026D6}" name="Table7" displayName="Table7" ref="A1:D13" totalsRowShown="0">
  <autoFilter ref="A1:D13" xr:uid="{2CEBAC96-F464-49E6-BBBF-E8E2821026D6}">
    <filterColumn colId="0">
      <filters>
        <filter val="apple"/>
        <filter val="cherry"/>
      </filters>
    </filterColumn>
  </autoFilter>
  <tableColumns count="4">
    <tableColumn id="1" xr3:uid="{51FCACF8-971A-4F85-8C5B-BEE6E25E7263}" name="Name"/>
    <tableColumn id="2" xr3:uid="{A7A272FB-AF08-4B21-AD02-ADC31287EACC}" name="Qty"/>
    <tableColumn id="3" xr3:uid="{7F279DAD-2D37-4574-B594-F9C41D415EF1}" name="Day"/>
    <tableColumn id="4" xr3:uid="{11758A8A-A1D2-4B47-B25C-C5D90A71F2E9}" name="No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0266F6B-205E-40D5-B0A5-45D66D2D0A13}" name="Table8" displayName="Table8" ref="A1:D13" totalsRowShown="0">
  <autoFilter ref="A1:D13" xr:uid="{70266F6B-205E-40D5-B0A5-45D66D2D0A13}">
    <filterColumn colId="3">
      <filters blank="1">
        <filter val="x"/>
      </filters>
    </filterColumn>
  </autoFilter>
  <tableColumns count="4">
    <tableColumn id="1" xr3:uid="{CBE2A05C-075C-4EE4-8D69-14BDF9CCFEDA}" name="Name"/>
    <tableColumn id="2" xr3:uid="{D418C4AE-A8A5-4BC1-93A2-364D125DF575}" name="Qty"/>
    <tableColumn id="3" xr3:uid="{D10C8F7C-DFA0-44E8-8A83-3932CCB2E97E}" name="Day"/>
    <tableColumn id="4" xr3:uid="{B272BEBB-A0CC-44DC-83EC-16ECAD9DA25B}" name="No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9A910AB-4546-4D44-9014-5862F298DC48}" name="Table9" displayName="Table9" ref="A1:D13" totalsRowShown="0">
  <autoFilter ref="A1:D13" xr:uid="{89A910AB-4546-4D44-9014-5862F298DC48}">
    <filterColumn colId="0">
      <filters>
        <filter val="apple"/>
        <filter val="cherry"/>
      </filters>
    </filterColumn>
  </autoFilter>
  <tableColumns count="4">
    <tableColumn id="1" xr3:uid="{55AE0A44-CC2D-4F95-B5A9-7B32310BCBEF}" name="Name"/>
    <tableColumn id="2" xr3:uid="{20C724C0-F6D0-459F-88F2-DDB057839722}" name="Qty"/>
    <tableColumn id="3" xr3:uid="{B6499CC7-CBBB-4243-A195-73F109A91732}" name="Day"/>
    <tableColumn id="4" xr3:uid="{D3AE008D-1E64-4165-9122-2D9492C259E6}" name="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DA26DD4-4652-4553-95AD-E34DAC216F42}" name="Table10" displayName="Table10" ref="A1:D13" totalsRowShown="0">
  <autoFilter ref="A1:D13" xr:uid="{EDA26DD4-4652-4553-95AD-E34DAC216F42}">
    <filterColumn colId="0">
      <filters>
        <filter val="apple"/>
        <filter val="banana"/>
        <filter val="cherry"/>
      </filters>
    </filterColumn>
  </autoFilter>
  <tableColumns count="4">
    <tableColumn id="1" xr3:uid="{F4F283ED-8971-4B30-B644-9FF478E63B86}" name="Name"/>
    <tableColumn id="2" xr3:uid="{6E4AD809-5EB3-48A2-9312-AB512B4301A9}" name="Qty"/>
    <tableColumn id="3" xr3:uid="{5D8D3061-E1BD-40B3-B56E-F6583E6F0301}" name="Day"/>
    <tableColumn id="4" xr3:uid="{1A5AE2E5-84F5-4824-8DC3-33AB93700486}" name="Not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8DB61EB-DCD9-400F-A86D-F0DD3F4F9D7B}" name="Table11" displayName="Table11" ref="A1:D13" totalsRowShown="0">
  <autoFilter ref="A1:D13" xr:uid="{B8DB61EB-DCD9-400F-A86D-F0DD3F4F9D7B}"/>
  <tableColumns count="4">
    <tableColumn id="1" xr3:uid="{82E732C3-2229-4608-A3F3-23DF59E62D00}" name="Name"/>
    <tableColumn id="2" xr3:uid="{50671803-D96B-44F2-95BD-549965FBB06D}" name="Qty"/>
    <tableColumn id="3" xr3:uid="{604C1440-8A86-4563-B803-D570C8D1CAE4}" name="Day"/>
    <tableColumn id="4" xr3:uid="{D6A8F875-36D6-4747-B53D-8931B6D41908}" name="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A222C19-4F47-471A-9311-5A20809EAF95}" name="Table12" displayName="Table12" ref="A1:D13" totalsRowShown="0">
  <autoFilter ref="A1:D13" xr:uid="{BA222C19-4F47-471A-9311-5A20809EAF95}"/>
  <tableColumns count="4">
    <tableColumn id="1" xr3:uid="{802239D9-BE9C-465B-BA01-67AC6721286C}" name="Name"/>
    <tableColumn id="2" xr3:uid="{626F070F-1C0C-40BE-85AC-20E30D43B710}" name="Qty"/>
    <tableColumn id="3" xr3:uid="{EEA53F13-C8E1-4AB9-89B7-FE01C44725CD}" name="Day"/>
    <tableColumn id="4" xr3:uid="{93C0EEEA-4B20-49CE-97E2-CFEA76D3E447}" name="Not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2EE19DC-EDB8-4628-AE5B-D573A937DBB7}" name="Table13" displayName="Table13" ref="A1:D13" totalsRowShown="0">
  <autoFilter ref="A1:D13" xr:uid="{72EE19DC-EDB8-4628-AE5B-D573A937DBB7}">
    <filterColumn colId="2">
      <customFilters>
        <customFilter operator="greaterThan" val="43845"/>
      </customFilters>
    </filterColumn>
  </autoFilter>
  <tableColumns count="4">
    <tableColumn id="1" xr3:uid="{C594F5EB-8CF4-4AE7-B7C6-641D4CA79185}" name="Name"/>
    <tableColumn id="2" xr3:uid="{56D8B7B0-4914-4CEE-A285-3AF152D6A27F}" name="Qty"/>
    <tableColumn id="3" xr3:uid="{00394AD8-581D-4875-BDA6-0E97BD273455}" name="Day"/>
    <tableColumn id="4" xr3:uid="{37D276EE-473C-45C9-A5E2-1FBEE9D2E418}" name="No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24447F5-1C12-44CC-A3AE-C55499918A7C}" name="Table14" displayName="Table14" ref="A1:D13" totalsRowShown="0">
  <autoFilter ref="A1:D13" xr:uid="{324447F5-1C12-44CC-A3AE-C55499918A7C}">
    <filterColumn colId="3">
      <filters blank="1"/>
    </filterColumn>
  </autoFilter>
  <tableColumns count="4">
    <tableColumn id="1" xr3:uid="{0E7E3963-438F-4BD0-858A-43F2298CB255}" name="Name"/>
    <tableColumn id="2" xr3:uid="{C4ECB6EA-87C6-43C5-9CFE-35982EFDA5DA}" name="Qty"/>
    <tableColumn id="3" xr3:uid="{42BD0E16-2F22-414A-9358-E827110C486E}" name="Day"/>
    <tableColumn id="4" xr3:uid="{8246EF11-BA3F-4506-AE9E-0DD7F2DBA9EC}" name="Not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FB8CFB5-7B48-474B-8B33-4F9771283C7C}" name="Table15" displayName="Table15" ref="A1:D13" totalsRowShown="0">
  <autoFilter ref="A1:D13" xr:uid="{EFB8CFB5-7B48-474B-8B33-4F9771283C7C}">
    <filterColumn colId="0">
      <filters>
        <filter val="cherry"/>
      </filters>
    </filterColumn>
    <filterColumn colId="3">
      <filters>
        <filter val="y"/>
      </filters>
    </filterColumn>
  </autoFilter>
  <tableColumns count="4">
    <tableColumn id="1" xr3:uid="{B04088B5-2665-400A-BECC-269093333D2B}" name="Name"/>
    <tableColumn id="2" xr3:uid="{BFF35530-3E32-4900-8B83-F62768F5DC8D}" name="Qty"/>
    <tableColumn id="3" xr3:uid="{C169CDA4-2CEC-46AD-A347-59AA7FEF9181}" name="Day"/>
    <tableColumn id="4" xr3:uid="{8848F618-9A49-462A-B2BA-3F3862FC7852}" name="Not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FA1E7CB-CA79-4EC8-9555-0BE43F2F4F6A}" name="Table16" displayName="Table16" ref="A1:D13" totalsRowShown="0">
  <autoFilter ref="A1:D13" xr:uid="{FFA1E7CB-CA79-4EC8-9555-0BE43F2F4F6A}"/>
  <tableColumns count="4">
    <tableColumn id="1" xr3:uid="{A4F458FB-8950-4639-BD28-4AF66F6ABC5D}" name="Name"/>
    <tableColumn id="2" xr3:uid="{566A0C54-F10D-4D23-A420-1C8AEDCA5898}" name="Qty"/>
    <tableColumn id="3" xr3:uid="{8662EADF-3CE6-4610-B9C1-50DDD487B773}" name="Day"/>
    <tableColumn id="4" xr3:uid="{DBEB1B48-B3D1-4DEA-8026-56597B0A7490}" name="Not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1BC706C-61C0-4BBB-B1A4-F82FBFED3971}" name="Table17" displayName="Table17" ref="A1:D13" totalsRowShown="0">
  <autoFilter ref="A1:D13" xr:uid="{01BC706C-61C0-4BBB-B1A4-F82FBFED3971}">
    <filterColumn colId="0">
      <filters>
        <filter val="apple"/>
      </filters>
    </filterColumn>
  </autoFilter>
  <tableColumns count="4">
    <tableColumn id="1" xr3:uid="{F06E5FDB-03D6-4297-B2DE-9F1071E60916}" name="Name"/>
    <tableColumn id="2" xr3:uid="{ABB1AEA1-7E86-45F3-80A1-FB8411F124E3}" name="Qty"/>
    <tableColumn id="3" xr3:uid="{0A9DE040-51CC-4839-B23E-B72F9F1BBDBB}" name="Day"/>
    <tableColumn id="4" xr3:uid="{A3CF846D-0796-4089-BB54-7F7D112F915B}" name="Not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A9CBE28-E4F0-4682-92FE-CA752BC3574D}" name="Table18" displayName="Table18" ref="A1:D13" totalsRowShown="0">
  <autoFilter ref="A1:D13" xr:uid="{5A9CBE28-E4F0-4682-92FE-CA752BC3574D}">
    <filterColumn colId="1">
      <customFilters>
        <customFilter operator="greaterThan" val="2"/>
      </customFilters>
    </filterColumn>
  </autoFilter>
  <tableColumns count="4">
    <tableColumn id="1" xr3:uid="{466B8C88-87A8-4A64-9FDF-A64D48930EC3}" name="Name"/>
    <tableColumn id="2" xr3:uid="{F7E53521-371B-4993-B305-734675DEC284}" name="Qty"/>
    <tableColumn id="3" xr3:uid="{0F041BB2-2FCF-4131-8C60-8DB4DE3B5EDA}" name="Day"/>
    <tableColumn id="4" xr3:uid="{678AFD04-730F-4BDD-B9B0-30E2C2B71C28}" name="Not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1D422B5-A921-4AB5-8C0A-650912D20CE0}" name="Table19" displayName="Table19" ref="A1:D13" totalsRowShown="0">
  <autoFilter ref="A1:D13" xr:uid="{B1D422B5-A921-4AB5-8C0A-650912D20CE0}">
    <filterColumn colId="0">
      <filters>
        <filter val="apple"/>
      </filters>
    </filterColumn>
  </autoFilter>
  <tableColumns count="4">
    <tableColumn id="1" xr3:uid="{8E14910A-1C5B-4323-8CB4-68DF2BAA0510}" name="Name"/>
    <tableColumn id="2" xr3:uid="{AD3DDD30-30E1-4BC7-8C8D-5DF46B6B9232}" name="Qty"/>
    <tableColumn id="3" xr3:uid="{06D1C94B-6293-4EC6-98CB-95111C66AAE3}" name="Day"/>
    <tableColumn id="4" xr3:uid="{10A80468-66FB-4C5E-B1B8-57C41732B1DF}" name="Not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BE179CD-6B3A-4AD7-834F-754B9938A100}" name="Table20" displayName="Table20" ref="A1:D13" totalsRowShown="0">
  <autoFilter ref="A1:D13" xr:uid="{DBE179CD-6B3A-4AD7-834F-754B9938A100}">
    <filterColumn colId="0">
      <customFilters>
        <customFilter operator="greaterThan" val="2"/>
      </customFilters>
    </filterColumn>
  </autoFilter>
  <tableColumns count="4">
    <tableColumn id="1" xr3:uid="{2D14893F-F5CC-4C6B-B96E-5D25C338DDFB}" name="Name"/>
    <tableColumn id="2" xr3:uid="{142645F9-6AC2-404F-AAB5-EDC5EA82D318}" name="Qty"/>
    <tableColumn id="3" xr3:uid="{57C1B2E5-39F2-46D9-967E-ED06FAA08F65}" name="Day"/>
    <tableColumn id="4" xr3:uid="{9F29D0FB-FC85-4ED2-B3FA-9692D89BCDAC}" name="Not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3B925AF-F16D-4AC2-80D7-31ED1FF19A7D}" name="Table21" displayName="Table21" ref="A1:D13" totalsRowShown="0">
  <autoFilter ref="A1:D13" xr:uid="{43B925AF-F16D-4AC2-80D7-31ED1FF19A7D}"/>
  <tableColumns count="4">
    <tableColumn id="1" xr3:uid="{FE469952-8AB4-4EC8-930D-36EE218040FE}" name="Name"/>
    <tableColumn id="2" xr3:uid="{1E92F18D-F4D2-4E46-9717-66338BAF0ED3}" name="Qty"/>
    <tableColumn id="3" xr3:uid="{4BB3E22C-23DF-422A-A96B-B51C54F3382D}" name="Day"/>
    <tableColumn id="4" xr3:uid="{83D3BB03-2DBF-447A-90BC-2E08484D25C6}" name="Not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2F83D67-4F9F-4678-BD71-3CCCFA6FEEFD}" name="Table22" displayName="Table22" ref="A1:D13" totalsRowShown="0">
  <autoFilter ref="A1:D13" xr:uid="{62F83D67-4F9F-4678-BD71-3CCCFA6FEEFD}"/>
  <tableColumns count="4">
    <tableColumn id="1" xr3:uid="{347918E6-8897-442F-8041-7507E0098736}" name="Name"/>
    <tableColumn id="2" xr3:uid="{D8049220-7008-47DA-AEA4-E3AC8F82F7A6}" name="Qty"/>
    <tableColumn id="3" xr3:uid="{F2650D5D-E274-450D-B42B-3E4181667054}" name="Day"/>
    <tableColumn id="4" xr3:uid="{CF3463D7-FE2C-4591-9589-6B0A451E1C04}" name="Not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25C8618-A1AA-4651-9C69-6E69A14F82F6}" name="Table23" displayName="Table23" ref="A1:D13" totalsRowShown="0">
  <autoFilter ref="A1:D13" xr:uid="{725C8618-A1AA-4651-9C69-6E69A14F82F6}"/>
  <tableColumns count="4">
    <tableColumn id="1" xr3:uid="{048205ED-C8DE-4BCE-86B1-D78B6A0EF687}" name="Name"/>
    <tableColumn id="2" xr3:uid="{71CB70FD-4F2B-46AC-B066-BBE048C149FA}" name="Qty"/>
    <tableColumn id="3" xr3:uid="{C31AE34C-E68B-466E-9637-6A66000D291A}" name="Day"/>
    <tableColumn id="4" xr3:uid="{A9B485B9-CDCA-453E-9AE0-CF43F8E52BC2}" name="Not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A66038A-C406-4DED-A6B8-CAC06A661DB2}" name="Table24" displayName="Table24" ref="A1:D13" totalsRowShown="0">
  <autoFilter ref="A1:D13" xr:uid="{0A66038A-C406-4DED-A6B8-CAC06A661DB2}">
    <filterColumn colId="0" hiddenButton="1">
      <filters>
        <filter val="apple"/>
      </filters>
    </filterColumn>
  </autoFilter>
  <tableColumns count="4">
    <tableColumn id="1" xr3:uid="{BD5B1975-E697-4312-B86E-72D001CEF04A}" name="Name"/>
    <tableColumn id="2" xr3:uid="{69F8857B-4558-48B7-80CE-4BFAC5D170F0}" name="Qty"/>
    <tableColumn id="3" xr3:uid="{99A2D8D0-466A-4AEC-A913-6CB19ECD0303}" name="Day"/>
    <tableColumn id="4" xr3:uid="{F6997B04-6C15-4131-8B55-BF8446F40FCB}" name="Not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59A5200-DDD3-4493-96D1-96319A0C9199}" name="Table25" displayName="Table25" ref="A1:D13" totalsRowShown="0">
  <tableColumns count="4">
    <tableColumn id="1" xr3:uid="{D7A54C40-4E6D-4DB6-9DD3-66E291D93949}" name="Name"/>
    <tableColumn id="2" xr3:uid="{B9CD218C-A59B-4F8F-940E-5288C88BE883}" name="Qty"/>
    <tableColumn id="3" xr3:uid="{C41E40C0-56B3-473E-9DB7-641840EEE252}" name="Day"/>
    <tableColumn id="4" xr3:uid="{4C7C1122-EA2D-43F3-B281-4F01061614DA}" name="Not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1383E4B-59D7-4BDE-8390-40DC42689F81}" name="Table26" displayName="Table26" ref="A1:D13" totalsRowShown="0">
  <autoFilter ref="A1:D13" xr:uid="{71383E4B-59D7-4BDE-8390-40DC42689F81}"/>
  <tableColumns count="4">
    <tableColumn id="1" xr3:uid="{181D088E-C564-4B2D-A994-7E5671F8066A}" name="Name"/>
    <tableColumn id="2" xr3:uid="{EC6D7760-DFB8-4055-AC45-82CE74E0D729}" name="Qty"/>
    <tableColumn id="3" xr3:uid="{F2043EDC-735F-4969-A62E-25269453AA65}" name="Day"/>
    <tableColumn id="4" xr3:uid="{1007E8B1-D64C-489C-98F4-8F314FEA766D}" name="Not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772E2C8-CC40-4AD4-AC57-068CDA800BA5}" name="Table27" displayName="Table27" ref="A1:D13" totalsRowShown="0">
  <tableColumns count="4">
    <tableColumn id="1" xr3:uid="{4E884173-7FB3-4568-BB8A-99F552581731}" name="Name"/>
    <tableColumn id="2" xr3:uid="{6130AF18-8F29-4735-865F-A58A4A2A7CCB}" name="Qty"/>
    <tableColumn id="3" xr3:uid="{26E22028-9499-4E57-AC6B-14FED43FC669}" name="Day"/>
    <tableColumn id="4" xr3:uid="{2E386E8E-C417-466E-A23F-264A1DFAF511}" name="Not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DC8D10F-8690-4EBD-BAD8-9272CE9CCB24}" name="Table28" displayName="Table28" ref="A1:D13" totalsRowShown="0">
  <tableColumns count="4">
    <tableColumn id="1" xr3:uid="{6A2D5C2F-ABC4-4585-8376-0A2CCF37698E}" name="Name"/>
    <tableColumn id="2" xr3:uid="{DCBBD9A0-AE9C-45F5-92B3-DA61D0574812}" name="Qty"/>
    <tableColumn id="3" xr3:uid="{1D7E0D6D-9442-4F94-B3C7-F13E2AE5862D}" name="Day"/>
    <tableColumn id="4" xr3:uid="{793AD28E-DEC1-4854-A295-EAFB9BEB9648}" name="Not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1F14055-1262-478B-9CF1-E8B45EEC3A38}" name="Table29" displayName="Table29" ref="A1:D13" totalsRowShown="0">
  <autoFilter ref="A1:D13" xr:uid="{41F14055-1262-478B-9CF1-E8B45EEC3A38}"/>
  <tableColumns count="4">
    <tableColumn id="1" xr3:uid="{9C5F6CEC-D2BC-4AAB-BAAE-58805F288ACA}" name="Name"/>
    <tableColumn id="2" xr3:uid="{5FC30404-1150-48F0-99F1-0A951C318054}" name="Qty"/>
    <tableColumn id="3" xr3:uid="{FC85F1E6-E3C5-483B-8FC1-4D928AEECB8E}" name="Day"/>
    <tableColumn id="4" xr3:uid="{9A0B4BDF-1CAA-4D76-A9D5-70191ACE0065}" name="Not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8F362975-CF1D-49A4-8322-9BEEA2C075BB}" name="Table30" displayName="Table30" ref="A1:D13" totalsRowShown="0">
  <autoFilter ref="A1:D13" xr:uid="{8F362975-CF1D-49A4-8322-9BEEA2C075BB}"/>
  <tableColumns count="4">
    <tableColumn id="1" xr3:uid="{367C8948-1E76-41BE-99EA-58420F8B2E52}" name="Name"/>
    <tableColumn id="2" xr3:uid="{909D4703-C234-4960-AAB7-CA50D8594356}" name="Qty"/>
    <tableColumn id="3" xr3:uid="{F83CC60B-E99D-42A8-AC36-F9029910F1CF}" name="Day"/>
    <tableColumn id="4" xr3:uid="{88C11DA1-4E0F-4F8D-BC0C-AB5D22DEF9D2}" name="Not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4594F0A6-EAA7-4FD6-8E6B-D49604A95DA4}" name="Table31" displayName="Table31" ref="A1:D13" totalsRowShown="0">
  <autoFilter ref="A1:D13" xr:uid="{4594F0A6-EAA7-4FD6-8E6B-D49604A95DA4}"/>
  <tableColumns count="4">
    <tableColumn id="1" xr3:uid="{1F7224FC-D55D-455F-8AF0-E1683C81307E}" name="Name"/>
    <tableColumn id="2" xr3:uid="{70A4A485-AA29-4CAD-9221-B3CE62B5DA2F}" name="Qty"/>
    <tableColumn id="3" xr3:uid="{6C6FFDF5-E110-4436-AD89-869660431704}" name="Day"/>
    <tableColumn id="4" xr3:uid="{7C9479D0-6A70-4658-8554-A44C25D257C0}" name="Note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6B5F9A4-54A8-4F1E-85A2-F8C9AE1B362F}" name="Table32" displayName="Table32" ref="A1:D13" totalsRowShown="0">
  <autoFilter ref="A1:D13" xr:uid="{86B5F9A4-54A8-4F1E-85A2-F8C9AE1B362F}"/>
  <tableColumns count="4">
    <tableColumn id="1" xr3:uid="{34A0B542-E1DE-46FB-BEC5-CCA98B4757A8}" name="Name"/>
    <tableColumn id="2" xr3:uid="{323335F1-C135-4932-82F7-43CD17DE8B2D}" name="Qty"/>
    <tableColumn id="3" xr3:uid="{6C61A30A-80B6-4E7B-96F3-E735A4FE6265}" name="Day"/>
    <tableColumn id="4" xr3:uid="{8AC3D75B-AB0D-48AF-B0EE-4E96FC0DF924}" name="Note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1184494B-27A8-43A8-AC89-2ABF034BAF28}" name="Table33" displayName="Table33" ref="A1:D13" totalsRowShown="0">
  <tableColumns count="4">
    <tableColumn id="1" xr3:uid="{BC60538B-4598-4F6C-8CE7-AEBD080A991B}" name="Name"/>
    <tableColumn id="2" xr3:uid="{633D6975-0E98-47E3-AE5D-D1E88EB74051}" name="Qty"/>
    <tableColumn id="3" xr3:uid="{F0A24094-FF1D-4B91-A325-D1AAF6358A47}" name="Day"/>
    <tableColumn id="4" xr3:uid="{DBB19230-11AE-4C77-B08F-BD57ABBD4AA9}" name="Note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E392B055-9ABD-4432-82F2-93D8E2163EAB}" name="Table34" displayName="Table34" ref="A1:D13" totalsRowShown="0">
  <autoFilter ref="A1:D13" xr:uid="{E392B055-9ABD-4432-82F2-93D8E2163EAB}"/>
  <tableColumns count="4">
    <tableColumn id="1" xr3:uid="{7062FB98-66C6-4AD7-B4EC-9964209CEEBD}" name="Name"/>
    <tableColumn id="2" xr3:uid="{AB03326F-1FD8-424C-9500-22E282EDA4A5}" name="Qty"/>
    <tableColumn id="3" xr3:uid="{86CA09D4-FCF8-4FFC-918A-1ADDB95DD182}" name="Day"/>
    <tableColumn id="4" xr3:uid="{CE4DF0D9-5D3F-4730-9257-30B91572B77A}" name="Note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EC0F1659-F681-4F0F-8CB7-037AD032B8DD}" name="Table35" displayName="Table35" ref="A1:D13" totalsRowShown="0">
  <autoFilter ref="A1:D13" xr:uid="{EC0F1659-F681-4F0F-8CB7-037AD032B8DD}">
    <filterColumn colId="0">
      <filters>
        <filter val="apple"/>
      </filters>
    </filterColumn>
  </autoFilter>
  <tableColumns count="4">
    <tableColumn id="1" xr3:uid="{8B4E9591-6A1C-4BBF-83DF-568038435E43}" name="Name"/>
    <tableColumn id="2" xr3:uid="{05ECBD92-CD81-4BC9-8DE1-33B4ED34285C}" name="Qty"/>
    <tableColumn id="3" xr3:uid="{DB3555AD-EA09-4775-B8AD-F32A78EF7EED}" name="Day"/>
    <tableColumn id="4" xr3:uid="{8B2E5E9D-94F2-40BE-BE59-4A20D342EDD9}" name="Not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C1D1857B-BF71-497C-8E8B-A17886079DF0}" name="Table36" displayName="Table36" ref="A1:D13" totalsRowShown="0">
  <autoFilter ref="A1:D13" xr:uid="{C1D1857B-BF71-497C-8E8B-A17886079DF0}">
    <filterColumn colId="0">
      <filters>
        <filter val="apple"/>
      </filters>
    </filterColumn>
  </autoFilter>
  <tableColumns count="4">
    <tableColumn id="1" xr3:uid="{B2430FAF-8091-4B66-B4AD-D2C555C16B9F}" name="Name"/>
    <tableColumn id="2" xr3:uid="{E2CF63D0-9CA3-4912-AFA1-B8E8991F3669}" name="Qty"/>
    <tableColumn id="3" xr3:uid="{3251E995-2291-4D50-896B-F996379B263B}" name="Day"/>
    <tableColumn id="4" xr3:uid="{850DC608-5D12-423E-A8E6-C5B7832A5E16}" name="Not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CCBD20E4-33DC-4604-823F-6FBD1DE8010D}" name="Table37" displayName="Table37" ref="A1:D13" totalsRowShown="0">
  <autoFilter ref="A1:D13" xr:uid="{CCBD20E4-33DC-4604-823F-6FBD1DE8010D}">
    <filterColumn colId="0">
      <filters>
        <filter val="apple"/>
      </filters>
    </filterColumn>
  </autoFilter>
  <tableColumns count="4">
    <tableColumn id="1" xr3:uid="{FC7D612E-4802-4424-A583-F2AF9DC469D9}" name="Name"/>
    <tableColumn id="2" xr3:uid="{3534D4A2-A65C-4259-9231-76AE5D1C565C}" name="Qty"/>
    <tableColumn id="3" xr3:uid="{EEDAD211-B55F-4201-939E-B5E72DA01F1C}" name="Day"/>
    <tableColumn id="4" xr3:uid="{29277A43-AAE9-449A-A419-CE0C68D270C7}" name="Note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EBAEF91-7D51-45B1-8C99-D8A258986A31}" name="Table38" displayName="Table38" ref="A1:D13" totalsRowShown="0">
  <autoFilter ref="A1:D13" xr:uid="{4EBAEF91-7D51-45B1-8C99-D8A258986A31}">
    <filterColumn colId="0">
      <filters>
        <filter val="apple"/>
      </filters>
    </filterColumn>
  </autoFilter>
  <tableColumns count="4">
    <tableColumn id="1" xr3:uid="{48B92367-9D60-4F7A-B958-901C25A9FA49}" name="Name"/>
    <tableColumn id="2" xr3:uid="{F12FE799-FC1F-4CB3-B206-59FCEF605DD5}" name="Qty"/>
    <tableColumn id="3" xr3:uid="{9DF4B17D-BDA9-4FB8-A0C5-C8E5F0FEDD61}" name="Day"/>
    <tableColumn id="4" xr3:uid="{4DE8B502-D61A-4D09-908B-AE81ABCD2360}" name="Note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655EE56D-816E-49B5-94B8-90B55E0E2E5C}" name="Table39" displayName="Table39" ref="A1:D13" totalsRowShown="0">
  <autoFilter ref="A1:D13" xr:uid="{655EE56D-816E-49B5-94B8-90B55E0E2E5C}"/>
  <tableColumns count="4">
    <tableColumn id="1" xr3:uid="{A87DD9B0-34D6-4853-B994-61134A44AADB}" name="Name"/>
    <tableColumn id="2" xr3:uid="{51E6EA42-D3D4-4210-8568-980D8EF4552A}" name="Qty"/>
    <tableColumn id="3" xr3:uid="{FD8BADCD-7F29-42EF-8754-F6771C3F6F7C}" name="Day"/>
    <tableColumn id="4" xr3:uid="{FEA16E07-BC31-4DA0-B450-BE62E48F1C8E}" name="Note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ACA9FA3-CE34-4949-87FC-7F76862EC334}" name="Table40" displayName="Table40" ref="A1:D13" totalsRowShown="0">
  <autoFilter ref="A1:D13" xr:uid="{0ACA9FA3-CE34-4949-87FC-7F76862EC334}">
    <filterColumn colId="0">
      <filters>
        <filter val="apple"/>
      </filters>
    </filterColumn>
  </autoFilter>
  <tableColumns count="4">
    <tableColumn id="1" xr3:uid="{45BEC952-FB62-42BF-AF89-550E829F758F}" name="Name"/>
    <tableColumn id="2" xr3:uid="{D9D3BB55-5E3F-43E2-8C30-3D2D4338ABA8}" name="Qty"/>
    <tableColumn id="3" xr3:uid="{9A9A1C08-0130-461F-B8AA-2CC7DCD00AA9}" name="Day"/>
    <tableColumn id="4" xr3:uid="{83060B70-361F-404E-95F1-DD1984330DB2}" name="Note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B9055EA9-1EC6-4E15-894D-FDDDD0E1F443}" name="Table41" displayName="Table41" ref="A1:D13" totalsRowShown="0">
  <autoFilter ref="A1:D13" xr:uid="{B9055EA9-1EC6-4E15-894D-FDDDD0E1F443}">
    <filterColumn colId="0">
      <filters>
        <filter val="apple"/>
      </filters>
    </filterColumn>
  </autoFilter>
  <tableColumns count="4">
    <tableColumn id="1" xr3:uid="{220BC89F-A15A-4456-A87D-B0CF43E1F2EE}" name="Name"/>
    <tableColumn id="2" xr3:uid="{E63C21D5-E3FD-4A70-A303-BFD338535F83}" name="Qty"/>
    <tableColumn id="3" xr3:uid="{58817B08-765E-466F-A771-77F19E516412}" name="Day"/>
    <tableColumn id="4" xr3:uid="{0AAC72E4-EE1C-4F64-9FE3-F36A6AE4C5D9}" name="Note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190FE91E-C754-418E-907E-147903039A26}" name="Table42" displayName="Table42" ref="A1:D13" totalsRowShown="0">
  <autoFilter ref="A1:D13" xr:uid="{190FE91E-C754-418E-907E-147903039A26}"/>
  <tableColumns count="4">
    <tableColumn id="1" xr3:uid="{99F726AF-6095-4DC8-818A-8984E01EFFE4}" name="Name"/>
    <tableColumn id="2" xr3:uid="{5C73B940-199A-459A-A694-E3DBB4449020}" name="Qty"/>
    <tableColumn id="3" xr3:uid="{7BF40E66-F4DD-46E7-A6A8-3469508C5C21}" name="Day"/>
    <tableColumn id="4" xr3:uid="{236F5289-432A-4651-90EB-8FCF12CD1C45}" name="Note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B5F3E561-A38E-46B9-AB8C-F1C4D77E7C88}" name="Table43" displayName="Table43" ref="A1:D13" totalsRowShown="0">
  <tableColumns count="4">
    <tableColumn id="1" xr3:uid="{B34379BC-958A-482D-AED8-E8BB2888C062}" name="Name"/>
    <tableColumn id="2" xr3:uid="{55FDE75C-2087-4951-8ABF-1134553F77A6}" name="Qty"/>
    <tableColumn id="3" xr3:uid="{5E4E15C7-DAA5-4E3B-B805-7BE7D2392A2B}" name="Day"/>
    <tableColumn id="4" xr3:uid="{31A50074-F0D2-43FE-B145-8EEFE26CA1DD}" name="Note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50F7EB6C-D1F7-4C81-BE7D-0BE87BDEE333}" name="Table44" displayName="Table44" ref="A1:D13" totalsRowShown="0">
  <autoFilter ref="A1:D13" xr:uid="{50F7EB6C-D1F7-4C81-BE7D-0BE87BDEE333}">
    <filterColumn colId="0">
      <filters>
        <filter val="apple"/>
      </filters>
    </filterColumn>
  </autoFilter>
  <tableColumns count="4">
    <tableColumn id="1" xr3:uid="{000D9192-24B7-47FA-A421-EA82151DB89C}" name="Name"/>
    <tableColumn id="2" xr3:uid="{C0845574-6A94-4774-93DB-7944B2E20715}" name="Qty"/>
    <tableColumn id="3" xr3:uid="{8144E5C9-0A36-4C72-A7B6-BC3030255304}" name="Day"/>
    <tableColumn id="4" xr3:uid="{0AC1FE3C-1744-4DC1-A369-B0ADB6B750FC}" name="Note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4A3CFDC7-54F6-48DF-8043-FD28A90F0C10}" name="Table45" displayName="Table45" ref="F1:F9" totalsRowShown="0">
  <autoFilter ref="F1:F9" xr:uid="{4A3CFDC7-54F6-48DF-8043-FD28A90F0C10}">
    <filterColumn colId="0">
      <customFilters>
        <customFilter operator="greaterThan" val="3"/>
      </customFilters>
    </filterColumn>
  </autoFilter>
  <tableColumns count="1">
    <tableColumn id="1" xr3:uid="{C2360613-5A1E-4FF3-9958-E421705A5679}" name="N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44F77FDB-6CBA-4610-8505-2E85ED1AD352}" name="Table46" displayName="Table46" ref="A1:D13" totalsRowShown="0">
  <autoFilter ref="A1:D13" xr:uid="{44F77FDB-6CBA-4610-8505-2E85ED1AD352}">
    <filterColumn colId="0">
      <filters>
        <filter val="apple"/>
      </filters>
    </filterColumn>
  </autoFilter>
  <tableColumns count="4">
    <tableColumn id="1" xr3:uid="{3D64E0F1-D57C-4D52-9A8D-C30486C528A6}" name="Name"/>
    <tableColumn id="2" xr3:uid="{B4704709-CD7B-4F11-884E-658CC12BE907}" name="Qty"/>
    <tableColumn id="3" xr3:uid="{ACE37735-8F2F-49E5-B869-5AD820E50461}" name="Day"/>
    <tableColumn id="4" xr3:uid="{5CB97063-45FE-4072-8DD0-84BD4FC504CD}" name="Note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B85F79B0-7689-4374-A34A-3E4B8D710541}" name="Table47" displayName="Table47" ref="A1:D13" totalsRowShown="0">
  <autoFilter ref="A1:D13" xr:uid="{B85F79B0-7689-4374-A34A-3E4B8D710541}">
    <filterColumn colId="1">
      <customFilters>
        <customFilter operator="notEqual" val="1"/>
      </customFilters>
    </filterColumn>
  </autoFilter>
  <tableColumns count="4">
    <tableColumn id="1" xr3:uid="{5EEE2FDD-BB10-4893-A7AD-C76CF8ED43A8}" name="Name"/>
    <tableColumn id="2" xr3:uid="{BA502C12-FABD-4B79-A269-BC84B6C754F8}" name="Qty"/>
    <tableColumn id="3" xr3:uid="{DB9ADAD7-9F11-421A-8023-C4BF280CF2D5}" name="Day"/>
    <tableColumn id="4" xr3:uid="{73EDEAE0-C295-4243-B328-CAB66EB3AE3A}" name="Note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3DFE7027-97E4-4AAD-8EC0-5BF4290D16EB}" name="Table48" displayName="Table48" ref="A1:D13" totalsRowShown="0">
  <autoFilter ref="A1:D13" xr:uid="{3DFE7027-97E4-4AAD-8EC0-5BF4290D16EB}">
    <filterColumn colId="0">
      <filters>
        <filter val="apple"/>
      </filters>
    </filterColumn>
  </autoFilter>
  <tableColumns count="4">
    <tableColumn id="1" xr3:uid="{A199E74A-D714-4D16-BDFD-F8C711D994E4}" name="Name"/>
    <tableColumn id="2" xr3:uid="{B44465D2-9FBE-449E-861D-FBBCCBA4FC20}" name="Qty"/>
    <tableColumn id="3" xr3:uid="{9229C04A-AD0F-4BB2-8D77-7C19ED93CBB0}" name="Day"/>
    <tableColumn id="4" xr3:uid="{2050CE74-CEF8-45DF-831C-D52E31C90493}" name="Note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24E3FD7E-0132-4D2A-820E-07C70D332BAF}" name="Table49" displayName="Table49" ref="A1:D13" totalsRowShown="0">
  <autoFilter ref="A1:D13" xr:uid="{24E3FD7E-0132-4D2A-820E-07C70D332BAF}">
    <filterColumn colId="0">
      <filters>
        <filter val="apple"/>
      </filters>
    </filterColumn>
  </autoFilter>
  <tableColumns count="4">
    <tableColumn id="1" xr3:uid="{B47714CC-43DF-4585-BC1D-BF3868E7DB69}" name="Name"/>
    <tableColumn id="2" xr3:uid="{8FD9C4B0-EF93-4DE9-B0FE-A23348B9EEF5}" name="Qty"/>
    <tableColumn id="3" xr3:uid="{005D6FC5-FC61-49F7-8E2C-A1932616B510}" name="Day"/>
    <tableColumn id="4" xr3:uid="{E07B74A3-81C8-45ED-8A1E-62E383D51B05}" name="Note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4F06F1DA-A1C7-4C03-9BDD-934A0EC274C8}" name="Table50" displayName="Table50" ref="A1:D13" totalsRowShown="0">
  <autoFilter ref="A1:D13" xr:uid="{4F06F1DA-A1C7-4C03-9BDD-934A0EC274C8}">
    <filterColumn colId="0">
      <filters>
        <filter val="apple"/>
      </filters>
    </filterColumn>
  </autoFilter>
  <tableColumns count="4">
    <tableColumn id="1" xr3:uid="{883ACC78-0DA2-44E6-99F5-EB2FF2C355C3}" name="Name"/>
    <tableColumn id="2" xr3:uid="{B4815777-28A1-4F39-8A8A-74B68108ABA2}" name="Qty"/>
    <tableColumn id="3" xr3:uid="{5FFE60C8-840B-4FF4-B67C-74300ACCE84D}" name="Day"/>
    <tableColumn id="4" xr3:uid="{994A1E2B-F823-4225-8541-E2B0F57DEDC6}" name="Note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1495F14F-A89D-4DD9-8FD3-6400C95CC342}" name="Table51" displayName="Table51" ref="A1:D14" totalsRowCount="1">
  <autoFilter ref="A1:D13" xr:uid="{1495F14F-A89D-4DD9-8FD3-6400C95CC342}">
    <filterColumn colId="1">
      <customFilters>
        <customFilter operator="greaterThan" val="2"/>
      </customFilters>
    </filterColumn>
  </autoFilter>
  <tableColumns count="4">
    <tableColumn id="1" xr3:uid="{EDB88E00-81A8-4AAF-B0F5-6E8B12F3999B}" name="Name" totalsRowLabel="Total"/>
    <tableColumn id="2" xr3:uid="{40EA74FC-E638-4B6C-9439-478840939ED4}" name="Qty"/>
    <tableColumn id="3" xr3:uid="{5DB2DB85-347A-4FB5-A34B-32DE79CEA031}" name="Day"/>
    <tableColumn id="4" xr3:uid="{AF32D26F-DDE3-40F3-BD57-59D9E99BC0B4}" name="Note" totalsRowFunction="count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54792E-0DA2-4C44-8E69-ACFEE3285898}" name="Table52" displayName="Table52" ref="A1:D14" totalsRowCount="1">
  <autoFilter ref="A1:D13" xr:uid="{0254792E-0DA2-4C44-8E69-ACFEE3285898}">
    <filterColumn colId="1">
      <customFilters>
        <customFilter operator="greaterThan" val="2"/>
      </customFilters>
    </filterColumn>
  </autoFilter>
  <tableColumns count="4">
    <tableColumn id="1" xr3:uid="{B5443033-33DE-4DA4-9197-3028DF925F4C}" name="Name" totalsRowLabel="Total"/>
    <tableColumn id="2" xr3:uid="{E2310A12-FCEC-420F-B189-91BCFF0CA733}" name="Qty" totalsRowFunction="sum"/>
    <tableColumn id="3" xr3:uid="{48DB15BF-B963-4BB9-A2D6-779A6B23E96D}" name="Day"/>
    <tableColumn id="4" xr3:uid="{C8571323-77A1-42AB-A22F-D34B4BFF425C}" name="Note" totalsRowFunction="count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814E4CD8-C626-4652-98EA-C99FA220BE10}" name="Table53" displayName="Table53" ref="A2:D13" headerRowCount="0" totalsRowShown="0">
  <tableColumns count="4">
    <tableColumn id="1" xr3:uid="{972A5D94-9CF4-49CA-B403-308AFB5E2A7A}" name="Name"/>
    <tableColumn id="2" xr3:uid="{1DD45C82-A440-409B-AF9F-AA2F394A2EE8}" name="Qty"/>
    <tableColumn id="3" xr3:uid="{24A052FF-92DF-4EF3-AE45-CDB0BD9DA819}" name="Day"/>
    <tableColumn id="4" xr3:uid="{04B74632-BD4D-4D3C-BDCC-2ECE47BA22CF}" name="Note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6880FECA-4618-472E-BA0C-4CAB2FB9F7BC}" name="Table54" displayName="Table54" ref="A1:D13" totalsRowShown="0">
  <autoFilter ref="A1:D13" xr:uid="{6880FECA-4618-472E-BA0C-4CAB2FB9F7BC}">
    <filterColumn colId="0">
      <filters>
        <filter val="apple"/>
      </filters>
    </filterColumn>
  </autoFilter>
  <tableColumns count="4">
    <tableColumn id="1" xr3:uid="{7E71D044-C870-44DC-8FB3-3E9D79044BB7}" name="Name"/>
    <tableColumn id="2" xr3:uid="{7F218DEA-19FB-4C17-ACA5-1FA5AB93EFB5}" name="Qty"/>
    <tableColumn id="3" xr3:uid="{12DD3E18-8F2D-44C6-BDF8-305C27297E1C}" name="Day"/>
    <tableColumn id="4" xr3:uid="{6BD4DC81-1398-4AC6-B9F0-2F2257F0DA6C}" name="Note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D1E571F9-5687-4249-932C-F36ED1B5C287}" name="Table55" displayName="Table55" ref="A1:D10" totalsRowShown="0">
  <autoFilter ref="A1:D10" xr:uid="{D1E571F9-5687-4249-932C-F36ED1B5C287}">
    <filterColumn colId="0">
      <filters>
        <filter val="apple"/>
      </filters>
    </filterColumn>
  </autoFilter>
  <tableColumns count="4">
    <tableColumn id="1" xr3:uid="{23422E48-E7F0-4FD4-9EC7-D38401299868}" name="Name"/>
    <tableColumn id="2" xr3:uid="{93305219-F2A2-4C9A-9A60-DECF27B7B06F}" name="Qty"/>
    <tableColumn id="3" xr3:uid="{AD1651A9-84F8-4F70-AE9A-A8AA71DB534F}" name="Day"/>
    <tableColumn id="4" xr3:uid="{4861E204-B23A-4601-AE92-4F94244E5ECD}" name="Note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94E6EA60-6234-4CDF-B805-13F39949FE57}" name="Table56" displayName="Table56" ref="A1:D10" totalsRowShown="0">
  <autoFilter ref="A1:D10" xr:uid="{94E6EA60-6234-4CDF-B805-13F39949FE57}"/>
  <tableColumns count="4">
    <tableColumn id="1" xr3:uid="{DD005B35-302E-4215-AA20-5CFF6272F66D}" name="Name"/>
    <tableColumn id="2" xr3:uid="{20B4FEB4-4CF1-4BFE-B963-2D3299A46D12}" name="Qty"/>
    <tableColumn id="3" xr3:uid="{17D71B2F-8EDB-4C96-8FCE-D02341E2A61E}" name="Day"/>
    <tableColumn id="4" xr3:uid="{DCF69677-206A-4E6C-BAAA-F75C1D12E19E}" name="Note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50648BE0-0FD3-40EF-8FC2-196B56BF3815}" name="Table57" displayName="Table57" ref="A1:D10" totalsRowShown="0">
  <autoFilter ref="A1:D10" xr:uid="{50648BE0-0FD3-40EF-8FC2-196B56BF3815}">
    <filterColumn colId="0">
      <filters>
        <filter val="apple"/>
      </filters>
    </filterColumn>
  </autoFilter>
  <tableColumns count="4">
    <tableColumn id="1" xr3:uid="{302A1F30-CD42-49BF-8FBB-41316DFCA38F}" name="Name"/>
    <tableColumn id="2" xr3:uid="{BE0A272E-8AAE-41E0-A452-2C93076B56AA}" name="Qty"/>
    <tableColumn id="3" xr3:uid="{F690FA41-B6ED-4EB3-99F3-932E5A813E84}" name="Day"/>
    <tableColumn id="4" xr3:uid="{758C7D76-A9AE-42D1-81AD-2BF63F8A7F3F}" name="Note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4E222AAA-D88F-4520-BC17-94219CA98AB5}" name="Table58" displayName="Table58" ref="A1:D10" totalsRowShown="0">
  <autoFilter ref="A1:D10" xr:uid="{4E222AAA-D88F-4520-BC17-94219CA98AB5}">
    <filterColumn colId="0">
      <filters>
        <filter val="apple"/>
      </filters>
    </filterColumn>
  </autoFilter>
  <tableColumns count="4">
    <tableColumn id="1" xr3:uid="{CC1175D7-26EC-4C01-A221-1F547A74E0C3}" name="Name"/>
    <tableColumn id="2" xr3:uid="{CF909B98-8A42-448F-8B65-CF99324763CD}" name="Qty"/>
    <tableColumn id="3" xr3:uid="{B3029BA4-5D6A-4AFF-8709-285CC1EF4952}" name="Day"/>
    <tableColumn id="4" xr3:uid="{BA505115-215B-4BB3-A5C7-3BDBFF77C943}" name="Note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3169B90F-E640-41B5-B0AF-F09FAB336B96}" name="Table59" displayName="Table59" ref="A1:D14" totalsRowShown="0">
  <autoFilter ref="A1:D14" xr:uid="{3169B90F-E640-41B5-B0AF-F09FAB336B96}">
    <filterColumn colId="0">
      <filters>
        <filter val="apple"/>
      </filters>
    </filterColumn>
  </autoFilter>
  <tableColumns count="4">
    <tableColumn id="1" xr3:uid="{D1B5A3A9-319D-48B6-A31B-7BFD2103F882}" name="Name"/>
    <tableColumn id="2" xr3:uid="{1BC32B01-4088-46BE-85A8-CC2463AFD45D}" name="Qty"/>
    <tableColumn id="3" xr3:uid="{81721BD9-CABB-490E-8A3E-6A3A89A9FF27}" name="Day"/>
    <tableColumn id="4" xr3:uid="{016B817F-1800-470D-BD60-E2C273BF8260}" name="Note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4BE0DC32-F860-4168-A736-FFD9C3C1656C}" name="Table60" displayName="Table60" ref="A1:E13" totalsRowShown="0">
  <autoFilter ref="A1:E13" xr:uid="{4BE0DC32-F860-4168-A736-FFD9C3C1656C}">
    <filterColumn colId="2">
      <customFilters>
        <customFilter operator="greaterThan" val="2"/>
      </customFilters>
    </filterColumn>
  </autoFilter>
  <tableColumns count="5">
    <tableColumn id="5" xr3:uid="{9DCAD70B-7000-41CE-942C-E9A49C7923C9}" name="Column1"/>
    <tableColumn id="1" xr3:uid="{F5E7256D-E721-4E4C-B771-F4C6C775396D}" name="Name"/>
    <tableColumn id="2" xr3:uid="{A1413202-F067-40C1-97D8-06F78639BFCF}" name="Qty"/>
    <tableColumn id="3" xr3:uid="{E8015AE1-0D13-4577-AF32-393F243E3F3B}" name="Day"/>
    <tableColumn id="4" xr3:uid="{5657A0FF-0454-4491-B206-A88AE97182A6}" name="Note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1C79DEF8-CECC-4A97-90E3-82BBEFB3B019}" name="Table64" displayName="Table64" ref="A1:D13" totalsRowShown="0">
  <autoFilter ref="A1:D13" xr:uid="{1C79DEF8-CECC-4A97-90E3-82BBEFB3B019}"/>
  <tableColumns count="4">
    <tableColumn id="1" xr3:uid="{3C079F2B-AFCC-448C-B039-DCA8E65A7ED6}" name="Column1"/>
    <tableColumn id="2" xr3:uid="{2393CACD-00C6-40FB-B150-1A08F072529F}" name="Column2"/>
    <tableColumn id="3" xr3:uid="{712ADB0D-EB57-4B2C-8118-AB75E2CAFA37}" name="Column3"/>
    <tableColumn id="4" xr3:uid="{189A4331-E8F5-4F56-8D3A-A37FFF231EB4}" name="Column4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40A2E689-DB39-49D4-AB30-43EDA3B44118}" name="Table65" displayName="Table65" ref="A1:D13" totalsRowShown="0">
  <autoFilter ref="A1:D13" xr:uid="{40A2E689-DB39-49D4-AB30-43EDA3B44118}">
    <filterColumn colId="0">
      <filters>
        <filter val="apple"/>
      </filters>
    </filterColumn>
  </autoFilter>
  <tableColumns count="4">
    <tableColumn id="1" xr3:uid="{1767F190-5F23-400C-BD05-71A646ECF1EF}" name="Name"/>
    <tableColumn id="2" xr3:uid="{9C828440-E555-4901-AFBF-CD441D12B386}" name="Qty"/>
    <tableColumn id="3" xr3:uid="{971F0D94-7BA4-4DCE-89C6-5C3835FE7B8A}" name="Day"/>
    <tableColumn id="4" xr3:uid="{CC037159-C9BA-4DAA-AFB9-498DB8E9286F}" name="Note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C2DAEE32-D0A8-49CF-8DDE-15052D4D9006}" name="Table66" displayName="Table66" ref="A1:D13" totalsRowShown="0">
  <autoFilter ref="A1:D13" xr:uid="{C2DAEE32-D0A8-49CF-8DDE-15052D4D9006}">
    <filterColumn colId="0">
      <filters>
        <filter val="apple"/>
      </filters>
    </filterColumn>
  </autoFilter>
  <tableColumns count="4">
    <tableColumn id="1" xr3:uid="{D055191E-F58D-4828-B0E2-F81C99DB444E}" name="Name"/>
    <tableColumn id="2" xr3:uid="{51FF29D3-E906-493F-96A9-768B8E1301F6}" name="Qty"/>
    <tableColumn id="3" xr3:uid="{8879C4D8-B283-473E-B65A-B2F526373E95}" name="Day"/>
    <tableColumn id="4" xr3:uid="{016E909F-2FF9-42C4-BC94-B3C93B51C6E8}" name="Note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87BDCDEC-742C-4988-9FD4-07AB3531356F}" name="Table67" displayName="Table67" ref="A1:D13" totalsRowShown="0">
  <autoFilter ref="A1:D13" xr:uid="{87BDCDEC-742C-4988-9FD4-07AB3531356F}">
    <filterColumn colId="0">
      <filters>
        <filter val="apple"/>
      </filters>
    </filterColumn>
  </autoFilter>
  <tableColumns count="4">
    <tableColumn id="1" xr3:uid="{2CBCC6FF-2FC8-4EA5-9861-E3B1525CB238}" name="Name"/>
    <tableColumn id="2" xr3:uid="{00088233-6ED7-4183-8790-A050D0FB3BAC}" name="Qty"/>
    <tableColumn id="3" xr3:uid="{A7F9BDEE-9FAF-42FE-9419-2CB3FC00B761}" name="Day"/>
    <tableColumn id="4" xr3:uid="{ECC18930-093A-44D8-B2C6-F78081FA8712}" name="Note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F209B12-475C-4926-B99C-A962BD8D24A9}" name="Table68" displayName="Table68" ref="A1:D13" totalsRowShown="0">
  <autoFilter ref="A1:D13" xr:uid="{0F209B12-475C-4926-B99C-A962BD8D24A9}">
    <filterColumn colId="0">
      <filters>
        <filter val="apple"/>
      </filters>
    </filterColumn>
  </autoFilter>
  <tableColumns count="4">
    <tableColumn id="1" xr3:uid="{16E51682-5C7E-4712-A760-758795A9EC2E}" name="Name"/>
    <tableColumn id="2" xr3:uid="{09DFD318-A02D-41E1-B9E7-EDC046C49FA1}" name="Qty"/>
    <tableColumn id="3" xr3:uid="{3D933182-4360-4245-A6C4-78AAC025829D}" name="Day"/>
    <tableColumn id="4" xr3:uid="{B2CD0DDD-D003-474B-B4C0-A85B3D6C8864}" name="Note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D866D2CF-32AD-4CEC-B855-B22F1C911C9D}" name="Table69" displayName="Table69" ref="A1:D13" totalsRowShown="0">
  <autoFilter ref="A1:D13" xr:uid="{D866D2CF-32AD-4CEC-B855-B22F1C911C9D}">
    <filterColumn colId="0">
      <filters>
        <filter val="apple"/>
      </filters>
    </filterColumn>
  </autoFilter>
  <tableColumns count="4">
    <tableColumn id="1" xr3:uid="{C80F8198-6B52-4446-8C11-39C06B603532}" name="Name"/>
    <tableColumn id="2" xr3:uid="{4AC3D354-5C1B-479D-976D-7C5F8FC41D4E}" name="Qty"/>
    <tableColumn id="3" xr3:uid="{1F162E85-E26C-442F-B188-9C02DC517C2B}" name="Day"/>
    <tableColumn id="4" xr3:uid="{21701B3B-9F99-4A29-AAAD-7DE68B8B9413}" name="Note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8C6ED400-D1B1-4D72-9503-E6B55B25E59D}" name="Table70" displayName="Table70" ref="A1:D13" totalsRowShown="0">
  <autoFilter ref="A1:D13" xr:uid="{8C6ED400-D1B1-4D72-9503-E6B55B25E59D}">
    <filterColumn colId="0">
      <filters>
        <filter val="apple"/>
      </filters>
    </filterColumn>
  </autoFilter>
  <tableColumns count="4">
    <tableColumn id="1" xr3:uid="{03D6D459-5EAE-4AB6-A550-DC5DA5D306D2}" name="Name"/>
    <tableColumn id="2" xr3:uid="{3184BE83-591D-4911-878D-73860059EC72}" name="Qty"/>
    <tableColumn id="3" xr3:uid="{C7EC2AE1-D574-41AC-A696-C1F83F575521}" name="Day"/>
    <tableColumn id="4" xr3:uid="{5011E00F-26C1-42BE-9F9C-BD758D9589A3}" name="Note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EE4305AE-64E5-4334-B4FD-179F4B1437D6}" name="Table71" displayName="Table71" ref="A1:D13" totalsRowShown="0">
  <autoFilter ref="A1:D13" xr:uid="{EE4305AE-64E5-4334-B4FD-179F4B1437D6}">
    <filterColumn colId="0">
      <filters>
        <filter val="apple"/>
      </filters>
    </filterColumn>
  </autoFilter>
  <tableColumns count="4">
    <tableColumn id="1" xr3:uid="{B8775B39-19C2-49C3-B135-E1B879D428CF}" name="Name"/>
    <tableColumn id="2" xr3:uid="{B8F59360-226F-4ECD-84EF-21871E68AE36}" name="Qty"/>
    <tableColumn id="3" xr3:uid="{4CB7972B-9F82-44E7-9D91-E64139CADD28}" name="Day"/>
    <tableColumn id="4" xr3:uid="{AF242E86-4138-406F-AEC5-4059F37AFE1E}" name="Note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E1EAD9D-D17F-4241-8954-899B90B0B0CA}" name="Table72" displayName="Table72" ref="A1:D13" totalsRowShown="0">
  <autoFilter ref="A1:D13" xr:uid="{0E1EAD9D-D17F-4241-8954-899B90B0B0CA}">
    <filterColumn colId="0">
      <filters>
        <filter val="apple"/>
      </filters>
    </filterColumn>
  </autoFilter>
  <tableColumns count="4">
    <tableColumn id="1" xr3:uid="{C958D84C-05C0-4B61-8C8F-D8C89B43A1FB}" name="Name"/>
    <tableColumn id="2" xr3:uid="{6D42AE84-0C3A-41FF-8CB1-D82D787864E0}" name="Qty"/>
    <tableColumn id="3" xr3:uid="{A714D84F-950C-4C23-A5C1-45F914E81678}" name="Day"/>
    <tableColumn id="4" xr3:uid="{3D76B6B5-C54B-43A0-965B-5CDB99673B71}" name="Note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DE634094-667D-4552-A82E-78F824F68D86}" name="Table73" displayName="Table73" ref="F1:F9" totalsRowShown="0">
  <autoFilter ref="F1:F9" xr:uid="{DE634094-667D-4552-A82E-78F824F68D86}">
    <filterColumn colId="0">
      <customFilters>
        <customFilter operator="greaterThan" val="3"/>
      </customFilters>
    </filterColumn>
  </autoFilter>
  <tableColumns count="1">
    <tableColumn id="1" xr3:uid="{0741D3C9-34E0-4E9A-948F-389E008525FD}" name="N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9D699351-9AE3-4684-98AA-83C4E699FCE3}" name="Table74" displayName="Table74" ref="A1:D13" totalsRowShown="0">
  <autoFilter ref="A1:D13" xr:uid="{9D699351-9AE3-4684-98AA-83C4E699FCE3}">
    <filterColumn colId="0">
      <filters>
        <filter val="apple"/>
      </filters>
    </filterColumn>
  </autoFilter>
  <tableColumns count="4">
    <tableColumn id="1" xr3:uid="{71815521-14A1-4CC7-99AB-B42C42FCDC06}" name="Name"/>
    <tableColumn id="2" xr3:uid="{61492E01-21C9-41B9-810D-9DBB1F403CAC}" name="Qty"/>
    <tableColumn id="3" xr3:uid="{66A49E56-0536-4A52-8A48-EE63F7205516}" name="Day"/>
    <tableColumn id="4" xr3:uid="{5513331A-0C35-416B-82CF-CB27716BD8B2}" name="Note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6BCF2328-76E3-440E-9BEC-7276EE209533}" name="Table75" displayName="Table75" ref="F1:F9" totalsRowShown="0">
  <autoFilter ref="F1:F9" xr:uid="{6BCF2328-76E3-440E-9BEC-7276EE209533}">
    <filterColumn colId="0">
      <customFilters>
        <customFilter operator="greaterThan" val="3"/>
      </customFilters>
    </filterColumn>
  </autoFilter>
  <tableColumns count="1">
    <tableColumn id="1" xr3:uid="{562FF895-CA01-4B06-82D8-737C1214A953}" name="N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3C056322-41B8-46A4-8AD6-26739DD13491}" name="Table76" displayName="Table76" ref="A1:D13" totalsRowShown="0">
  <autoFilter ref="A1:D13" xr:uid="{3C056322-41B8-46A4-8AD6-26739DD13491}">
    <filterColumn colId="0">
      <filters>
        <filter val="apple"/>
      </filters>
    </filterColumn>
  </autoFilter>
  <tableColumns count="4">
    <tableColumn id="1" xr3:uid="{B15D0671-45F9-45BC-ADF3-8C57FCA45BE6}" name="Name"/>
    <tableColumn id="2" xr3:uid="{B59B1910-295B-40C3-B3AC-2C591D20BACC}" name="Qty"/>
    <tableColumn id="3" xr3:uid="{8993F459-E0AF-4060-A71D-19CF13DA34CD}" name="Day"/>
    <tableColumn id="4" xr3:uid="{28975A0D-4FE0-4B1E-8821-863A1BA50602}" name="Note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3EBCFDD5-AA4D-4D8F-8806-EC801DB13157}" name="Table77" displayName="Table77" ref="A1:D13" totalsRowShown="0">
  <autoFilter ref="A1:D13" xr:uid="{3EBCFDD5-AA4D-4D8F-8806-EC801DB13157}">
    <filterColumn colId="1">
      <customFilters>
        <customFilter operator="notEqual" val="1"/>
      </customFilters>
    </filterColumn>
  </autoFilter>
  <tableColumns count="4">
    <tableColumn id="1" xr3:uid="{46BC3913-7A82-4883-A80F-62E6176D3090}" name="Name"/>
    <tableColumn id="2" xr3:uid="{AC711627-5EC4-4D27-ADC8-DC942CA60C43}" name="Qty"/>
    <tableColumn id="3" xr3:uid="{102EB3E4-097B-442F-AC2A-695AE820B8DA}" name="Day"/>
    <tableColumn id="4" xr3:uid="{AF6CA1FF-85C8-4F23-A0BD-2CAA466E73AC}" name="Note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617457CA-A7D1-43CD-B332-6D7AFF8AE333}" name="Table78" displayName="Table78" ref="A1:D13" totalsRowShown="0">
  <autoFilter ref="A1:D13" xr:uid="{617457CA-A7D1-43CD-B332-6D7AFF8AE333}">
    <filterColumn colId="1">
      <customFilters>
        <customFilter operator="notEqual" val="1"/>
      </customFilters>
    </filterColumn>
  </autoFilter>
  <tableColumns count="4">
    <tableColumn id="1" xr3:uid="{A1F1023F-1E78-4030-A0A6-09AD60CF7EB1}" name="Name"/>
    <tableColumn id="2" xr3:uid="{592F24F2-7DAA-4951-B06C-C4E9DCE192EB}" name="Qty"/>
    <tableColumn id="3" xr3:uid="{35B0BBCF-7443-40D7-BC92-49D42EC95C64}" name="Day"/>
    <tableColumn id="4" xr3:uid="{64AC06B1-91CB-4D28-ADF4-767B6388BFBC}" name="Note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E0782E8D-4176-4888-A149-5D1B8CBECE96}" name="Table79" displayName="Table79" ref="A1:D13" totalsRowShown="0">
  <autoFilter ref="A1:D13" xr:uid="{3C4C101E-D760-435C-A6B5-0F3F10EF24DA}">
    <filterColumn colId="0">
      <filters>
        <filter val="apple"/>
      </filters>
    </filterColumn>
  </autoFilter>
  <tableColumns count="4">
    <tableColumn id="1" xr3:uid="{4CE2BDDF-A8E1-4AC3-A211-37BE789094D2}" name="Name"/>
    <tableColumn id="2" xr3:uid="{7BFAE36A-97D6-49C8-A3D9-A8894BB97089}" name="Qty"/>
    <tableColumn id="3" xr3:uid="{CCD630CC-AE8A-491A-8DBC-FBA075C81634}" name="Day"/>
    <tableColumn id="4" xr3:uid="{0C433601-31EB-44B3-B688-AB4170A6B9B0}" name="Note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AA80BD4F-F418-401B-B4CC-08FA00AC0E66}" name="Table80" displayName="Table80" ref="A1:D13" totalsRowShown="0">
  <autoFilter ref="A1:D13" xr:uid="{5C99BD5B-7448-449F-9E1F-C58752A5B09F}"/>
  <tableColumns count="4">
    <tableColumn id="1" xr3:uid="{B478FFD5-36E1-4D86-A784-6CEAFB07FE54}" name="Name"/>
    <tableColumn id="2" xr3:uid="{5C6F333D-031D-4871-A3CF-A59339E4F6C1}" name="Qty"/>
    <tableColumn id="3" xr3:uid="{BD93A81F-B952-4A1B-9093-3A72D62083C1}" name="Day"/>
    <tableColumn id="4" xr3:uid="{B1DD36EE-5BF0-4FE7-8B82-F4996BF64E82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0.xml"/><Relationship Id="rId1" Type="http://schemas.openxmlformats.org/officeDocument/2006/relationships/table" Target="../tables/table69.xml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2.xml"/><Relationship Id="rId1" Type="http://schemas.openxmlformats.org/officeDocument/2006/relationships/table" Target="../tables/table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E4EBB-0A09-4ED5-948C-8794F855EFC6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8DDD6-D14B-428C-8C29-2DBC189C4B05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079E5-FD71-4DD2-A1F0-63B1040F4E4F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4</v>
      </c>
      <c r="B2">
        <v>1</v>
      </c>
      <c r="C2" s="1">
        <v>43831</v>
      </c>
      <c r="D2" t="s">
        <v>5</v>
      </c>
    </row>
    <row r="3" spans="1:4" hidden="1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1FC8F-26E0-481F-8C85-71E87B36FB75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041F7-94E7-487D-ABAD-220B5A280EA3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4</v>
      </c>
      <c r="B2">
        <v>1</v>
      </c>
      <c r="C2" s="1">
        <v>43831</v>
      </c>
      <c r="D2" t="s">
        <v>5</v>
      </c>
    </row>
    <row r="3" spans="1:4" hidden="1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98284-6119-4D8F-99C5-82E8EA160E3F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1EF2E-6700-49CC-8C2D-83FD14BAD45E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3A497-F914-4D67-88C9-DF9E8B609532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hidden="1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5FED6-31FF-41D4-B053-28B45BD472CA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5A993-FE10-4F99-ABE0-F1FAD6749BF0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2B768-0D5A-4FE6-A7D4-35245F766A3D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B02A7-6565-47A9-82BC-080A7235DD1B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75BA8-359A-4D63-B3F9-6787C2F399F1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4</v>
      </c>
      <c r="B2">
        <v>1</v>
      </c>
      <c r="C2" s="1">
        <v>43831</v>
      </c>
      <c r="D2" t="s">
        <v>5</v>
      </c>
    </row>
    <row r="3" spans="1:4" hidden="1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96BB5-1A31-428E-A9F1-64CFEC3D6A59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4</v>
      </c>
      <c r="B2">
        <v>1</v>
      </c>
      <c r="C2" s="1">
        <v>43831</v>
      </c>
      <c r="D2" t="s">
        <v>5</v>
      </c>
    </row>
    <row r="3" spans="1:4" hidden="1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E537A-8FDC-4789-8FE8-E2283FC06C44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4</v>
      </c>
      <c r="B2">
        <v>1</v>
      </c>
      <c r="C2" s="1">
        <v>43831</v>
      </c>
      <c r="D2" t="s">
        <v>5</v>
      </c>
    </row>
    <row r="3" spans="1:4" hidden="1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12CC3-64D7-4591-A140-7170D3752015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FD94-8C9A-4415-8D74-FE1AB88D2C4B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F1403-F746-4006-AA18-AC3DF6B908ED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4</v>
      </c>
      <c r="B2">
        <v>1</v>
      </c>
      <c r="C2" s="1">
        <v>43831</v>
      </c>
      <c r="D2" t="s">
        <v>5</v>
      </c>
    </row>
    <row r="3" spans="1:4" hidden="1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2A9A9-D7D2-43C0-AEBA-6929E4EABCD8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1C55B-5D0B-4584-ADF2-39EB81C5B0A8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4</v>
      </c>
      <c r="B2">
        <v>1</v>
      </c>
      <c r="C2" s="1">
        <v>43831</v>
      </c>
      <c r="D2" t="s">
        <v>5</v>
      </c>
    </row>
    <row r="3" spans="1:4" hidden="1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767D-0CF6-4EC2-9DA5-B30069140626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913B9-574F-4506-9C17-159176B78806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D73FE-65E2-494E-8420-437A7744E422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68ED-3A78-4D31-9047-4135E78889C5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A6090-CD01-4065-8109-824C945A3000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73C5-37E7-4D38-839C-94A397EA41D2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28BBA-73C4-406C-BEB5-B4AFC8DEA018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F95D0-ECE3-4986-B4C8-A61107583312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2D958-D8B8-4F27-A47F-72BE8F8E0625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E14E6-4BE7-408F-9D7A-2F8CD53E5335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2B3D8-6FCF-43DC-8B6D-94A94135E014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D870E-1E66-40FC-AC82-B36674C57090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96A58-5989-4B8B-8D3B-F8865C46C06E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A9980-19AB-4F2F-8629-819B71036D84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C0F73-231E-47DC-B594-8D4CEEAD96F3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C773-5DC5-4C4A-8020-31A0B435E989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E2BE2-A1DF-4070-B46F-DBC914DA5935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9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EAD8-158A-49ED-A7F2-63EFC61C4733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4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2577-EDC0-4BBB-B9E8-9BA9FC8069FC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C0073-363C-4573-AD02-809F90AF42F9}">
  <sheetPr filterMode="1"/>
  <dimension ref="A1:F1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F1" t="s">
        <v>18</v>
      </c>
    </row>
    <row r="2" spans="1:6" x14ac:dyDescent="0.25">
      <c r="A2" t="s">
        <v>4</v>
      </c>
      <c r="B2">
        <v>1</v>
      </c>
      <c r="C2" s="1">
        <v>43831</v>
      </c>
      <c r="D2" t="s">
        <v>5</v>
      </c>
      <c r="F2">
        <v>5</v>
      </c>
    </row>
    <row r="3" spans="1:6" x14ac:dyDescent="0.25">
      <c r="A3" t="s">
        <v>6</v>
      </c>
      <c r="B3">
        <v>2</v>
      </c>
      <c r="C3" s="1">
        <v>43845</v>
      </c>
      <c r="D3" t="s">
        <v>7</v>
      </c>
      <c r="F3">
        <v>3</v>
      </c>
    </row>
    <row r="4" spans="1:6" hidden="1" x14ac:dyDescent="0.25">
      <c r="A4" t="s">
        <v>8</v>
      </c>
      <c r="B4">
        <v>2.5</v>
      </c>
      <c r="C4" s="1">
        <v>43862</v>
      </c>
      <c r="D4" t="s">
        <v>5</v>
      </c>
      <c r="F4">
        <v>9</v>
      </c>
    </row>
    <row r="5" spans="1:6" hidden="1" x14ac:dyDescent="0.25">
      <c r="A5" t="s">
        <v>9</v>
      </c>
      <c r="B5">
        <v>10</v>
      </c>
      <c r="C5" s="1">
        <v>43891</v>
      </c>
      <c r="F5">
        <v>1</v>
      </c>
    </row>
    <row r="6" spans="1:6" hidden="1" x14ac:dyDescent="0.25">
      <c r="A6" t="s">
        <v>10</v>
      </c>
      <c r="B6">
        <v>-1</v>
      </c>
      <c r="C6" s="1">
        <v>44197</v>
      </c>
      <c r="F6">
        <v>7</v>
      </c>
    </row>
    <row r="7" spans="1:6" hidden="1" x14ac:dyDescent="0.25">
      <c r="A7" t="s">
        <v>11</v>
      </c>
      <c r="B7" s="2">
        <v>1</v>
      </c>
      <c r="C7" s="1">
        <v>43830</v>
      </c>
      <c r="F7">
        <v>3</v>
      </c>
    </row>
    <row r="8" spans="1:6" hidden="1" x14ac:dyDescent="0.25">
      <c r="A8" t="s">
        <v>12</v>
      </c>
      <c r="B8">
        <v>100</v>
      </c>
      <c r="F8">
        <v>12</v>
      </c>
    </row>
    <row r="9" spans="1:6" hidden="1" x14ac:dyDescent="0.25">
      <c r="A9" s="3" t="s">
        <v>13</v>
      </c>
      <c r="B9" s="3" t="s">
        <v>14</v>
      </c>
      <c r="C9" t="s">
        <v>15</v>
      </c>
      <c r="F9">
        <v>0.5</v>
      </c>
    </row>
    <row r="10" spans="1:6" hidden="1" x14ac:dyDescent="0.25">
      <c r="A10" t="s">
        <v>16</v>
      </c>
      <c r="B10" t="b">
        <v>1</v>
      </c>
      <c r="C10" s="4">
        <v>43845.25</v>
      </c>
    </row>
    <row r="11" spans="1:6" hidden="1" x14ac:dyDescent="0.25">
      <c r="A11" t="s">
        <v>17</v>
      </c>
      <c r="B11" t="e">
        <f>1/0</f>
        <v>#DIV/0!</v>
      </c>
    </row>
    <row r="12" spans="1:6" hidden="1" x14ac:dyDescent="0.25">
      <c r="A12" t="s">
        <v>9</v>
      </c>
      <c r="B12">
        <v>2</v>
      </c>
      <c r="C12" s="1">
        <v>43845</v>
      </c>
      <c r="D12" t="s">
        <v>7</v>
      </c>
    </row>
    <row r="13" spans="1:6" hidden="1" x14ac:dyDescent="0.25">
      <c r="A13">
        <v>12</v>
      </c>
      <c r="B13">
        <v>0.5</v>
      </c>
    </row>
  </sheetData>
  <autoFilter ref="F1:F9" xr:uid="{43EC0073-363C-4573-AD02-809F90AF42F9}">
    <filterColumn colId="0">
      <customFilters>
        <customFilter operator="greaterThan" val="3"/>
      </customFilters>
    </filterColumn>
  </autoFilter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B6C1-9C7E-46DB-BDF8-116C733136FF}">
  <sheetPr filterMode="1"/>
  <dimension ref="A1:F1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F1" t="s">
        <v>18</v>
      </c>
    </row>
    <row r="2" spans="1:6" x14ac:dyDescent="0.25">
      <c r="A2" t="s">
        <v>4</v>
      </c>
      <c r="B2">
        <v>1</v>
      </c>
      <c r="C2" s="1">
        <v>43831</v>
      </c>
      <c r="D2" t="s">
        <v>5</v>
      </c>
      <c r="F2">
        <v>5</v>
      </c>
    </row>
    <row r="3" spans="1:6" hidden="1" x14ac:dyDescent="0.25">
      <c r="A3" t="s">
        <v>6</v>
      </c>
      <c r="B3">
        <v>2</v>
      </c>
      <c r="C3" s="1">
        <v>43845</v>
      </c>
      <c r="D3" t="s">
        <v>7</v>
      </c>
      <c r="F3">
        <v>3</v>
      </c>
    </row>
    <row r="4" spans="1:6" hidden="1" x14ac:dyDescent="0.25">
      <c r="A4" t="s">
        <v>8</v>
      </c>
      <c r="B4">
        <v>2.5</v>
      </c>
      <c r="C4" s="1">
        <v>43862</v>
      </c>
      <c r="D4" t="s">
        <v>5</v>
      </c>
    </row>
    <row r="5" spans="1:6" hidden="1" x14ac:dyDescent="0.25">
      <c r="A5" t="s">
        <v>9</v>
      </c>
      <c r="B5">
        <v>10</v>
      </c>
      <c r="C5" s="1">
        <v>43891</v>
      </c>
    </row>
    <row r="6" spans="1:6" hidden="1" x14ac:dyDescent="0.25">
      <c r="A6" t="s">
        <v>10</v>
      </c>
      <c r="B6">
        <v>-1</v>
      </c>
      <c r="C6" s="1">
        <v>44197</v>
      </c>
    </row>
    <row r="7" spans="1:6" hidden="1" x14ac:dyDescent="0.25">
      <c r="A7" t="s">
        <v>11</v>
      </c>
      <c r="B7" s="2">
        <v>1</v>
      </c>
      <c r="C7" s="1">
        <v>43830</v>
      </c>
    </row>
    <row r="8" spans="1:6" hidden="1" x14ac:dyDescent="0.25">
      <c r="A8" t="s">
        <v>12</v>
      </c>
      <c r="B8">
        <v>100</v>
      </c>
    </row>
    <row r="9" spans="1:6" hidden="1" x14ac:dyDescent="0.25">
      <c r="A9" s="3" t="s">
        <v>13</v>
      </c>
      <c r="B9" s="3" t="s">
        <v>14</v>
      </c>
      <c r="C9" t="s">
        <v>15</v>
      </c>
    </row>
    <row r="10" spans="1:6" hidden="1" x14ac:dyDescent="0.25">
      <c r="A10" t="s">
        <v>16</v>
      </c>
      <c r="B10" t="b">
        <v>1</v>
      </c>
      <c r="C10" s="4">
        <v>43845.25</v>
      </c>
    </row>
    <row r="11" spans="1:6" hidden="1" x14ac:dyDescent="0.25">
      <c r="A11" t="s">
        <v>17</v>
      </c>
      <c r="B11" t="e">
        <f>1/0</f>
        <v>#DIV/0!</v>
      </c>
    </row>
    <row r="12" spans="1:6" hidden="1" x14ac:dyDescent="0.25">
      <c r="A12" t="s">
        <v>9</v>
      </c>
      <c r="B12">
        <v>2</v>
      </c>
      <c r="C12" s="1">
        <v>43845</v>
      </c>
      <c r="D12" t="s">
        <v>7</v>
      </c>
    </row>
    <row r="13" spans="1:6" hidden="1" x14ac:dyDescent="0.25">
      <c r="A13">
        <v>12</v>
      </c>
      <c r="B13">
        <v>0.5</v>
      </c>
    </row>
  </sheetData>
  <autoFilter ref="F1:F9" xr:uid="{000EB6C1-9C7E-46DB-BDF8-116C733136FF}">
    <filterColumn colId="0">
      <customFilters>
        <customFilter operator="greaterThan" val="3"/>
      </customFilters>
    </filterColumn>
  </autoFilter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52619-6F39-4AD6-9954-04550664FFF6}">
  <sheetPr filterMode="1"/>
  <dimension ref="A1:F1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F1" t="s">
        <v>18</v>
      </c>
    </row>
    <row r="2" spans="1:6" x14ac:dyDescent="0.25">
      <c r="A2" t="s">
        <v>4</v>
      </c>
      <c r="B2">
        <v>1</v>
      </c>
      <c r="C2" s="1">
        <v>43831</v>
      </c>
      <c r="D2" t="s">
        <v>5</v>
      </c>
      <c r="F2">
        <v>5</v>
      </c>
    </row>
    <row r="3" spans="1:6" x14ac:dyDescent="0.25">
      <c r="A3" t="s">
        <v>6</v>
      </c>
      <c r="B3">
        <v>2</v>
      </c>
      <c r="C3" s="1">
        <v>43845</v>
      </c>
      <c r="D3" t="s">
        <v>7</v>
      </c>
      <c r="F3">
        <v>3</v>
      </c>
    </row>
    <row r="4" spans="1:6" x14ac:dyDescent="0.25">
      <c r="A4" t="s">
        <v>8</v>
      </c>
      <c r="B4">
        <v>2.5</v>
      </c>
      <c r="C4" s="1">
        <v>43862</v>
      </c>
      <c r="D4" t="s">
        <v>5</v>
      </c>
      <c r="F4">
        <v>9</v>
      </c>
    </row>
    <row r="5" spans="1:6" x14ac:dyDescent="0.25">
      <c r="A5" t="s">
        <v>9</v>
      </c>
      <c r="B5">
        <v>10</v>
      </c>
      <c r="C5" s="1">
        <v>43891</v>
      </c>
      <c r="F5">
        <v>1</v>
      </c>
    </row>
    <row r="6" spans="1:6" x14ac:dyDescent="0.25">
      <c r="A6" t="s">
        <v>10</v>
      </c>
      <c r="B6">
        <v>-1</v>
      </c>
      <c r="C6" s="1">
        <v>44197</v>
      </c>
      <c r="F6">
        <v>7</v>
      </c>
    </row>
    <row r="7" spans="1:6" x14ac:dyDescent="0.25">
      <c r="A7" t="s">
        <v>11</v>
      </c>
      <c r="B7" s="2">
        <v>1</v>
      </c>
      <c r="C7" s="1">
        <v>43830</v>
      </c>
      <c r="F7">
        <v>3</v>
      </c>
    </row>
    <row r="8" spans="1:6" x14ac:dyDescent="0.25">
      <c r="A8" t="s">
        <v>12</v>
      </c>
      <c r="B8">
        <v>100</v>
      </c>
      <c r="F8">
        <v>12</v>
      </c>
    </row>
    <row r="9" spans="1:6" x14ac:dyDescent="0.25">
      <c r="A9" s="3" t="s">
        <v>13</v>
      </c>
      <c r="B9" s="3" t="s">
        <v>14</v>
      </c>
      <c r="C9" t="s">
        <v>15</v>
      </c>
      <c r="F9">
        <v>0.5</v>
      </c>
    </row>
    <row r="10" spans="1:6" x14ac:dyDescent="0.25">
      <c r="A10" t="s">
        <v>16</v>
      </c>
      <c r="B10" t="b">
        <v>1</v>
      </c>
      <c r="C10" s="4">
        <v>43845.25</v>
      </c>
    </row>
    <row r="11" spans="1:6" x14ac:dyDescent="0.25">
      <c r="A11" t="s">
        <v>17</v>
      </c>
      <c r="B11" t="e">
        <f>1/0</f>
        <v>#DIV/0!</v>
      </c>
    </row>
    <row r="12" spans="1:6" x14ac:dyDescent="0.25">
      <c r="A12" t="s">
        <v>9</v>
      </c>
      <c r="B12">
        <v>2</v>
      </c>
      <c r="C12" s="1">
        <v>43845</v>
      </c>
      <c r="D12" t="s">
        <v>7</v>
      </c>
    </row>
    <row r="13" spans="1:6" x14ac:dyDescent="0.25">
      <c r="A13">
        <v>12</v>
      </c>
      <c r="B13">
        <v>0.5</v>
      </c>
    </row>
  </sheetData>
  <autoFilter ref="F1:F9" xr:uid="{BC252619-6F39-4AD6-9954-04550664FFF6}">
    <filterColumn colId="0">
      <customFilters>
        <customFilter operator="greaterThan" val="3"/>
      </customFilters>
    </filterColumn>
  </autoFilter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A6C98-76EA-4DA9-BC6D-72BECFEA6DF0}">
  <sheetPr filterMode="1"/>
  <dimension ref="A1:F1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F1" t="s">
        <v>18</v>
      </c>
    </row>
    <row r="2" spans="1:6" x14ac:dyDescent="0.25">
      <c r="A2" t="s">
        <v>4</v>
      </c>
      <c r="B2">
        <v>1</v>
      </c>
      <c r="C2" s="1">
        <v>43831</v>
      </c>
      <c r="D2" t="s">
        <v>5</v>
      </c>
      <c r="F2">
        <v>5</v>
      </c>
    </row>
    <row r="3" spans="1:6" x14ac:dyDescent="0.25">
      <c r="A3" t="s">
        <v>6</v>
      </c>
      <c r="B3">
        <v>2</v>
      </c>
      <c r="C3" s="1">
        <v>43845</v>
      </c>
      <c r="D3" t="s">
        <v>7</v>
      </c>
      <c r="F3">
        <v>3</v>
      </c>
    </row>
    <row r="4" spans="1:6" x14ac:dyDescent="0.25">
      <c r="A4" t="s">
        <v>8</v>
      </c>
      <c r="B4">
        <v>2.5</v>
      </c>
      <c r="C4" s="1">
        <v>43862</v>
      </c>
      <c r="D4" t="s">
        <v>5</v>
      </c>
      <c r="F4">
        <v>9</v>
      </c>
    </row>
    <row r="5" spans="1:6" x14ac:dyDescent="0.25">
      <c r="A5" t="s">
        <v>9</v>
      </c>
      <c r="B5">
        <v>10</v>
      </c>
      <c r="C5" s="1">
        <v>43891</v>
      </c>
      <c r="F5">
        <v>1</v>
      </c>
    </row>
    <row r="6" spans="1:6" x14ac:dyDescent="0.25">
      <c r="A6" t="s">
        <v>10</v>
      </c>
      <c r="B6">
        <v>-1</v>
      </c>
      <c r="C6" s="1">
        <v>44197</v>
      </c>
      <c r="F6">
        <v>7</v>
      </c>
    </row>
    <row r="7" spans="1:6" x14ac:dyDescent="0.25">
      <c r="A7" t="s">
        <v>11</v>
      </c>
      <c r="B7" s="2">
        <v>1</v>
      </c>
      <c r="C7" s="1">
        <v>43830</v>
      </c>
      <c r="F7">
        <v>3</v>
      </c>
    </row>
    <row r="8" spans="1:6" x14ac:dyDescent="0.25">
      <c r="A8" t="s">
        <v>12</v>
      </c>
      <c r="B8">
        <v>100</v>
      </c>
      <c r="F8">
        <v>12</v>
      </c>
    </row>
    <row r="9" spans="1:6" x14ac:dyDescent="0.25">
      <c r="A9" s="3" t="s">
        <v>13</v>
      </c>
      <c r="B9" s="3" t="s">
        <v>14</v>
      </c>
      <c r="C9" t="s">
        <v>15</v>
      </c>
      <c r="F9">
        <v>0.5</v>
      </c>
    </row>
    <row r="10" spans="1:6" x14ac:dyDescent="0.25">
      <c r="A10" t="s">
        <v>16</v>
      </c>
      <c r="B10" t="b">
        <v>1</v>
      </c>
      <c r="C10" s="4">
        <v>43845.25</v>
      </c>
    </row>
    <row r="11" spans="1:6" x14ac:dyDescent="0.25">
      <c r="A11" t="s">
        <v>17</v>
      </c>
      <c r="B11" t="e">
        <f>1/0</f>
        <v>#DIV/0!</v>
      </c>
    </row>
    <row r="12" spans="1:6" x14ac:dyDescent="0.25">
      <c r="A12" t="s">
        <v>9</v>
      </c>
      <c r="B12">
        <v>2</v>
      </c>
      <c r="C12" s="1">
        <v>43845</v>
      </c>
      <c r="D12" t="s">
        <v>7</v>
      </c>
    </row>
    <row r="13" spans="1:6" x14ac:dyDescent="0.25">
      <c r="A13">
        <v>12</v>
      </c>
      <c r="B13">
        <v>0.5</v>
      </c>
    </row>
  </sheetData>
  <autoFilter ref="F1:F9" xr:uid="{A44A6C98-76EA-4DA9-BC6D-72BECFEA6DF0}">
    <filterColumn colId="0">
      <customFilters>
        <customFilter operator="greaterThan" val="3"/>
      </customFilters>
    </filterColumn>
  </autoFilter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25EC-58B4-473A-AF9E-EB4EAAEC623C}">
  <dimension ref="A1:F1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F1" t="s">
        <v>18</v>
      </c>
    </row>
    <row r="2" spans="1:6" x14ac:dyDescent="0.25">
      <c r="A2" t="s">
        <v>4</v>
      </c>
      <c r="B2">
        <v>1</v>
      </c>
      <c r="C2" s="1">
        <v>43831</v>
      </c>
      <c r="D2" t="s">
        <v>5</v>
      </c>
      <c r="F2">
        <v>5</v>
      </c>
    </row>
    <row r="3" spans="1:6" hidden="1" x14ac:dyDescent="0.25">
      <c r="A3" t="s">
        <v>6</v>
      </c>
      <c r="B3">
        <v>2</v>
      </c>
      <c r="C3" s="1">
        <v>43845</v>
      </c>
      <c r="D3" t="s">
        <v>7</v>
      </c>
      <c r="F3">
        <v>3</v>
      </c>
    </row>
    <row r="4" spans="1:6" x14ac:dyDescent="0.25">
      <c r="A4" t="s">
        <v>8</v>
      </c>
      <c r="B4">
        <v>2.5</v>
      </c>
      <c r="C4" s="1">
        <v>43862</v>
      </c>
      <c r="D4" t="s">
        <v>5</v>
      </c>
      <c r="F4">
        <v>9</v>
      </c>
    </row>
    <row r="5" spans="1:6" hidden="1" x14ac:dyDescent="0.25">
      <c r="A5" t="s">
        <v>9</v>
      </c>
      <c r="B5">
        <v>10</v>
      </c>
      <c r="C5" s="1">
        <v>43891</v>
      </c>
      <c r="F5">
        <v>1</v>
      </c>
    </row>
    <row r="6" spans="1:6" x14ac:dyDescent="0.25">
      <c r="A6" t="s">
        <v>10</v>
      </c>
      <c r="B6">
        <v>-1</v>
      </c>
      <c r="C6" s="1">
        <v>44197</v>
      </c>
      <c r="F6">
        <v>7</v>
      </c>
    </row>
    <row r="7" spans="1:6" hidden="1" x14ac:dyDescent="0.25">
      <c r="A7" t="s">
        <v>11</v>
      </c>
      <c r="B7" s="2">
        <v>1</v>
      </c>
      <c r="C7" s="1">
        <v>43830</v>
      </c>
      <c r="F7">
        <v>3</v>
      </c>
    </row>
    <row r="8" spans="1:6" x14ac:dyDescent="0.25">
      <c r="A8" t="s">
        <v>12</v>
      </c>
      <c r="B8">
        <v>100</v>
      </c>
      <c r="F8">
        <v>12</v>
      </c>
    </row>
    <row r="9" spans="1:6" hidden="1" x14ac:dyDescent="0.25">
      <c r="A9" s="3" t="s">
        <v>13</v>
      </c>
      <c r="B9" s="3" t="s">
        <v>14</v>
      </c>
      <c r="C9" t="s">
        <v>15</v>
      </c>
      <c r="F9">
        <v>0.5</v>
      </c>
    </row>
    <row r="10" spans="1:6" hidden="1" x14ac:dyDescent="0.25">
      <c r="A10" t="s">
        <v>16</v>
      </c>
      <c r="B10" t="b">
        <v>1</v>
      </c>
      <c r="C10" s="4">
        <v>43845.25</v>
      </c>
    </row>
    <row r="11" spans="1:6" hidden="1" x14ac:dyDescent="0.25">
      <c r="A11" t="s">
        <v>17</v>
      </c>
      <c r="B11" t="e">
        <f>1/0</f>
        <v>#DIV/0!</v>
      </c>
    </row>
    <row r="12" spans="1:6" hidden="1" x14ac:dyDescent="0.25">
      <c r="A12" t="s">
        <v>9</v>
      </c>
      <c r="B12">
        <v>2</v>
      </c>
      <c r="C12" s="1">
        <v>43845</v>
      </c>
      <c r="D12" t="s">
        <v>7</v>
      </c>
    </row>
    <row r="13" spans="1:6" hidden="1" x14ac:dyDescent="0.25">
      <c r="A13">
        <v>12</v>
      </c>
      <c r="B13">
        <v>0.5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85704-BAAA-4B1F-84A6-F0466023A09E}">
  <dimension ref="A1:H13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H1">
        <f>SUBTOTAL(9,B2:B13)</f>
        <v>3</v>
      </c>
    </row>
    <row r="2" spans="1:8" x14ac:dyDescent="0.25">
      <c r="A2" t="s">
        <v>4</v>
      </c>
      <c r="B2">
        <v>1</v>
      </c>
      <c r="C2" s="1">
        <v>43831</v>
      </c>
      <c r="D2" t="s">
        <v>5</v>
      </c>
      <c r="H2">
        <f>SUBTOTAL(109,B2:B13)</f>
        <v>3</v>
      </c>
    </row>
    <row r="3" spans="1:8" x14ac:dyDescent="0.25">
      <c r="A3" t="s">
        <v>6</v>
      </c>
      <c r="B3">
        <v>2</v>
      </c>
      <c r="C3" s="1">
        <v>43845</v>
      </c>
      <c r="D3" t="s">
        <v>7</v>
      </c>
      <c r="H3">
        <f>SUBTOTAL(3,A2:A13)</f>
        <v>2</v>
      </c>
    </row>
    <row r="4" spans="1:8" hidden="1" x14ac:dyDescent="0.25">
      <c r="A4" t="s">
        <v>8</v>
      </c>
      <c r="B4">
        <v>2.5</v>
      </c>
      <c r="C4" s="1">
        <v>43862</v>
      </c>
      <c r="D4" t="s">
        <v>5</v>
      </c>
    </row>
    <row r="5" spans="1:8" hidden="1" x14ac:dyDescent="0.25">
      <c r="A5" t="s">
        <v>9</v>
      </c>
      <c r="B5">
        <v>10</v>
      </c>
      <c r="C5" s="1">
        <v>43891</v>
      </c>
    </row>
    <row r="6" spans="1:8" hidden="1" x14ac:dyDescent="0.25">
      <c r="A6" t="s">
        <v>10</v>
      </c>
      <c r="B6">
        <v>-1</v>
      </c>
      <c r="C6" s="1">
        <v>44197</v>
      </c>
    </row>
    <row r="7" spans="1:8" hidden="1" x14ac:dyDescent="0.25">
      <c r="A7" t="s">
        <v>11</v>
      </c>
      <c r="B7" s="2">
        <v>1</v>
      </c>
      <c r="C7" s="1">
        <v>43830</v>
      </c>
    </row>
    <row r="8" spans="1:8" hidden="1" x14ac:dyDescent="0.25">
      <c r="A8" t="s">
        <v>12</v>
      </c>
      <c r="B8">
        <v>100</v>
      </c>
    </row>
    <row r="9" spans="1:8" hidden="1" x14ac:dyDescent="0.25">
      <c r="A9" s="3" t="s">
        <v>13</v>
      </c>
      <c r="B9" s="3" t="s">
        <v>14</v>
      </c>
      <c r="C9" t="s">
        <v>15</v>
      </c>
    </row>
    <row r="10" spans="1:8" hidden="1" x14ac:dyDescent="0.25">
      <c r="A10" t="s">
        <v>16</v>
      </c>
      <c r="B10" t="b">
        <v>1</v>
      </c>
      <c r="C10" s="4">
        <v>43845.25</v>
      </c>
    </row>
    <row r="11" spans="1:8" hidden="1" x14ac:dyDescent="0.25">
      <c r="A11" t="s">
        <v>17</v>
      </c>
      <c r="B11" t="e">
        <f>1/0</f>
        <v>#DIV/0!</v>
      </c>
    </row>
    <row r="12" spans="1:8" hidden="1" x14ac:dyDescent="0.25">
      <c r="A12" t="s">
        <v>9</v>
      </c>
      <c r="B12">
        <v>2</v>
      </c>
      <c r="C12" s="1">
        <v>43845</v>
      </c>
      <c r="D12" t="s">
        <v>7</v>
      </c>
    </row>
    <row r="13" spans="1:8" hidden="1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AB12B-83D3-4C4D-9658-1B00EE97B5CB}">
  <dimension ref="A1:H13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H1">
        <f>SUBTOTAL(3,A2:A13)</f>
        <v>10</v>
      </c>
    </row>
    <row r="2" spans="1:8" hidden="1" x14ac:dyDescent="0.25">
      <c r="A2" t="s">
        <v>4</v>
      </c>
      <c r="B2">
        <v>1</v>
      </c>
      <c r="C2" s="1">
        <v>43831</v>
      </c>
      <c r="D2" t="s">
        <v>5</v>
      </c>
    </row>
    <row r="3" spans="1:8" x14ac:dyDescent="0.25">
      <c r="A3" t="s">
        <v>6</v>
      </c>
      <c r="B3">
        <v>2</v>
      </c>
      <c r="C3" s="1">
        <v>43845</v>
      </c>
      <c r="D3" t="s">
        <v>7</v>
      </c>
    </row>
    <row r="4" spans="1:8" x14ac:dyDescent="0.25">
      <c r="A4" t="s">
        <v>8</v>
      </c>
      <c r="B4">
        <v>2.5</v>
      </c>
      <c r="C4" s="1">
        <v>43862</v>
      </c>
      <c r="D4" t="s">
        <v>5</v>
      </c>
    </row>
    <row r="5" spans="1:8" x14ac:dyDescent="0.25">
      <c r="A5" t="s">
        <v>9</v>
      </c>
      <c r="B5">
        <v>10</v>
      </c>
      <c r="C5" s="1">
        <v>43891</v>
      </c>
    </row>
    <row r="6" spans="1:8" x14ac:dyDescent="0.25">
      <c r="A6" t="s">
        <v>10</v>
      </c>
      <c r="B6">
        <v>-1</v>
      </c>
      <c r="C6" s="1">
        <v>44197</v>
      </c>
    </row>
    <row r="7" spans="1:8" hidden="1" x14ac:dyDescent="0.25">
      <c r="A7" t="s">
        <v>11</v>
      </c>
      <c r="B7" s="2">
        <v>1</v>
      </c>
      <c r="C7" s="1">
        <v>43830</v>
      </c>
    </row>
    <row r="8" spans="1:8" x14ac:dyDescent="0.25">
      <c r="A8" t="s">
        <v>12</v>
      </c>
      <c r="B8">
        <v>100</v>
      </c>
    </row>
    <row r="9" spans="1:8" x14ac:dyDescent="0.25">
      <c r="A9" s="3" t="s">
        <v>13</v>
      </c>
      <c r="B9" s="3" t="s">
        <v>14</v>
      </c>
      <c r="C9" t="s">
        <v>15</v>
      </c>
    </row>
    <row r="10" spans="1:8" x14ac:dyDescent="0.25">
      <c r="A10" t="s">
        <v>16</v>
      </c>
      <c r="B10" t="b">
        <v>1</v>
      </c>
      <c r="C10" s="4">
        <v>43845.25</v>
      </c>
    </row>
    <row r="11" spans="1:8" x14ac:dyDescent="0.25">
      <c r="A11" t="s">
        <v>17</v>
      </c>
      <c r="B11" t="e">
        <f>1/0</f>
        <v>#DIV/0!</v>
      </c>
    </row>
    <row r="12" spans="1:8" x14ac:dyDescent="0.25">
      <c r="A12" t="s">
        <v>9</v>
      </c>
      <c r="B12">
        <v>2</v>
      </c>
      <c r="C12" s="1">
        <v>43845</v>
      </c>
      <c r="D12" t="s">
        <v>7</v>
      </c>
    </row>
    <row r="13" spans="1:8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5D465-D14A-4E1D-99C6-637E2F0CDBE5}">
  <dimension ref="A1:F1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F1">
        <v>7</v>
      </c>
    </row>
    <row r="2" spans="1:6" x14ac:dyDescent="0.25">
      <c r="A2" t="s">
        <v>4</v>
      </c>
      <c r="B2">
        <v>1</v>
      </c>
      <c r="C2" s="1">
        <v>43831</v>
      </c>
      <c r="D2" t="s">
        <v>5</v>
      </c>
      <c r="F2">
        <v>7</v>
      </c>
    </row>
    <row r="3" spans="1:6" x14ac:dyDescent="0.25">
      <c r="A3" t="s">
        <v>6</v>
      </c>
      <c r="B3">
        <v>2</v>
      </c>
      <c r="C3" s="1">
        <v>43845</v>
      </c>
      <c r="D3" t="s">
        <v>7</v>
      </c>
      <c r="F3">
        <v>7</v>
      </c>
    </row>
    <row r="4" spans="1:6" hidden="1" x14ac:dyDescent="0.25">
      <c r="A4" t="s">
        <v>8</v>
      </c>
      <c r="B4">
        <v>2.5</v>
      </c>
      <c r="C4" s="1">
        <v>43862</v>
      </c>
      <c r="D4" t="s">
        <v>5</v>
      </c>
    </row>
    <row r="5" spans="1:6" hidden="1" x14ac:dyDescent="0.25">
      <c r="A5" t="s">
        <v>9</v>
      </c>
      <c r="B5">
        <v>10</v>
      </c>
      <c r="C5" s="1">
        <v>43891</v>
      </c>
    </row>
    <row r="6" spans="1:6" hidden="1" x14ac:dyDescent="0.25">
      <c r="A6" t="s">
        <v>10</v>
      </c>
      <c r="B6">
        <v>-1</v>
      </c>
      <c r="C6" s="1">
        <v>44197</v>
      </c>
    </row>
    <row r="7" spans="1:6" hidden="1" x14ac:dyDescent="0.25">
      <c r="A7" t="s">
        <v>11</v>
      </c>
      <c r="B7" s="2">
        <v>1</v>
      </c>
      <c r="C7" s="1">
        <v>43830</v>
      </c>
    </row>
    <row r="8" spans="1:6" hidden="1" x14ac:dyDescent="0.25">
      <c r="A8" t="s">
        <v>12</v>
      </c>
      <c r="B8">
        <v>100</v>
      </c>
    </row>
    <row r="9" spans="1:6" hidden="1" x14ac:dyDescent="0.25">
      <c r="A9" s="3" t="s">
        <v>13</v>
      </c>
      <c r="B9" s="3" t="s">
        <v>14</v>
      </c>
      <c r="C9" t="s">
        <v>15</v>
      </c>
    </row>
    <row r="10" spans="1:6" hidden="1" x14ac:dyDescent="0.25">
      <c r="A10" t="s">
        <v>16</v>
      </c>
      <c r="B10" t="b">
        <v>1</v>
      </c>
      <c r="C10" s="4">
        <v>43845.25</v>
      </c>
    </row>
    <row r="11" spans="1:6" hidden="1" x14ac:dyDescent="0.25">
      <c r="A11" t="s">
        <v>17</v>
      </c>
      <c r="B11" t="e">
        <f>1/0</f>
        <v>#DIV/0!</v>
      </c>
    </row>
    <row r="12" spans="1:6" hidden="1" x14ac:dyDescent="0.25">
      <c r="A12" t="s">
        <v>9</v>
      </c>
      <c r="B12">
        <v>2</v>
      </c>
      <c r="C12" s="1">
        <v>43845</v>
      </c>
      <c r="D12" t="s">
        <v>7</v>
      </c>
    </row>
    <row r="13" spans="1:6" hidden="1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DF6BE-5255-4ABF-B2F7-25A8293C6FAB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19</v>
      </c>
    </row>
    <row r="3" spans="1:4" x14ac:dyDescent="0.25">
      <c r="A3" t="s">
        <v>6</v>
      </c>
      <c r="B3">
        <v>2</v>
      </c>
      <c r="C3" s="1">
        <v>43845</v>
      </c>
      <c r="D3" t="s">
        <v>19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FFBF5-56EF-4FBC-B49D-1F3BD53D6643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09607-F500-4C6C-BE29-19026D49C968}">
  <dimension ref="A1:D14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4</v>
      </c>
      <c r="B2">
        <v>1</v>
      </c>
      <c r="C2" s="1">
        <v>43831</v>
      </c>
      <c r="D2" t="s">
        <v>5</v>
      </c>
    </row>
    <row r="3" spans="1:4" hidden="1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  <row r="14" spans="1:4" x14ac:dyDescent="0.25">
      <c r="A14" t="s">
        <v>20</v>
      </c>
      <c r="D14">
        <f>SUBTOTAL(103,Table51[Note])</f>
        <v>1</v>
      </c>
    </row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4B01-77BD-488C-9184-28F5377531E8}">
  <dimension ref="A1:D14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4</v>
      </c>
      <c r="B2">
        <v>1</v>
      </c>
      <c r="C2" s="1">
        <v>43831</v>
      </c>
      <c r="D2" t="s">
        <v>5</v>
      </c>
    </row>
    <row r="3" spans="1:4" hidden="1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  <row r="14" spans="1:4" x14ac:dyDescent="0.25">
      <c r="A14" t="s">
        <v>20</v>
      </c>
      <c r="B14">
        <f>SUBTOTAL(109,Table52[Qty])</f>
        <v>112.5</v>
      </c>
      <c r="D14">
        <f>SUBTOTAL(103,Table52[Note])</f>
        <v>1</v>
      </c>
    </row>
  </sheetData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63B4-3E57-47AB-A5FA-D907644510DA}">
  <dimension ref="A2:D13"/>
  <sheetViews>
    <sheetView workbookViewId="0">
      <selection activeCell="A2" sqref="A2"/>
    </sheetView>
  </sheetViews>
  <sheetFormatPr defaultRowHeight="15" x14ac:dyDescent="0.25"/>
  <sheetData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14885-504A-43EA-9176-1E4C298D22DE}">
  <dimension ref="A1:D13"/>
  <sheetViews>
    <sheetView workbookViewId="0">
      <selection activeCell="A2" sqref="A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D2904-0C55-4442-A7B1-E9ECB577AED2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FF7B6-E558-4996-96A1-C9B5BD2322CA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0F97D-7E36-40C3-988C-4099C9501D69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99D57-617A-4B0A-8246-30375A352B70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</row>
    <row r="12" spans="1:4" x14ac:dyDescent="0.25">
      <c r="A12" t="s">
        <v>9</v>
      </c>
      <c r="C12" s="1"/>
    </row>
    <row r="13" spans="1:4" x14ac:dyDescent="0.25">
      <c r="A13">
        <v>12</v>
      </c>
    </row>
  </sheetData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D9AA1-6675-407B-9E36-ABCC702CF523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946FE-CEE9-4CD9-9B0E-1B0284A19FF4}">
  <dimension ref="A1:E13"/>
  <sheetViews>
    <sheetView workbookViewId="0"/>
  </sheetViews>
  <sheetFormatPr defaultRowHeight="15" x14ac:dyDescent="0.25"/>
  <sheetData>
    <row r="1" spans="1:5" x14ac:dyDescent="0.25">
      <c r="A1" t="s">
        <v>21</v>
      </c>
      <c r="B1" t="s">
        <v>0</v>
      </c>
      <c r="C1" t="s">
        <v>1</v>
      </c>
      <c r="D1" t="s">
        <v>2</v>
      </c>
      <c r="E1" t="s">
        <v>3</v>
      </c>
    </row>
    <row r="2" spans="1:5" hidden="1" x14ac:dyDescent="0.25">
      <c r="B2" t="s">
        <v>4</v>
      </c>
      <c r="C2">
        <v>1</v>
      </c>
      <c r="D2" s="1">
        <v>43831</v>
      </c>
      <c r="E2" t="s">
        <v>5</v>
      </c>
    </row>
    <row r="3" spans="1:5" hidden="1" x14ac:dyDescent="0.25">
      <c r="B3" t="s">
        <v>6</v>
      </c>
      <c r="C3">
        <v>2</v>
      </c>
      <c r="D3" s="1">
        <v>43845</v>
      </c>
      <c r="E3" t="s">
        <v>7</v>
      </c>
    </row>
    <row r="4" spans="1:5" x14ac:dyDescent="0.25">
      <c r="B4" t="s">
        <v>8</v>
      </c>
      <c r="C4">
        <v>2.5</v>
      </c>
      <c r="D4" s="1">
        <v>43862</v>
      </c>
      <c r="E4" t="s">
        <v>5</v>
      </c>
    </row>
    <row r="5" spans="1:5" x14ac:dyDescent="0.25">
      <c r="B5" t="s">
        <v>9</v>
      </c>
      <c r="C5">
        <v>10</v>
      </c>
      <c r="D5" s="1">
        <v>43891</v>
      </c>
    </row>
    <row r="6" spans="1:5" hidden="1" x14ac:dyDescent="0.25">
      <c r="B6" t="s">
        <v>10</v>
      </c>
      <c r="C6">
        <v>-1</v>
      </c>
      <c r="D6" s="1">
        <v>44197</v>
      </c>
    </row>
    <row r="7" spans="1:5" hidden="1" x14ac:dyDescent="0.25">
      <c r="B7" t="s">
        <v>11</v>
      </c>
      <c r="C7" s="2">
        <v>1</v>
      </c>
      <c r="D7" s="1">
        <v>43830</v>
      </c>
    </row>
    <row r="8" spans="1:5" x14ac:dyDescent="0.25">
      <c r="B8" t="s">
        <v>12</v>
      </c>
      <c r="C8">
        <v>100</v>
      </c>
    </row>
    <row r="9" spans="1:5" hidden="1" x14ac:dyDescent="0.25">
      <c r="A9" s="3"/>
      <c r="B9" s="3" t="s">
        <v>13</v>
      </c>
      <c r="C9" s="3" t="s">
        <v>14</v>
      </c>
      <c r="D9" t="s">
        <v>15</v>
      </c>
    </row>
    <row r="10" spans="1:5" hidden="1" x14ac:dyDescent="0.25">
      <c r="B10" t="s">
        <v>16</v>
      </c>
      <c r="C10" t="b">
        <v>1</v>
      </c>
      <c r="D10" s="4">
        <v>43845.25</v>
      </c>
    </row>
    <row r="11" spans="1:5" hidden="1" x14ac:dyDescent="0.25">
      <c r="B11" t="s">
        <v>17</v>
      </c>
      <c r="C11" t="e">
        <f>1/0</f>
        <v>#DIV/0!</v>
      </c>
    </row>
    <row r="12" spans="1:5" hidden="1" x14ac:dyDescent="0.25">
      <c r="B12" t="s">
        <v>9</v>
      </c>
      <c r="C12">
        <v>2</v>
      </c>
      <c r="D12" s="1">
        <v>43845</v>
      </c>
      <c r="E12" t="s">
        <v>7</v>
      </c>
    </row>
    <row r="13" spans="1:5" hidden="1" x14ac:dyDescent="0.25">
      <c r="B13">
        <v>12</v>
      </c>
      <c r="C13">
        <v>0.5</v>
      </c>
    </row>
  </sheetData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0247D-B9AC-4087-AFFE-70BB6FC6926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39DD3-2465-4DC8-84B2-71702A1AF80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C6384-B086-417E-9CFD-739ECE957336}">
  <dimension ref="A1:D1"/>
  <sheetViews>
    <sheetView workbookViewId="0"/>
  </sheetViews>
  <sheetFormatPr defaultRowHeight="15" x14ac:dyDescent="0.25"/>
  <cols>
    <col min="1" max="4" width="11.28515625" customWidth="1"/>
  </cols>
  <sheetData>
    <row r="1" spans="1:4" x14ac:dyDescent="0.25">
      <c r="A1" t="s">
        <v>21</v>
      </c>
      <c r="B1" t="s">
        <v>22</v>
      </c>
      <c r="C1" t="s">
        <v>23</v>
      </c>
      <c r="D1" t="s">
        <v>24</v>
      </c>
    </row>
  </sheetData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C8EC6-7AFC-4091-A05E-9D048D00A03A}">
  <dimension ref="A1:D13"/>
  <sheetViews>
    <sheetView workbookViewId="0">
      <selection activeCell="H20" sqref="H2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AE3D2-33E0-416B-8707-52C021C42D83}">
  <dimension ref="A1:D13"/>
  <sheetViews>
    <sheetView workbookViewId="0">
      <selection activeCell="H20" sqref="H2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308FB-CB06-4C2B-BF5C-979D875D9282}">
  <dimension ref="A1:D13"/>
  <sheetViews>
    <sheetView workbookViewId="0">
      <selection activeCell="H20" sqref="H2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135B2-34A7-402E-AECF-447226B4A41F}">
  <sheetPr filterMode="1"/>
  <dimension ref="A1:F13"/>
  <sheetViews>
    <sheetView workbookViewId="0">
      <selection activeCell="F2" sqref="F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F1" t="s">
        <v>18</v>
      </c>
    </row>
    <row r="2" spans="1:6" x14ac:dyDescent="0.25">
      <c r="A2" t="s">
        <v>4</v>
      </c>
      <c r="B2">
        <v>1</v>
      </c>
      <c r="C2" s="1">
        <v>43831</v>
      </c>
      <c r="D2" t="s">
        <v>5</v>
      </c>
      <c r="F2">
        <v>5</v>
      </c>
    </row>
    <row r="3" spans="1:6" x14ac:dyDescent="0.25">
      <c r="A3" t="s">
        <v>6</v>
      </c>
      <c r="B3">
        <v>2</v>
      </c>
      <c r="C3" s="1">
        <v>43845</v>
      </c>
      <c r="D3" t="s">
        <v>7</v>
      </c>
      <c r="F3">
        <v>3</v>
      </c>
    </row>
    <row r="4" spans="1:6" hidden="1" x14ac:dyDescent="0.25">
      <c r="A4" t="s">
        <v>8</v>
      </c>
      <c r="B4">
        <v>2.5</v>
      </c>
      <c r="C4" s="1">
        <v>43862</v>
      </c>
      <c r="D4" t="s">
        <v>5</v>
      </c>
      <c r="F4">
        <v>9</v>
      </c>
    </row>
    <row r="5" spans="1:6" hidden="1" x14ac:dyDescent="0.25">
      <c r="A5" t="s">
        <v>9</v>
      </c>
      <c r="B5">
        <v>10</v>
      </c>
      <c r="C5" s="1">
        <v>43891</v>
      </c>
      <c r="F5">
        <v>1</v>
      </c>
    </row>
    <row r="6" spans="1:6" hidden="1" x14ac:dyDescent="0.25">
      <c r="A6" t="s">
        <v>10</v>
      </c>
      <c r="B6">
        <v>-1</v>
      </c>
      <c r="C6" s="1">
        <v>44197</v>
      </c>
      <c r="F6">
        <v>7</v>
      </c>
    </row>
    <row r="7" spans="1:6" hidden="1" x14ac:dyDescent="0.25">
      <c r="A7" t="s">
        <v>11</v>
      </c>
      <c r="B7" s="2">
        <v>1</v>
      </c>
      <c r="C7" s="1">
        <v>43830</v>
      </c>
      <c r="F7">
        <v>3</v>
      </c>
    </row>
    <row r="8" spans="1:6" hidden="1" x14ac:dyDescent="0.25">
      <c r="A8" t="s">
        <v>12</v>
      </c>
      <c r="B8">
        <v>100</v>
      </c>
      <c r="F8">
        <v>12</v>
      </c>
    </row>
    <row r="9" spans="1:6" hidden="1" x14ac:dyDescent="0.25">
      <c r="A9" s="3" t="s">
        <v>13</v>
      </c>
      <c r="B9" s="3" t="s">
        <v>14</v>
      </c>
      <c r="C9" t="s">
        <v>15</v>
      </c>
      <c r="F9">
        <v>0.5</v>
      </c>
    </row>
    <row r="10" spans="1:6" hidden="1" x14ac:dyDescent="0.25">
      <c r="A10" t="s">
        <v>16</v>
      </c>
      <c r="B10" t="b">
        <v>1</v>
      </c>
      <c r="C10" s="4">
        <v>43845.25</v>
      </c>
    </row>
    <row r="11" spans="1:6" hidden="1" x14ac:dyDescent="0.25">
      <c r="A11" t="s">
        <v>17</v>
      </c>
      <c r="B11" t="e">
        <f>1/0</f>
        <v>#DIV/0!</v>
      </c>
    </row>
    <row r="12" spans="1:6" hidden="1" x14ac:dyDescent="0.25">
      <c r="A12" t="s">
        <v>9</v>
      </c>
      <c r="B12">
        <v>2</v>
      </c>
      <c r="C12" s="1">
        <v>43845</v>
      </c>
      <c r="D12" t="s">
        <v>7</v>
      </c>
    </row>
    <row r="13" spans="1:6" hidden="1" x14ac:dyDescent="0.25">
      <c r="A13">
        <v>12</v>
      </c>
      <c r="B13">
        <v>0.5</v>
      </c>
    </row>
  </sheetData>
  <autoFilter ref="F1:F9" xr:uid="{810135B2-34A7-402E-AECF-447226B4A41F}">
    <filterColumn colId="0">
      <customFilters>
        <customFilter operator="greaterThan" val="3"/>
      </customFilters>
    </filterColumn>
  </autoFilter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C4AF-32AB-4F59-94DE-253AEAE302DB}">
  <sheetPr filterMode="1"/>
  <dimension ref="A1:F13"/>
  <sheetViews>
    <sheetView workbookViewId="0">
      <selection activeCell="H20" sqref="H2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F1" t="s">
        <v>18</v>
      </c>
    </row>
    <row r="2" spans="1:6" x14ac:dyDescent="0.25">
      <c r="A2" t="s">
        <v>4</v>
      </c>
      <c r="B2">
        <v>1</v>
      </c>
      <c r="C2" s="1">
        <v>43831</v>
      </c>
      <c r="D2" t="s">
        <v>5</v>
      </c>
      <c r="F2">
        <v>5</v>
      </c>
    </row>
    <row r="3" spans="1:6" x14ac:dyDescent="0.25">
      <c r="A3" t="s">
        <v>6</v>
      </c>
      <c r="B3">
        <v>2</v>
      </c>
      <c r="C3" s="1">
        <v>43845</v>
      </c>
      <c r="D3" t="s">
        <v>7</v>
      </c>
      <c r="F3">
        <v>3</v>
      </c>
    </row>
    <row r="4" spans="1:6" hidden="1" x14ac:dyDescent="0.25">
      <c r="A4" t="s">
        <v>8</v>
      </c>
      <c r="B4">
        <v>2.5</v>
      </c>
      <c r="C4" s="1">
        <v>43862</v>
      </c>
      <c r="D4" t="s">
        <v>5</v>
      </c>
      <c r="F4">
        <v>9</v>
      </c>
    </row>
    <row r="5" spans="1:6" hidden="1" x14ac:dyDescent="0.25">
      <c r="A5" t="s">
        <v>9</v>
      </c>
      <c r="B5">
        <v>10</v>
      </c>
      <c r="C5" s="1">
        <v>43891</v>
      </c>
      <c r="F5">
        <v>1</v>
      </c>
    </row>
    <row r="6" spans="1:6" hidden="1" x14ac:dyDescent="0.25">
      <c r="A6" t="s">
        <v>10</v>
      </c>
      <c r="B6">
        <v>-1</v>
      </c>
      <c r="C6" s="1">
        <v>44197</v>
      </c>
      <c r="F6">
        <v>7</v>
      </c>
    </row>
    <row r="7" spans="1:6" hidden="1" x14ac:dyDescent="0.25">
      <c r="A7" t="s">
        <v>11</v>
      </c>
      <c r="B7" s="2">
        <v>1</v>
      </c>
      <c r="C7" s="1">
        <v>43830</v>
      </c>
      <c r="F7">
        <v>3</v>
      </c>
    </row>
    <row r="8" spans="1:6" hidden="1" x14ac:dyDescent="0.25">
      <c r="A8" t="s">
        <v>12</v>
      </c>
      <c r="B8">
        <v>100</v>
      </c>
      <c r="F8">
        <v>12</v>
      </c>
    </row>
    <row r="9" spans="1:6" hidden="1" x14ac:dyDescent="0.25">
      <c r="A9" s="3" t="s">
        <v>13</v>
      </c>
      <c r="B9" s="3" t="s">
        <v>14</v>
      </c>
      <c r="C9" t="s">
        <v>15</v>
      </c>
      <c r="F9">
        <v>0.5</v>
      </c>
    </row>
    <row r="10" spans="1:6" hidden="1" x14ac:dyDescent="0.25">
      <c r="A10" t="s">
        <v>16</v>
      </c>
      <c r="B10" t="b">
        <v>1</v>
      </c>
      <c r="C10" s="4">
        <v>43845.25</v>
      </c>
    </row>
    <row r="11" spans="1:6" hidden="1" x14ac:dyDescent="0.25">
      <c r="A11" t="s">
        <v>17</v>
      </c>
      <c r="B11" t="e">
        <f>1/0</f>
        <v>#DIV/0!</v>
      </c>
    </row>
    <row r="12" spans="1:6" hidden="1" x14ac:dyDescent="0.25">
      <c r="A12" t="s">
        <v>9</v>
      </c>
      <c r="B12">
        <v>2</v>
      </c>
      <c r="C12" s="1">
        <v>43845</v>
      </c>
      <c r="D12" t="s">
        <v>7</v>
      </c>
    </row>
    <row r="13" spans="1:6" hidden="1" x14ac:dyDescent="0.25">
      <c r="A13">
        <v>12</v>
      </c>
      <c r="B13">
        <v>0.5</v>
      </c>
    </row>
  </sheetData>
  <autoFilter ref="F1:F9" xr:uid="{4B6DC4AF-32AB-4F59-94DE-253AEAE302DB}">
    <filterColumn colId="0">
      <customFilters>
        <customFilter operator="greaterThan" val="3"/>
      </customFilters>
    </filterColumn>
  </autoFilter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C8621-8BAB-43DA-9CC9-BD9E72B45851}">
  <dimension ref="A1:F13"/>
  <sheetViews>
    <sheetView workbookViewId="0">
      <selection activeCell="F2" sqref="F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F1" t="s">
        <v>18</v>
      </c>
    </row>
    <row r="2" spans="1:6" x14ac:dyDescent="0.25">
      <c r="A2" t="s">
        <v>4</v>
      </c>
      <c r="B2">
        <v>1</v>
      </c>
      <c r="C2" s="1">
        <v>43831</v>
      </c>
      <c r="D2" t="s">
        <v>5</v>
      </c>
      <c r="F2">
        <v>5</v>
      </c>
    </row>
    <row r="3" spans="1:6" x14ac:dyDescent="0.25">
      <c r="A3" t="s">
        <v>6</v>
      </c>
      <c r="B3">
        <v>2</v>
      </c>
      <c r="C3" s="1">
        <v>43845</v>
      </c>
      <c r="D3" t="s">
        <v>7</v>
      </c>
      <c r="F3">
        <v>3</v>
      </c>
    </row>
    <row r="4" spans="1:6" x14ac:dyDescent="0.25">
      <c r="A4" t="s">
        <v>8</v>
      </c>
      <c r="B4">
        <v>2.5</v>
      </c>
      <c r="C4" s="1">
        <v>43862</v>
      </c>
      <c r="D4" t="s">
        <v>5</v>
      </c>
      <c r="F4">
        <v>9</v>
      </c>
    </row>
    <row r="5" spans="1:6" x14ac:dyDescent="0.25">
      <c r="A5" t="s">
        <v>9</v>
      </c>
      <c r="B5">
        <v>10</v>
      </c>
      <c r="C5" s="1">
        <v>43891</v>
      </c>
      <c r="F5">
        <v>1</v>
      </c>
    </row>
    <row r="6" spans="1:6" x14ac:dyDescent="0.25">
      <c r="A6" t="s">
        <v>10</v>
      </c>
      <c r="B6">
        <v>-1</v>
      </c>
      <c r="C6" s="1">
        <v>44197</v>
      </c>
      <c r="F6">
        <v>7</v>
      </c>
    </row>
    <row r="7" spans="1:6" x14ac:dyDescent="0.25">
      <c r="A7" t="s">
        <v>11</v>
      </c>
      <c r="B7" s="2">
        <v>1</v>
      </c>
      <c r="C7" s="1">
        <v>43830</v>
      </c>
      <c r="F7">
        <v>3</v>
      </c>
    </row>
    <row r="8" spans="1:6" x14ac:dyDescent="0.25">
      <c r="A8" t="s">
        <v>12</v>
      </c>
      <c r="B8">
        <v>100</v>
      </c>
      <c r="F8">
        <v>12</v>
      </c>
    </row>
    <row r="9" spans="1:6" x14ac:dyDescent="0.25">
      <c r="A9" s="3" t="s">
        <v>13</v>
      </c>
      <c r="B9" s="3" t="s">
        <v>14</v>
      </c>
      <c r="C9" t="s">
        <v>15</v>
      </c>
      <c r="F9">
        <v>0.5</v>
      </c>
    </row>
    <row r="10" spans="1:6" hidden="1" x14ac:dyDescent="0.25">
      <c r="A10" t="s">
        <v>16</v>
      </c>
      <c r="B10" t="b">
        <v>1</v>
      </c>
      <c r="C10" s="4">
        <v>43845.25</v>
      </c>
    </row>
    <row r="11" spans="1:6" hidden="1" x14ac:dyDescent="0.25">
      <c r="A11" t="s">
        <v>17</v>
      </c>
      <c r="B11" t="e">
        <f>1/0</f>
        <v>#DIV/0!</v>
      </c>
    </row>
    <row r="12" spans="1:6" hidden="1" x14ac:dyDescent="0.25">
      <c r="A12" t="s">
        <v>9</v>
      </c>
      <c r="B12">
        <v>2</v>
      </c>
      <c r="C12" s="1">
        <v>43845</v>
      </c>
      <c r="D12" t="s">
        <v>7</v>
      </c>
    </row>
    <row r="13" spans="1:6" hidden="1" x14ac:dyDescent="0.25">
      <c r="A13">
        <v>12</v>
      </c>
      <c r="B13">
        <v>0.5</v>
      </c>
    </row>
  </sheetData>
  <autoFilter ref="F1:F9" xr:uid="{417C8621-8BAB-43DA-9CC9-BD9E72B45851}"/>
  <pageMargins left="0.7" right="0.7" top="0.75" bottom="0.75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CFB06-2EF6-4591-A65E-1FF1A668D3A3}">
  <dimension ref="A1:F13"/>
  <sheetViews>
    <sheetView workbookViewId="0">
      <selection activeCell="F2" sqref="F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F1" t="s">
        <v>18</v>
      </c>
    </row>
    <row r="2" spans="1:6" x14ac:dyDescent="0.25">
      <c r="A2" t="s">
        <v>4</v>
      </c>
      <c r="B2">
        <v>1</v>
      </c>
      <c r="C2" s="1">
        <v>43831</v>
      </c>
      <c r="D2" t="s">
        <v>5</v>
      </c>
      <c r="F2">
        <v>5</v>
      </c>
    </row>
    <row r="3" spans="1:6" x14ac:dyDescent="0.25">
      <c r="A3" t="s">
        <v>6</v>
      </c>
      <c r="B3">
        <v>2</v>
      </c>
      <c r="C3" s="1">
        <v>43845</v>
      </c>
      <c r="D3" t="s">
        <v>7</v>
      </c>
      <c r="F3">
        <v>3</v>
      </c>
    </row>
    <row r="4" spans="1:6" x14ac:dyDescent="0.25">
      <c r="A4" t="s">
        <v>8</v>
      </c>
      <c r="B4">
        <v>2.5</v>
      </c>
      <c r="C4" s="1">
        <v>43862</v>
      </c>
      <c r="D4" t="s">
        <v>5</v>
      </c>
      <c r="F4">
        <v>9</v>
      </c>
    </row>
    <row r="5" spans="1:6" x14ac:dyDescent="0.25">
      <c r="A5" t="s">
        <v>9</v>
      </c>
      <c r="B5">
        <v>10</v>
      </c>
      <c r="C5" s="1">
        <v>43891</v>
      </c>
      <c r="F5">
        <v>1</v>
      </c>
    </row>
    <row r="6" spans="1:6" x14ac:dyDescent="0.25">
      <c r="A6" t="s">
        <v>10</v>
      </c>
      <c r="B6">
        <v>-1</v>
      </c>
      <c r="C6" s="1">
        <v>44197</v>
      </c>
      <c r="F6">
        <v>7</v>
      </c>
    </row>
    <row r="7" spans="1:6" x14ac:dyDescent="0.25">
      <c r="A7" t="s">
        <v>11</v>
      </c>
      <c r="B7" s="2">
        <v>1</v>
      </c>
      <c r="C7" s="1">
        <v>43830</v>
      </c>
      <c r="F7">
        <v>3</v>
      </c>
    </row>
    <row r="8" spans="1:6" x14ac:dyDescent="0.25">
      <c r="A8" t="s">
        <v>12</v>
      </c>
      <c r="B8">
        <v>100</v>
      </c>
      <c r="F8">
        <v>12</v>
      </c>
    </row>
    <row r="9" spans="1:6" x14ac:dyDescent="0.25">
      <c r="A9" s="3" t="s">
        <v>13</v>
      </c>
      <c r="B9" s="3" t="s">
        <v>14</v>
      </c>
      <c r="C9" t="s">
        <v>15</v>
      </c>
      <c r="F9">
        <v>0.5</v>
      </c>
    </row>
    <row r="10" spans="1:6" hidden="1" x14ac:dyDescent="0.25">
      <c r="A10" t="s">
        <v>16</v>
      </c>
      <c r="B10" t="b">
        <v>1</v>
      </c>
      <c r="C10" s="4">
        <v>43845.25</v>
      </c>
    </row>
    <row r="11" spans="1:6" hidden="1" x14ac:dyDescent="0.25">
      <c r="A11" t="s">
        <v>17</v>
      </c>
      <c r="B11" t="e">
        <f>1/0</f>
        <v>#DIV/0!</v>
      </c>
    </row>
    <row r="12" spans="1:6" hidden="1" x14ac:dyDescent="0.25">
      <c r="A12" t="s">
        <v>9</v>
      </c>
      <c r="B12">
        <v>2</v>
      </c>
      <c r="C12" s="1">
        <v>43845</v>
      </c>
      <c r="D12" t="s">
        <v>7</v>
      </c>
    </row>
    <row r="13" spans="1:6" hidden="1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76B69-A144-4D56-B605-E7B21FDCE191}">
  <dimension ref="A1:F13"/>
  <sheetViews>
    <sheetView workbookViewId="0">
      <selection activeCell="F2" sqref="F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F1" t="s">
        <v>18</v>
      </c>
    </row>
    <row r="2" spans="1:6" x14ac:dyDescent="0.25">
      <c r="A2" t="s">
        <v>4</v>
      </c>
      <c r="B2">
        <v>1</v>
      </c>
      <c r="C2" s="1">
        <v>43831</v>
      </c>
      <c r="D2" t="s">
        <v>5</v>
      </c>
      <c r="F2">
        <v>5</v>
      </c>
    </row>
    <row r="3" spans="1:6" hidden="1" x14ac:dyDescent="0.25">
      <c r="A3" t="s">
        <v>6</v>
      </c>
      <c r="B3">
        <v>2</v>
      </c>
      <c r="C3" s="1">
        <v>43845</v>
      </c>
      <c r="D3" t="s">
        <v>7</v>
      </c>
      <c r="F3">
        <v>3</v>
      </c>
    </row>
    <row r="4" spans="1:6" x14ac:dyDescent="0.25">
      <c r="A4" t="s">
        <v>8</v>
      </c>
      <c r="B4">
        <v>2.5</v>
      </c>
      <c r="C4" s="1">
        <v>43862</v>
      </c>
      <c r="D4" t="s">
        <v>5</v>
      </c>
      <c r="F4">
        <v>9</v>
      </c>
    </row>
    <row r="5" spans="1:6" hidden="1" x14ac:dyDescent="0.25">
      <c r="A5" t="s">
        <v>9</v>
      </c>
      <c r="B5">
        <v>10</v>
      </c>
      <c r="C5" s="1">
        <v>43891</v>
      </c>
      <c r="F5">
        <v>1</v>
      </c>
    </row>
    <row r="6" spans="1:6" x14ac:dyDescent="0.25">
      <c r="A6" t="s">
        <v>10</v>
      </c>
      <c r="B6">
        <v>-1</v>
      </c>
      <c r="C6" s="1">
        <v>44197</v>
      </c>
      <c r="F6">
        <v>7</v>
      </c>
    </row>
    <row r="7" spans="1:6" hidden="1" x14ac:dyDescent="0.25">
      <c r="A7" t="s">
        <v>11</v>
      </c>
      <c r="B7" s="2">
        <v>1</v>
      </c>
      <c r="C7" s="1">
        <v>43830</v>
      </c>
      <c r="F7">
        <v>3</v>
      </c>
    </row>
    <row r="8" spans="1:6" x14ac:dyDescent="0.25">
      <c r="A8" t="s">
        <v>12</v>
      </c>
      <c r="B8">
        <v>100</v>
      </c>
      <c r="F8">
        <v>12</v>
      </c>
    </row>
    <row r="9" spans="1:6" hidden="1" x14ac:dyDescent="0.25">
      <c r="A9" s="3" t="s">
        <v>13</v>
      </c>
      <c r="B9" s="3" t="s">
        <v>14</v>
      </c>
      <c r="C9" t="s">
        <v>15</v>
      </c>
      <c r="F9">
        <v>0.5</v>
      </c>
    </row>
    <row r="10" spans="1:6" hidden="1" x14ac:dyDescent="0.25">
      <c r="A10" t="s">
        <v>16</v>
      </c>
      <c r="B10" t="b">
        <v>1</v>
      </c>
      <c r="C10" s="4">
        <v>43845.25</v>
      </c>
    </row>
    <row r="11" spans="1:6" hidden="1" x14ac:dyDescent="0.25">
      <c r="A11" t="s">
        <v>17</v>
      </c>
      <c r="B11" t="e">
        <f>1/0</f>
        <v>#DIV/0!</v>
      </c>
    </row>
    <row r="12" spans="1:6" hidden="1" x14ac:dyDescent="0.25">
      <c r="A12" t="s">
        <v>9</v>
      </c>
      <c r="B12">
        <v>2</v>
      </c>
      <c r="C12" s="1">
        <v>43845</v>
      </c>
      <c r="D12" t="s">
        <v>7</v>
      </c>
    </row>
    <row r="13" spans="1:6" hidden="1" x14ac:dyDescent="0.25">
      <c r="A13">
        <v>12</v>
      </c>
      <c r="B13">
        <v>0.5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82DEC-E204-4EFF-A508-069A761FD0D6}">
  <dimension ref="A1:F13"/>
  <sheetViews>
    <sheetView workbookViewId="0">
      <selection activeCell="H20" sqref="H2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F1" t="s">
        <v>18</v>
      </c>
    </row>
    <row r="2" spans="1:6" x14ac:dyDescent="0.25">
      <c r="A2" t="s">
        <v>4</v>
      </c>
      <c r="B2">
        <v>1</v>
      </c>
      <c r="C2" s="1">
        <v>43831</v>
      </c>
      <c r="D2" t="s">
        <v>5</v>
      </c>
      <c r="F2">
        <v>5</v>
      </c>
    </row>
    <row r="3" spans="1:6" hidden="1" x14ac:dyDescent="0.25">
      <c r="A3" t="s">
        <v>6</v>
      </c>
      <c r="B3">
        <v>2</v>
      </c>
      <c r="C3" s="1">
        <v>43845</v>
      </c>
      <c r="D3" t="s">
        <v>7</v>
      </c>
      <c r="F3">
        <v>3</v>
      </c>
    </row>
    <row r="4" spans="1:6" x14ac:dyDescent="0.25">
      <c r="A4" t="s">
        <v>8</v>
      </c>
      <c r="B4">
        <v>2.5</v>
      </c>
      <c r="C4" s="1">
        <v>43862</v>
      </c>
      <c r="D4" t="s">
        <v>5</v>
      </c>
      <c r="F4">
        <v>9</v>
      </c>
    </row>
    <row r="5" spans="1:6" hidden="1" x14ac:dyDescent="0.25">
      <c r="A5" t="s">
        <v>9</v>
      </c>
      <c r="B5">
        <v>10</v>
      </c>
      <c r="C5" s="1">
        <v>43891</v>
      </c>
      <c r="F5">
        <v>1</v>
      </c>
    </row>
    <row r="6" spans="1:6" x14ac:dyDescent="0.25">
      <c r="A6" t="s">
        <v>10</v>
      </c>
      <c r="B6">
        <v>-1</v>
      </c>
      <c r="C6" s="1">
        <v>44197</v>
      </c>
      <c r="F6">
        <v>7</v>
      </c>
    </row>
    <row r="7" spans="1:6" hidden="1" x14ac:dyDescent="0.25">
      <c r="A7" t="s">
        <v>11</v>
      </c>
      <c r="B7" s="2">
        <v>1</v>
      </c>
      <c r="C7" s="1">
        <v>43830</v>
      </c>
      <c r="F7">
        <v>3</v>
      </c>
    </row>
    <row r="8" spans="1:6" x14ac:dyDescent="0.25">
      <c r="A8" t="s">
        <v>12</v>
      </c>
      <c r="B8">
        <v>100</v>
      </c>
      <c r="F8">
        <v>12</v>
      </c>
    </row>
    <row r="9" spans="1:6" hidden="1" x14ac:dyDescent="0.25">
      <c r="A9" s="3" t="s">
        <v>13</v>
      </c>
      <c r="B9" s="3" t="s">
        <v>14</v>
      </c>
      <c r="C9" t="s">
        <v>15</v>
      </c>
      <c r="F9">
        <v>0.5</v>
      </c>
    </row>
    <row r="10" spans="1:6" hidden="1" x14ac:dyDescent="0.25">
      <c r="A10" t="s">
        <v>16</v>
      </c>
      <c r="B10" t="b">
        <v>1</v>
      </c>
      <c r="C10" s="4">
        <v>43845.25</v>
      </c>
    </row>
    <row r="11" spans="1:6" hidden="1" x14ac:dyDescent="0.25">
      <c r="A11" t="s">
        <v>17</v>
      </c>
      <c r="B11" t="e">
        <f>1/0</f>
        <v>#DIV/0!</v>
      </c>
    </row>
    <row r="12" spans="1:6" hidden="1" x14ac:dyDescent="0.25">
      <c r="A12" t="s">
        <v>9</v>
      </c>
      <c r="B12">
        <v>2</v>
      </c>
      <c r="C12" s="1">
        <v>43845</v>
      </c>
      <c r="D12" t="s">
        <v>7</v>
      </c>
    </row>
    <row r="13" spans="1:6" hidden="1" x14ac:dyDescent="0.25">
      <c r="A13">
        <v>12</v>
      </c>
      <c r="B13">
        <v>0.5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8B845-3609-4E98-824C-228606B0FF9F}">
  <dimension ref="A1:F13"/>
  <sheetViews>
    <sheetView workbookViewId="0">
      <selection activeCell="H20" sqref="H2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F1">
        <v>7</v>
      </c>
    </row>
    <row r="2" spans="1:6" x14ac:dyDescent="0.25">
      <c r="A2" t="s">
        <v>4</v>
      </c>
      <c r="B2">
        <v>1</v>
      </c>
      <c r="C2" s="1">
        <v>43831</v>
      </c>
      <c r="D2" t="s">
        <v>5</v>
      </c>
      <c r="F2">
        <v>7</v>
      </c>
    </row>
    <row r="3" spans="1:6" x14ac:dyDescent="0.25">
      <c r="A3" t="s">
        <v>6</v>
      </c>
      <c r="B3">
        <v>2</v>
      </c>
      <c r="C3" s="1">
        <v>43845</v>
      </c>
      <c r="D3" t="s">
        <v>7</v>
      </c>
      <c r="F3">
        <v>7</v>
      </c>
    </row>
    <row r="4" spans="1:6" hidden="1" x14ac:dyDescent="0.25">
      <c r="A4" t="s">
        <v>8</v>
      </c>
      <c r="B4">
        <v>2.5</v>
      </c>
      <c r="C4" s="1">
        <v>43862</v>
      </c>
      <c r="D4" t="s">
        <v>5</v>
      </c>
      <c r="F4">
        <v>7</v>
      </c>
    </row>
    <row r="5" spans="1:6" hidden="1" x14ac:dyDescent="0.25">
      <c r="A5" t="s">
        <v>9</v>
      </c>
      <c r="B5">
        <v>10</v>
      </c>
      <c r="C5" s="1">
        <v>43891</v>
      </c>
      <c r="F5">
        <v>7</v>
      </c>
    </row>
    <row r="6" spans="1:6" hidden="1" x14ac:dyDescent="0.25">
      <c r="A6" t="s">
        <v>10</v>
      </c>
      <c r="B6">
        <v>-1</v>
      </c>
      <c r="C6" s="1">
        <v>44197</v>
      </c>
      <c r="F6">
        <v>7</v>
      </c>
    </row>
    <row r="7" spans="1:6" hidden="1" x14ac:dyDescent="0.25">
      <c r="A7" t="s">
        <v>11</v>
      </c>
      <c r="B7" s="2">
        <v>1</v>
      </c>
      <c r="C7" s="1">
        <v>43830</v>
      </c>
      <c r="F7">
        <v>7</v>
      </c>
    </row>
    <row r="8" spans="1:6" hidden="1" x14ac:dyDescent="0.25">
      <c r="A8" t="s">
        <v>12</v>
      </c>
      <c r="B8">
        <v>100</v>
      </c>
      <c r="F8">
        <v>7</v>
      </c>
    </row>
    <row r="9" spans="1:6" hidden="1" x14ac:dyDescent="0.25">
      <c r="A9" s="3" t="s">
        <v>13</v>
      </c>
      <c r="B9" s="3" t="s">
        <v>14</v>
      </c>
      <c r="C9" t="s">
        <v>15</v>
      </c>
      <c r="F9">
        <v>7</v>
      </c>
    </row>
    <row r="10" spans="1:6" hidden="1" x14ac:dyDescent="0.25">
      <c r="A10" t="s">
        <v>16</v>
      </c>
      <c r="B10" t="b">
        <v>1</v>
      </c>
      <c r="C10" s="4">
        <v>43845.25</v>
      </c>
      <c r="F10">
        <v>7</v>
      </c>
    </row>
    <row r="11" spans="1:6" hidden="1" x14ac:dyDescent="0.25">
      <c r="A11" t="s">
        <v>17</v>
      </c>
      <c r="B11" t="e">
        <f>1/0</f>
        <v>#DIV/0!</v>
      </c>
      <c r="F11">
        <v>7</v>
      </c>
    </row>
    <row r="12" spans="1:6" hidden="1" x14ac:dyDescent="0.25">
      <c r="A12" t="s">
        <v>9</v>
      </c>
      <c r="B12">
        <v>2</v>
      </c>
      <c r="C12" s="1">
        <v>43845</v>
      </c>
      <c r="D12" t="s">
        <v>7</v>
      </c>
      <c r="F12">
        <v>7</v>
      </c>
    </row>
    <row r="13" spans="1:6" hidden="1" x14ac:dyDescent="0.25">
      <c r="A13">
        <v>12</v>
      </c>
      <c r="B13">
        <v>0.5</v>
      </c>
      <c r="F13">
        <v>7</v>
      </c>
    </row>
  </sheetData>
  <pageMargins left="0.7" right="0.7" top="0.75" bottom="0.75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04091-A8C1-4384-9DFC-5E4BD879B1C8}">
  <dimension ref="A1:H13"/>
  <sheetViews>
    <sheetView workbookViewId="0">
      <selection activeCell="H20" sqref="H2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H1">
        <f>SUBTOTAL(3,A2:A13)</f>
        <v>9</v>
      </c>
    </row>
    <row r="2" spans="1:8" hidden="1" x14ac:dyDescent="0.25">
      <c r="A2" t="s">
        <v>4</v>
      </c>
      <c r="B2">
        <v>1</v>
      </c>
      <c r="C2" s="1">
        <v>43831</v>
      </c>
      <c r="D2" t="s">
        <v>5</v>
      </c>
    </row>
    <row r="3" spans="1:8" x14ac:dyDescent="0.25">
      <c r="A3" t="s">
        <v>6</v>
      </c>
      <c r="B3">
        <v>2</v>
      </c>
      <c r="C3" s="1">
        <v>43845</v>
      </c>
      <c r="D3" t="s">
        <v>7</v>
      </c>
    </row>
    <row r="4" spans="1:8" x14ac:dyDescent="0.25">
      <c r="A4" t="s">
        <v>8</v>
      </c>
      <c r="B4">
        <v>2.5</v>
      </c>
      <c r="C4" s="1">
        <v>43862</v>
      </c>
      <c r="D4" t="s">
        <v>5</v>
      </c>
    </row>
    <row r="5" spans="1:8" hidden="1" x14ac:dyDescent="0.25">
      <c r="A5" t="s">
        <v>9</v>
      </c>
      <c r="B5">
        <v>10</v>
      </c>
      <c r="C5" s="1">
        <v>43891</v>
      </c>
    </row>
    <row r="6" spans="1:8" x14ac:dyDescent="0.25">
      <c r="A6" t="s">
        <v>10</v>
      </c>
      <c r="B6">
        <v>-1</v>
      </c>
      <c r="C6" s="1">
        <v>44197</v>
      </c>
    </row>
    <row r="7" spans="1:8" hidden="1" x14ac:dyDescent="0.25">
      <c r="A7" t="s">
        <v>11</v>
      </c>
      <c r="B7" s="2">
        <v>1</v>
      </c>
      <c r="C7" s="1">
        <v>43830</v>
      </c>
    </row>
    <row r="8" spans="1:8" x14ac:dyDescent="0.25">
      <c r="A8" t="s">
        <v>12</v>
      </c>
      <c r="B8">
        <v>100</v>
      </c>
    </row>
    <row r="9" spans="1:8" x14ac:dyDescent="0.25">
      <c r="A9" s="3" t="s">
        <v>13</v>
      </c>
      <c r="B9" s="3" t="s">
        <v>14</v>
      </c>
      <c r="C9" t="s">
        <v>15</v>
      </c>
    </row>
    <row r="10" spans="1:8" x14ac:dyDescent="0.25">
      <c r="A10" t="s">
        <v>16</v>
      </c>
      <c r="B10" t="b">
        <v>1</v>
      </c>
      <c r="C10" s="4">
        <v>43845.25</v>
      </c>
    </row>
    <row r="11" spans="1:8" x14ac:dyDescent="0.25">
      <c r="A11" t="s">
        <v>17</v>
      </c>
      <c r="B11" t="e">
        <f>1/0</f>
        <v>#DIV/0!</v>
      </c>
    </row>
    <row r="12" spans="1:8" x14ac:dyDescent="0.25">
      <c r="A12" t="s">
        <v>9</v>
      </c>
      <c r="B12">
        <v>2</v>
      </c>
      <c r="C12" s="1">
        <v>43845</v>
      </c>
      <c r="D12" t="s">
        <v>7</v>
      </c>
    </row>
    <row r="13" spans="1:8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2F8F3-7BDF-4BE1-8C58-DED87F79A556}">
  <dimension ref="A1:H13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H1">
        <f>SUBTOTAL(3,A2:A13)</f>
        <v>9</v>
      </c>
    </row>
    <row r="2" spans="1:8" hidden="1" x14ac:dyDescent="0.25">
      <c r="A2" t="s">
        <v>4</v>
      </c>
      <c r="B2">
        <v>1</v>
      </c>
      <c r="C2" s="1">
        <v>43831</v>
      </c>
      <c r="D2" t="s">
        <v>5</v>
      </c>
    </row>
    <row r="3" spans="1:8" x14ac:dyDescent="0.25">
      <c r="A3" t="s">
        <v>6</v>
      </c>
      <c r="B3">
        <v>2</v>
      </c>
      <c r="C3" s="1">
        <v>43845</v>
      </c>
      <c r="D3" t="s">
        <v>7</v>
      </c>
    </row>
    <row r="4" spans="1:8" x14ac:dyDescent="0.25">
      <c r="A4" t="s">
        <v>8</v>
      </c>
      <c r="B4">
        <v>2.5</v>
      </c>
      <c r="C4" s="1">
        <v>43862</v>
      </c>
      <c r="D4" t="s">
        <v>5</v>
      </c>
    </row>
    <row r="5" spans="1:8" hidden="1" x14ac:dyDescent="0.25">
      <c r="A5" t="s">
        <v>9</v>
      </c>
      <c r="B5">
        <v>10</v>
      </c>
      <c r="C5" s="1">
        <v>43891</v>
      </c>
    </row>
    <row r="6" spans="1:8" x14ac:dyDescent="0.25">
      <c r="A6" t="s">
        <v>10</v>
      </c>
      <c r="B6">
        <v>-1</v>
      </c>
      <c r="C6" s="1">
        <v>44197</v>
      </c>
    </row>
    <row r="7" spans="1:8" hidden="1" x14ac:dyDescent="0.25">
      <c r="A7" t="s">
        <v>11</v>
      </c>
      <c r="B7" s="2">
        <v>1</v>
      </c>
      <c r="C7" s="1">
        <v>43830</v>
      </c>
    </row>
    <row r="8" spans="1:8" x14ac:dyDescent="0.25">
      <c r="A8" t="s">
        <v>12</v>
      </c>
      <c r="B8">
        <v>100</v>
      </c>
    </row>
    <row r="9" spans="1:8" x14ac:dyDescent="0.25">
      <c r="A9" s="3" t="s">
        <v>13</v>
      </c>
      <c r="B9" s="3" t="s">
        <v>14</v>
      </c>
      <c r="C9" t="s">
        <v>15</v>
      </c>
    </row>
    <row r="10" spans="1:8" x14ac:dyDescent="0.25">
      <c r="A10" t="s">
        <v>16</v>
      </c>
      <c r="B10" t="b">
        <v>1</v>
      </c>
      <c r="C10" s="4">
        <v>43845.25</v>
      </c>
    </row>
    <row r="11" spans="1:8" x14ac:dyDescent="0.25">
      <c r="A11" t="s">
        <v>17</v>
      </c>
      <c r="B11" t="e">
        <f>1/0</f>
        <v>#DIV/0!</v>
      </c>
    </row>
    <row r="12" spans="1:8" x14ac:dyDescent="0.25">
      <c r="A12" t="s">
        <v>9</v>
      </c>
      <c r="B12">
        <v>2</v>
      </c>
      <c r="C12" s="1">
        <v>43845</v>
      </c>
      <c r="D12" t="s">
        <v>7</v>
      </c>
    </row>
    <row r="13" spans="1:8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C101E-D760-435C-A6B5-0F3F10EF24DA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hidden="1" x14ac:dyDescent="0.25">
      <c r="A4" t="s">
        <v>8</v>
      </c>
      <c r="B4">
        <v>2.5</v>
      </c>
      <c r="C4" s="1">
        <v>43862</v>
      </c>
      <c r="D4" t="s">
        <v>5</v>
      </c>
    </row>
    <row r="5" spans="1:4" hidden="1" x14ac:dyDescent="0.25">
      <c r="A5" t="s">
        <v>9</v>
      </c>
      <c r="B5">
        <v>10</v>
      </c>
      <c r="C5" s="1">
        <v>43891</v>
      </c>
    </row>
    <row r="6" spans="1:4" hidden="1" x14ac:dyDescent="0.25">
      <c r="A6" t="s">
        <v>10</v>
      </c>
      <c r="B6">
        <v>-1</v>
      </c>
      <c r="C6" s="1">
        <v>44197</v>
      </c>
    </row>
    <row r="7" spans="1:4" hidden="1" x14ac:dyDescent="0.25">
      <c r="A7" t="s">
        <v>11</v>
      </c>
      <c r="B7" s="2">
        <v>1</v>
      </c>
      <c r="C7" s="1">
        <v>43830</v>
      </c>
    </row>
    <row r="8" spans="1:4" hidden="1" x14ac:dyDescent="0.25">
      <c r="A8" t="s">
        <v>12</v>
      </c>
      <c r="B8">
        <v>100</v>
      </c>
    </row>
    <row r="9" spans="1:4" hidden="1" x14ac:dyDescent="0.25">
      <c r="A9" s="3" t="s">
        <v>13</v>
      </c>
      <c r="B9" s="3" t="s">
        <v>14</v>
      </c>
      <c r="C9" t="s">
        <v>15</v>
      </c>
    </row>
    <row r="10" spans="1:4" hidden="1" x14ac:dyDescent="0.25">
      <c r="A10" t="s">
        <v>16</v>
      </c>
      <c r="B10" t="b">
        <v>1</v>
      </c>
      <c r="C10" s="4">
        <v>43845.25</v>
      </c>
    </row>
    <row r="11" spans="1:4" hidden="1" x14ac:dyDescent="0.25">
      <c r="A11" t="s">
        <v>17</v>
      </c>
      <c r="B11" t="e">
        <f>1/0</f>
        <v>#DIV/0!</v>
      </c>
    </row>
    <row r="12" spans="1:4" hidden="1" x14ac:dyDescent="0.25">
      <c r="A12" t="s">
        <v>9</v>
      </c>
      <c r="B12">
        <v>2</v>
      </c>
      <c r="C12" s="1">
        <v>43845</v>
      </c>
      <c r="D12" t="s">
        <v>7</v>
      </c>
    </row>
    <row r="13" spans="1:4" hidden="1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9BD5B-7448-449F-9E1F-C58752A5B09F}">
  <dimension ref="A1:D13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43831</v>
      </c>
      <c r="D2" t="s">
        <v>5</v>
      </c>
    </row>
    <row r="3" spans="1:4" x14ac:dyDescent="0.25">
      <c r="A3" t="s">
        <v>6</v>
      </c>
      <c r="B3">
        <v>2</v>
      </c>
      <c r="C3" s="1">
        <v>43845</v>
      </c>
      <c r="D3" t="s">
        <v>7</v>
      </c>
    </row>
    <row r="4" spans="1:4" x14ac:dyDescent="0.25">
      <c r="A4" t="s">
        <v>8</v>
      </c>
      <c r="B4">
        <v>2.5</v>
      </c>
      <c r="C4" s="1">
        <v>43862</v>
      </c>
      <c r="D4" t="s">
        <v>5</v>
      </c>
    </row>
    <row r="5" spans="1:4" x14ac:dyDescent="0.25">
      <c r="A5" t="s">
        <v>9</v>
      </c>
      <c r="B5">
        <v>10</v>
      </c>
      <c r="C5" s="1">
        <v>43891</v>
      </c>
    </row>
    <row r="6" spans="1:4" x14ac:dyDescent="0.25">
      <c r="A6" t="s">
        <v>10</v>
      </c>
      <c r="B6">
        <v>-1</v>
      </c>
      <c r="C6" s="1">
        <v>44197</v>
      </c>
    </row>
    <row r="7" spans="1:4" x14ac:dyDescent="0.25">
      <c r="A7" t="s">
        <v>11</v>
      </c>
      <c r="B7" s="2">
        <v>1</v>
      </c>
      <c r="C7" s="1">
        <v>43830</v>
      </c>
    </row>
    <row r="8" spans="1:4" x14ac:dyDescent="0.25">
      <c r="A8" t="s">
        <v>12</v>
      </c>
      <c r="B8">
        <v>100</v>
      </c>
    </row>
    <row r="9" spans="1:4" x14ac:dyDescent="0.25">
      <c r="A9" s="3" t="s">
        <v>13</v>
      </c>
      <c r="B9" s="3" t="s">
        <v>14</v>
      </c>
      <c r="C9" t="s">
        <v>15</v>
      </c>
    </row>
    <row r="10" spans="1:4" x14ac:dyDescent="0.25">
      <c r="A10" t="s">
        <v>16</v>
      </c>
      <c r="B10" t="b">
        <v>1</v>
      </c>
      <c r="C10" s="4">
        <v>43845.25</v>
      </c>
    </row>
    <row r="11" spans="1:4" x14ac:dyDescent="0.25">
      <c r="A11" t="s">
        <v>17</v>
      </c>
      <c r="B11" t="e">
        <f>1/0</f>
        <v>#DIV/0!</v>
      </c>
    </row>
    <row r="12" spans="1:4" x14ac:dyDescent="0.25">
      <c r="A12" t="s">
        <v>9</v>
      </c>
      <c r="B12">
        <v>2</v>
      </c>
      <c r="C12" s="1">
        <v>43845</v>
      </c>
      <c r="D12" t="s">
        <v>7</v>
      </c>
    </row>
    <row r="13" spans="1:4" x14ac:dyDescent="0.25">
      <c r="A13">
        <v>12</v>
      </c>
      <c r="B13">
        <v>0.5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76</vt:i4>
      </vt:variant>
    </vt:vector>
  </HeadingPairs>
  <TitlesOfParts>
    <vt:vector size="76" baseType="lpstr">
      <vt:lpstr>table</vt:lpstr>
      <vt:lpstr>equals</vt:lpstr>
      <vt:lpstr>not_equal</vt:lpstr>
      <vt:lpstr>wildcard</vt:lpstr>
      <vt:lpstr>number_greater</vt:lpstr>
      <vt:lpstr>between_and</vt:lpstr>
      <vt:lpstr>either_or</vt:lpstr>
      <vt:lpstr>or_blank</vt:lpstr>
      <vt:lpstr>values_list</vt:lpstr>
      <vt:lpstr>values_three</vt:lpstr>
      <vt:lpstr>top_items</vt:lpstr>
      <vt:lpstr>above_average</vt:lpstr>
      <vt:lpstr>date_after</vt:lpstr>
      <vt:lpstr>blanks</vt:lpstr>
      <vt:lpstr>two_fields</vt:lpstr>
      <vt:lpstr>clear_field</vt:lpstr>
      <vt:lpstr>cell_in_table</vt:lpstr>
      <vt:lpstr>part_of_table</vt:lpstr>
      <vt:lpstr>data_body</vt:lpstr>
      <vt:lpstr>column_range</vt:lpstr>
      <vt:lpstr>whole_columns</vt:lpstr>
      <vt:lpstr>overlapping</vt:lpstr>
      <vt:lpstr>field_outside</vt:lpstr>
      <vt:lpstr>hidden_dropdown</vt:lpstr>
      <vt:lpstr>toggle</vt:lpstr>
      <vt:lpstr>toggle_twice</vt:lpstr>
      <vt:lpstr>toggle_filtered</vt:lpstr>
      <vt:lpstr>cell_toggle</vt:lpstr>
      <vt:lpstr>show_all_object</vt:lpstr>
      <vt:lpstr>show_all_unfiltered</vt:lpstr>
      <vt:lpstr>show_all_sheet</vt:lpstr>
      <vt:lpstr>show_all_sheet_unfiltered</vt:lpstr>
      <vt:lpstr>show_off</vt:lpstr>
      <vt:lpstr>show_off_on</vt:lpstr>
      <vt:lpstr>show_off_then_filter</vt:lpstr>
      <vt:lpstr>mode_off</vt:lpstr>
      <vt:lpstr>apply_filter</vt:lpstr>
      <vt:lpstr>edit_after</vt:lpstr>
      <vt:lpstr>parent</vt:lpstr>
      <vt:lpstr>beside_sheet_filter</vt:lpstr>
      <vt:lpstr>sheet_filter_after</vt:lpstr>
      <vt:lpstr>sheet_show_all_both</vt:lpstr>
      <vt:lpstr>sheet_mode_off_both</vt:lpstr>
      <vt:lpstr>two_tables</vt:lpstr>
      <vt:lpstr>subtotal</vt:lpstr>
      <vt:lpstr>subtotal_hand_hidden</vt:lpstr>
      <vt:lpstr>edit_outside</vt:lpstr>
      <vt:lpstr>edit_inside</vt:lpstr>
      <vt:lpstr>visible_cells</vt:lpstr>
      <vt:lpstr>totals</vt:lpstr>
      <vt:lpstr>totals_sum</vt:lpstr>
      <vt:lpstr>no_headers</vt:lpstr>
      <vt:lpstr>no_headers_filter</vt:lpstr>
      <vt:lpstr>resize_filtered</vt:lpstr>
      <vt:lpstr>resize_unfiltered</vt:lpstr>
      <vt:lpstr>resize_gap</vt:lpstr>
      <vt:lpstr>resize_one_column</vt:lpstr>
      <vt:lpstr>row_added</vt:lpstr>
      <vt:lpstr>column_added</vt:lpstr>
      <vt:lpstr>table_deleted</vt:lpstr>
      <vt:lpstr>deleted_show_all</vt:lpstr>
      <vt:lpstr>deleted_refilter</vt:lpstr>
      <vt:lpstr>select_outside</vt:lpstr>
      <vt:lpstr>select_outside_show_all</vt:lpstr>
      <vt:lpstr>select_outside_mode_off</vt:lpstr>
      <vt:lpstr>both_select_sheet</vt:lpstr>
      <vt:lpstr>both_select_outside</vt:lpstr>
      <vt:lpstr>both_select_sheet_show_all</vt:lpstr>
      <vt:lpstr>both_select_sheet_mode_off</vt:lpstr>
      <vt:lpstr>two_tables_select_second</vt:lpstr>
      <vt:lpstr>two_tables_show_all</vt:lpstr>
      <vt:lpstr>edit_selected_outside</vt:lpstr>
      <vt:lpstr>subtotal_selected_outside</vt:lpstr>
      <vt:lpstr>subtotal_selected_inside</vt:lpstr>
      <vt:lpstr>made_over_filter</vt:lpstr>
      <vt:lpstr>made_over_arrows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2026-10-23T04:15:30Z</dcterms:created>
  <dcterms:modified xsi:type="dcterms:W3CDTF">2026-10-23T04:15:30Z</dcterms:modified>
</cp:coreProperties>
</file>