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xr:revisionPtr revIDLastSave="0" documentId="8_{B24B14C3-C38A-49F6-946B-F955CE7FE289}" xr6:coauthVersionLast="47" xr6:coauthVersionMax="47" xr10:uidLastSave="{00000000-0000-0000-0000-000000000000}"/>
  <bookViews>
    <workbookView xWindow="1140" yWindow="1140" windowWidth="38400" windowHeight="15370" firstSheet="131" activeTab="131" xr2:uid="{BD33D369-98EE-421F-8AC5-0603CCC541FD}"/>
  </bookViews>
  <sheets>
    <sheet name="Data" sheetId="1" r:id="rId1"/>
    <sheet name="About" sheetId="2" r:id="rId2"/>
    <sheet name="Numbers" sheetId="3" r:id="rId3"/>
    <sheet name="Pairs" sheetId="4" r:id="rId4"/>
    <sheet name="FileLiterals" sheetId="5" r:id="rId5"/>
    <sheet name="Powers" sheetId="6" r:id="rId6"/>
    <sheet name="Rounding" sheetId="7" r:id="rId7"/>
    <sheet name="Divisions" sheetId="8" r:id="rId8"/>
    <sheet name="DatePairs" sheetId="9" r:id="rId9"/>
    <sheet name="Reals" sheetId="10" r:id="rId10"/>
    <sheet name="Wholes" sheetId="11" r:id="rId11"/>
    <sheet name="Times" sheetId="12" r:id="rId12"/>
    <sheet name="Ties" sheetId="13" r:id="rId13"/>
    <sheet name="Crit" sheetId="14" r:id="rId14"/>
    <sheet name="Stats" sheetId="15" r:id="rId15"/>
    <sheet name="Db" sheetId="16" r:id="rId16"/>
    <sheet name="Samples" sheetId="17" r:id="rId17"/>
    <sheet name="Operators" sheetId="18" r:id="rId18"/>
    <sheet name="Compare" sheetId="19" r:id="rId19"/>
    <sheet name="Math" sheetId="20" r:id="rId20"/>
    <sheet name="Aggregate" sheetId="21" r:id="rId21"/>
    <sheet name="Conditional" sheetId="22" r:id="rId22"/>
    <sheet name="Logic" sheetId="23" r:id="rId23"/>
    <sheet name="Text" sheetId="24" r:id="rId24"/>
    <sheet name="Info" sheetId="25" r:id="rId25"/>
    <sheet name="Lookup" sheetId="26" r:id="rId26"/>
    <sheet name="Dates" sheetId="27" r:id="rId27"/>
    <sheet name="NearZero" sheetId="28" r:id="rId28"/>
    <sheet name="Power" sheetId="29" r:id="rId29"/>
    <sheet name="Errors" sheetId="30" r:id="rId30"/>
    <sheet name="Literals" sheetId="31" r:id="rId31"/>
    <sheet name="ToText" sheetId="32" r:id="rId32"/>
    <sheet name="General" sheetId="33" r:id="rId33"/>
    <sheet name="Difference" sheetId="34" r:id="rId34"/>
    <sheet name="DifferenceSum" sheetId="35" r:id="rId35"/>
    <sheet name="Equal" sheetId="36" r:id="rId36"/>
    <sheet name="Less" sheetId="37" r:id="rId37"/>
    <sheet name="Coerce" sheetId="38" r:id="rId38"/>
    <sheet name="Value" sheetId="39" r:id="rId39"/>
    <sheet name="DateValue" sheetId="40" r:id="rId40"/>
    <sheet name="TimeValue" sheetId="41" r:id="rId41"/>
    <sheet name="WordsEqual" sheetId="42" r:id="rId42"/>
    <sheet name="WordsLess" sheetId="43" r:id="rId43"/>
    <sheet name="PowerData" sheetId="44" r:id="rId44"/>
    <sheet name="PowerFunction" sheetId="45" r:id="rId45"/>
    <sheet name="DifferenceReversed" sheetId="46" r:id="rId46"/>
    <sheet name="SumNested" sheetId="47" r:id="rId47"/>
    <sheet name="TiesText" sheetId="48" r:id="rId48"/>
    <sheet name="Exp" sheetId="49" r:id="rId49"/>
    <sheet name="Ln" sheetId="50" r:id="rId50"/>
    <sheet name="Sin" sheetId="51" r:id="rId51"/>
    <sheet name="Cos" sheetId="52" r:id="rId52"/>
    <sheet name="Tan" sheetId="53" r:id="rId53"/>
    <sheet name="Atan" sheetId="54" r:id="rId54"/>
    <sheet name="Sinh" sheetId="55" r:id="rId55"/>
    <sheet name="Cosh" sheetId="56" r:id="rId56"/>
    <sheet name="Tanh" sheetId="57" r:id="rId57"/>
    <sheet name="Sqrt" sheetId="58" r:id="rId58"/>
    <sheet name="Asin" sheetId="59" r:id="rId59"/>
    <sheet name="Acos" sheetId="60" r:id="rId60"/>
    <sheet name="Log10" sheetId="61" r:id="rId61"/>
    <sheet name="Log2" sheetId="62" r:id="rId62"/>
    <sheet name="Degrees" sheetId="63" r:id="rId63"/>
    <sheet name="Radians" sheetId="64" r:id="rId64"/>
    <sheet name="Atan2" sheetId="65" r:id="rId65"/>
    <sheet name="Round" sheetId="66" r:id="rId66"/>
    <sheet name="RoundUp" sheetId="67" r:id="rId67"/>
    <sheet name="RoundDown" sheetId="68" r:id="rId68"/>
    <sheet name="Trunc" sheetId="69" r:id="rId69"/>
    <sheet name="Int" sheetId="70" r:id="rId70"/>
    <sheet name="TruncWhole" sheetId="71" r:id="rId71"/>
    <sheet name="Mod" sheetId="72" r:id="rId72"/>
    <sheet name="Quotient" sheetId="73" r:id="rId73"/>
    <sheet name="Ceiling" sheetId="74" r:id="rId74"/>
    <sheet name="Floor" sheetId="75" r:id="rId75"/>
    <sheet name="MRound" sheetId="76" r:id="rId76"/>
    <sheet name="CeilingMath" sheetId="77" r:id="rId77"/>
    <sheet name="FloorMath" sheetId="78" r:id="rId78"/>
    <sheet name="Hour" sheetId="79" r:id="rId79"/>
    <sheet name="Minute" sheetId="80" r:id="rId80"/>
    <sheet name="Second" sheetId="81" r:id="rId81"/>
    <sheet name="Days360" sheetId="82" r:id="rId82"/>
    <sheet name="Days360Europe" sheetId="83" r:id="rId83"/>
    <sheet name="YearFrac0" sheetId="84" r:id="rId84"/>
    <sheet name="YearFrac1" sheetId="85" r:id="rId85"/>
    <sheet name="YearFrac2" sheetId="86" r:id="rId86"/>
    <sheet name="YearFrac3" sheetId="87" r:id="rId87"/>
    <sheet name="YearFrac4" sheetId="88" r:id="rId88"/>
    <sheet name="CountIf" sheetId="89" r:id="rId89"/>
    <sheet name="SumIf" sheetId="90" r:id="rId90"/>
    <sheet name="ValueLong" sheetId="91" r:id="rId91"/>
    <sheet name="Lookups2" sheetId="92" r:id="rId92"/>
    <sheet name="Stats2" sheetId="93" r:id="rId93"/>
    <sheet name="TextFns2" sheetId="94" r:id="rId94"/>
    <sheet name="DateFns2" sheetId="95" r:id="rId95"/>
    <sheet name="Financial" sheetId="96" r:id="rId96"/>
    <sheet name="Distributions" sheetId="97" r:id="rId97"/>
    <sheet name="Descriptive" sheetId="98" r:id="rId98"/>
    <sheet name="Engineering" sheetId="99" r:id="rId99"/>
    <sheet name="Matrix" sheetId="100" r:id="rId100"/>
    <sheet name="Database" sheetId="101" r:id="rId101"/>
    <sheet name="Subtotals" sheetId="102" r:id="rId102"/>
    <sheet name="Arrays" sheetId="103" r:id="rId103"/>
    <sheet name="Misc" sheetId="104" r:id="rId104"/>
    <sheet name="Cot" sheetId="105" r:id="rId105"/>
    <sheet name="Csc" sheetId="106" r:id="rId106"/>
    <sheet name="Sec" sheetId="107" r:id="rId107"/>
    <sheet name="Coth" sheetId="108" r:id="rId108"/>
    <sheet name="Csch" sheetId="109" r:id="rId109"/>
    <sheet name="Sech" sheetId="110" r:id="rId110"/>
    <sheet name="Acot" sheetId="111" r:id="rId111"/>
    <sheet name="Acoth" sheetId="112" r:id="rId112"/>
    <sheet name="EcmaCeiling" sheetId="113" r:id="rId113"/>
    <sheet name="Workdays" sheetId="114" r:id="rId114"/>
    <sheet name="TextBytes" sheetId="115" r:id="rId115"/>
    <sheet name="Regex" sheetId="116" r:id="rId116"/>
    <sheet name="Ranges" sheetId="117" r:id="rId117"/>
    <sheet name="Besselj" sheetId="118" r:id="rId118"/>
    <sheet name="Bessely" sheetId="119" r:id="rId119"/>
    <sheet name="Besseli" sheetId="120" r:id="rId120"/>
    <sheet name="Besselk" sheetId="121" r:id="rId121"/>
    <sheet name="Convert" sheetId="122" r:id="rId122"/>
    <sheet name="Spread" sheetId="123" r:id="rId123"/>
    <sheet name="NormGrid" sheetId="124" r:id="rId124"/>
    <sheet name="NormInvGrid" sheetId="125" r:id="rId125"/>
    <sheet name="TGrid" sheetId="126" r:id="rId126"/>
    <sheet name="ChiGrid" sheetId="127" r:id="rId127"/>
    <sheet name="GammaGrid" sheetId="128" r:id="rId128"/>
    <sheet name="BinomGrid" sheetId="129" r:id="rId129"/>
    <sheet name="PoissonGrid" sheetId="130" r:id="rId130"/>
    <sheet name="WeibullGrid" sheetId="131" r:id="rId131"/>
    <sheet name="GammaFunction" sheetId="132" r:id="rId13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4" i="132" l="1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A3" i="132"/>
  <c r="A2" i="132"/>
  <c r="A1" i="132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A3" i="131"/>
  <c r="A2" i="131"/>
  <c r="A1" i="131"/>
  <c r="A12" i="130"/>
  <c r="A11" i="130"/>
  <c r="A10" i="130"/>
  <c r="A9" i="130"/>
  <c r="A8" i="130"/>
  <c r="A7" i="130"/>
  <c r="A6" i="130"/>
  <c r="A5" i="130"/>
  <c r="A4" i="130"/>
  <c r="A3" i="130"/>
  <c r="A2" i="130"/>
  <c r="A1" i="130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A3" i="129"/>
  <c r="A2" i="129"/>
  <c r="A1" i="129"/>
  <c r="A12" i="128"/>
  <c r="A11" i="128"/>
  <c r="A10" i="128"/>
  <c r="A9" i="128"/>
  <c r="A8" i="128"/>
  <c r="A7" i="128"/>
  <c r="A6" i="128"/>
  <c r="A5" i="128"/>
  <c r="A4" i="128"/>
  <c r="A3" i="128"/>
  <c r="A2" i="128"/>
  <c r="A1" i="128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A3" i="127"/>
  <c r="A2" i="127"/>
  <c r="A1" i="127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A3" i="126"/>
  <c r="A2" i="126"/>
  <c r="A1" i="126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A2" i="125"/>
  <c r="A1" i="125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A2" i="124"/>
  <c r="A1" i="124"/>
  <c r="A240" i="123"/>
  <c r="A239" i="123"/>
  <c r="A238" i="123"/>
  <c r="A237" i="123"/>
  <c r="A236" i="123"/>
  <c r="A235" i="123"/>
  <c r="A234" i="123"/>
  <c r="A233" i="123"/>
  <c r="A232" i="123"/>
  <c r="A231" i="123"/>
  <c r="A230" i="123"/>
  <c r="A229" i="123"/>
  <c r="A228" i="123"/>
  <c r="A227" i="123"/>
  <c r="A226" i="123"/>
  <c r="A225" i="123"/>
  <c r="A224" i="123"/>
  <c r="A223" i="123"/>
  <c r="A222" i="123"/>
  <c r="A221" i="123"/>
  <c r="A220" i="123"/>
  <c r="A219" i="123"/>
  <c r="A218" i="123"/>
  <c r="A217" i="123"/>
  <c r="A216" i="123"/>
  <c r="A215" i="123"/>
  <c r="A214" i="123"/>
  <c r="A213" i="123"/>
  <c r="A212" i="123"/>
  <c r="A211" i="123"/>
  <c r="A210" i="123"/>
  <c r="A209" i="123"/>
  <c r="A208" i="123"/>
  <c r="A207" i="123"/>
  <c r="A206" i="123"/>
  <c r="A205" i="123"/>
  <c r="A204" i="123"/>
  <c r="A203" i="123"/>
  <c r="A202" i="123"/>
  <c r="A201" i="123"/>
  <c r="A200" i="123"/>
  <c r="A199" i="123"/>
  <c r="A198" i="123"/>
  <c r="A197" i="123"/>
  <c r="A196" i="123"/>
  <c r="A195" i="123"/>
  <c r="A194" i="123"/>
  <c r="A193" i="123"/>
  <c r="A192" i="123"/>
  <c r="A191" i="123"/>
  <c r="A190" i="123"/>
  <c r="A189" i="123"/>
  <c r="A188" i="123"/>
  <c r="A187" i="123"/>
  <c r="A186" i="123"/>
  <c r="A185" i="123"/>
  <c r="A184" i="123"/>
  <c r="A183" i="123"/>
  <c r="A182" i="123"/>
  <c r="A181" i="123"/>
  <c r="A180" i="123"/>
  <c r="A179" i="123"/>
  <c r="A178" i="123"/>
  <c r="A177" i="123"/>
  <c r="A176" i="123"/>
  <c r="A175" i="123"/>
  <c r="A174" i="123"/>
  <c r="A173" i="123"/>
  <c r="A172" i="123"/>
  <c r="A171" i="123"/>
  <c r="A170" i="123"/>
  <c r="A169" i="123"/>
  <c r="A168" i="123"/>
  <c r="A167" i="123"/>
  <c r="A166" i="123"/>
  <c r="A165" i="123"/>
  <c r="A164" i="123"/>
  <c r="A163" i="123"/>
  <c r="A162" i="123"/>
  <c r="A161" i="123"/>
  <c r="A160" i="123"/>
  <c r="A159" i="123"/>
  <c r="A158" i="123"/>
  <c r="A157" i="123"/>
  <c r="A156" i="123"/>
  <c r="A155" i="123"/>
  <c r="A154" i="123"/>
  <c r="A153" i="123"/>
  <c r="A152" i="123"/>
  <c r="A151" i="123"/>
  <c r="A150" i="123"/>
  <c r="A149" i="123"/>
  <c r="A148" i="123"/>
  <c r="A147" i="123"/>
  <c r="A146" i="123"/>
  <c r="A145" i="123"/>
  <c r="A144" i="123"/>
  <c r="A143" i="123"/>
  <c r="A142" i="123"/>
  <c r="A141" i="123"/>
  <c r="A140" i="123"/>
  <c r="A139" i="123"/>
  <c r="A138" i="123"/>
  <c r="A137" i="123"/>
  <c r="A136" i="123"/>
  <c r="A135" i="123"/>
  <c r="A134" i="123"/>
  <c r="A133" i="123"/>
  <c r="A132" i="123"/>
  <c r="A131" i="123"/>
  <c r="A130" i="123"/>
  <c r="A129" i="123"/>
  <c r="A128" i="123"/>
  <c r="A127" i="123"/>
  <c r="A126" i="123"/>
  <c r="A125" i="123"/>
  <c r="A124" i="123"/>
  <c r="A123" i="123"/>
  <c r="A122" i="123"/>
  <c r="A121" i="123"/>
  <c r="A120" i="123"/>
  <c r="A119" i="123"/>
  <c r="A118" i="123"/>
  <c r="A117" i="123"/>
  <c r="A116" i="123"/>
  <c r="A115" i="123"/>
  <c r="A114" i="123"/>
  <c r="A113" i="123"/>
  <c r="A112" i="123"/>
  <c r="A111" i="123"/>
  <c r="A110" i="123"/>
  <c r="A109" i="123"/>
  <c r="A108" i="123"/>
  <c r="A107" i="123"/>
  <c r="A106" i="123"/>
  <c r="A105" i="123"/>
  <c r="A104" i="123"/>
  <c r="A103" i="123"/>
  <c r="A102" i="123"/>
  <c r="A101" i="123"/>
  <c r="A100" i="123"/>
  <c r="A99" i="123"/>
  <c r="A98" i="123"/>
  <c r="A97" i="123"/>
  <c r="A96" i="123"/>
  <c r="A95" i="123"/>
  <c r="A94" i="123"/>
  <c r="A93" i="123"/>
  <c r="A92" i="123"/>
  <c r="A91" i="123"/>
  <c r="A90" i="123"/>
  <c r="A89" i="123"/>
  <c r="A88" i="123"/>
  <c r="A87" i="123"/>
  <c r="A86" i="123"/>
  <c r="A85" i="123"/>
  <c r="A84" i="123"/>
  <c r="A83" i="123"/>
  <c r="A82" i="123"/>
  <c r="A81" i="123"/>
  <c r="A80" i="123"/>
  <c r="A79" i="123"/>
  <c r="A78" i="123"/>
  <c r="A77" i="123"/>
  <c r="A76" i="123"/>
  <c r="A75" i="123"/>
  <c r="A74" i="123"/>
  <c r="A73" i="123"/>
  <c r="A72" i="123"/>
  <c r="A71" i="123"/>
  <c r="A70" i="123"/>
  <c r="A69" i="123"/>
  <c r="A68" i="123"/>
  <c r="A67" i="123"/>
  <c r="A66" i="123"/>
  <c r="A65" i="123"/>
  <c r="A64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A3" i="123"/>
  <c r="A2" i="123"/>
  <c r="A1" i="123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A4" i="122"/>
  <c r="A3" i="122"/>
  <c r="A2" i="122"/>
  <c r="A1" i="122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A3" i="121"/>
  <c r="A2" i="121"/>
  <c r="A1" i="121"/>
  <c r="A65" i="120"/>
  <c r="A64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A2" i="120"/>
  <c r="A1" i="120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A3" i="119"/>
  <c r="A2" i="119"/>
  <c r="A1" i="119"/>
  <c r="A65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A3" i="118"/>
  <c r="A2" i="118"/>
  <c r="A1" i="118"/>
  <c r="A8" i="117"/>
  <c r="A7" i="117"/>
  <c r="A6" i="117"/>
  <c r="A5" i="117"/>
  <c r="A4" i="117"/>
  <c r="A3" i="117"/>
  <c r="A2" i="117"/>
  <c r="A1" i="117"/>
  <c r="A12" i="116"/>
  <c r="A11" i="116"/>
  <c r="A10" i="116"/>
  <c r="A9" i="116"/>
  <c r="A8" i="116"/>
  <c r="A7" i="116"/>
  <c r="A6" i="116"/>
  <c r="A5" i="116"/>
  <c r="A4" i="116"/>
  <c r="A3" i="116"/>
  <c r="A2" i="116"/>
  <c r="A1" i="116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A3" i="115"/>
  <c r="A2" i="115"/>
  <c r="A1" i="115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A2" i="114"/>
  <c r="A1" i="114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A2" i="113"/>
  <c r="A1" i="113"/>
  <c r="A72" i="112"/>
  <c r="A71" i="112"/>
  <c r="A70" i="112"/>
  <c r="A69" i="112"/>
  <c r="A68" i="112"/>
  <c r="A67" i="112"/>
  <c r="A66" i="112"/>
  <c r="A65" i="112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A2" i="112"/>
  <c r="A1" i="112"/>
  <c r="A72" i="111"/>
  <c r="A71" i="111"/>
  <c r="A70" i="111"/>
  <c r="A69" i="111"/>
  <c r="A68" i="111"/>
  <c r="A67" i="111"/>
  <c r="A66" i="111"/>
  <c r="A65" i="111"/>
  <c r="A64" i="111"/>
  <c r="A63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A2" i="111"/>
  <c r="A1" i="111"/>
  <c r="A72" i="110"/>
  <c r="A71" i="110"/>
  <c r="A70" i="110"/>
  <c r="A69" i="110"/>
  <c r="A68" i="110"/>
  <c r="A67" i="110"/>
  <c r="A66" i="110"/>
  <c r="A65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A2" i="110"/>
  <c r="A1" i="110"/>
  <c r="A72" i="109"/>
  <c r="A71" i="109"/>
  <c r="A70" i="109"/>
  <c r="A69" i="109"/>
  <c r="A68" i="109"/>
  <c r="A67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A2" i="109"/>
  <c r="A1" i="109"/>
  <c r="A72" i="108"/>
  <c r="A71" i="108"/>
  <c r="A70" i="108"/>
  <c r="A69" i="108"/>
  <c r="A68" i="108"/>
  <c r="A67" i="108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A2" i="108"/>
  <c r="A1" i="108"/>
  <c r="A72" i="107"/>
  <c r="A71" i="107"/>
  <c r="A70" i="107"/>
  <c r="A69" i="107"/>
  <c r="A68" i="107"/>
  <c r="A67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A2" i="107"/>
  <c r="A1" i="107"/>
  <c r="A72" i="106"/>
  <c r="A71" i="106"/>
  <c r="A70" i="106"/>
  <c r="A69" i="106"/>
  <c r="A68" i="106"/>
  <c r="A67" i="106"/>
  <c r="A66" i="106"/>
  <c r="A65" i="106"/>
  <c r="A64" i="106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A2" i="106"/>
  <c r="A1" i="106"/>
  <c r="A72" i="105"/>
  <c r="A71" i="105"/>
  <c r="A70" i="105"/>
  <c r="A69" i="105"/>
  <c r="A68" i="105"/>
  <c r="A67" i="105"/>
  <c r="A66" i="105"/>
  <c r="A65" i="105"/>
  <c r="A64" i="105"/>
  <c r="A63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A2" i="105"/>
  <c r="A1" i="105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A2" i="104"/>
  <c r="A1" i="104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A2" i="103"/>
  <c r="A1" i="103"/>
  <c r="A27" i="102"/>
  <c r="A26" i="102"/>
  <c r="A25" i="102"/>
  <c r="A22" i="102"/>
  <c r="A21" i="102"/>
  <c r="A20" i="102"/>
  <c r="A19" i="102"/>
  <c r="A18" i="102"/>
  <c r="A17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A2" i="102"/>
  <c r="A1" i="102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A2" i="101"/>
  <c r="A1" i="101"/>
  <c r="A11" i="100"/>
  <c r="A10" i="100"/>
  <c r="A9" i="100"/>
  <c r="A8" i="100"/>
  <c r="A7" i="100"/>
  <c r="A6" i="100"/>
  <c r="A5" i="100"/>
  <c r="A4" i="100"/>
  <c r="A3" i="100"/>
  <c r="A2" i="100"/>
  <c r="A1" i="100"/>
  <c r="A75" i="99"/>
  <c r="A74" i="99"/>
  <c r="A73" i="99"/>
  <c r="A72" i="99"/>
  <c r="A71" i="99"/>
  <c r="A70" i="99"/>
  <c r="A69" i="99"/>
  <c r="A68" i="99"/>
  <c r="A67" i="99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A2" i="99"/>
  <c r="A1" i="99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A2" i="98"/>
  <c r="A1" i="98"/>
  <c r="A115" i="97"/>
  <c r="A114" i="97"/>
  <c r="A113" i="97"/>
  <c r="A112" i="97"/>
  <c r="A111" i="97"/>
  <c r="A110" i="97"/>
  <c r="A109" i="97"/>
  <c r="A108" i="97"/>
  <c r="A107" i="97"/>
  <c r="A106" i="97"/>
  <c r="A105" i="97"/>
  <c r="A104" i="97"/>
  <c r="A103" i="97"/>
  <c r="A102" i="97"/>
  <c r="A101" i="97"/>
  <c r="A100" i="97"/>
  <c r="A99" i="97"/>
  <c r="A98" i="97"/>
  <c r="A97" i="97"/>
  <c r="A96" i="97"/>
  <c r="A95" i="97"/>
  <c r="A94" i="97"/>
  <c r="A93" i="97"/>
  <c r="A92" i="97"/>
  <c r="A91" i="97"/>
  <c r="A90" i="97"/>
  <c r="A89" i="97"/>
  <c r="A88" i="97"/>
  <c r="A87" i="97"/>
  <c r="A86" i="97"/>
  <c r="A85" i="97"/>
  <c r="A84" i="97"/>
  <c r="A83" i="97"/>
  <c r="A82" i="97"/>
  <c r="A81" i="97"/>
  <c r="A80" i="97"/>
  <c r="A79" i="97"/>
  <c r="A78" i="97"/>
  <c r="A77" i="97"/>
  <c r="A76" i="97"/>
  <c r="A75" i="97"/>
  <c r="A74" i="97"/>
  <c r="A73" i="97"/>
  <c r="A72" i="97"/>
  <c r="A71" i="97"/>
  <c r="A70" i="97"/>
  <c r="A69" i="97"/>
  <c r="A68" i="97"/>
  <c r="A67" i="97"/>
  <c r="A66" i="97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A2" i="97"/>
  <c r="A1" i="97"/>
  <c r="A89" i="96"/>
  <c r="A88" i="96"/>
  <c r="A87" i="96"/>
  <c r="A86" i="96"/>
  <c r="A85" i="96"/>
  <c r="A84" i="96"/>
  <c r="A83" i="96"/>
  <c r="A82" i="96"/>
  <c r="A81" i="96"/>
  <c r="A80" i="96"/>
  <c r="A79" i="96"/>
  <c r="A78" i="96"/>
  <c r="A77" i="96"/>
  <c r="A76" i="96"/>
  <c r="A75" i="96"/>
  <c r="A74" i="96"/>
  <c r="A73" i="96"/>
  <c r="A72" i="96"/>
  <c r="A71" i="96"/>
  <c r="A70" i="96"/>
  <c r="A69" i="96"/>
  <c r="A68" i="96"/>
  <c r="A67" i="96"/>
  <c r="A66" i="96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A2" i="96"/>
  <c r="A1" i="96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A2" i="95"/>
  <c r="A1" i="95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A2" i="94"/>
  <c r="A1" i="94"/>
  <c r="A34" i="93"/>
  <c r="A33" i="93"/>
  <c r="A32" i="93"/>
  <c r="A31" i="93"/>
  <c r="A30" i="93"/>
  <c r="A29" i="93"/>
  <c r="A28" i="93"/>
  <c r="A27" i="93"/>
  <c r="A26" i="93"/>
  <c r="A25" i="93"/>
  <c r="A24" i="93"/>
  <c r="A23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6" i="93"/>
  <c r="A5" i="93"/>
  <c r="A4" i="93"/>
  <c r="A3" i="93"/>
  <c r="A2" i="93"/>
  <c r="A1" i="93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A2" i="92"/>
  <c r="A1" i="92"/>
  <c r="A12" i="91"/>
  <c r="A11" i="91"/>
  <c r="A10" i="91"/>
  <c r="A9" i="91"/>
  <c r="A8" i="91"/>
  <c r="A7" i="91"/>
  <c r="A6" i="91"/>
  <c r="A5" i="91"/>
  <c r="A4" i="91"/>
  <c r="A3" i="91"/>
  <c r="A2" i="91"/>
  <c r="A1" i="91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A2" i="88"/>
  <c r="A1" i="88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A2" i="87"/>
  <c r="A1" i="87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A2" i="86"/>
  <c r="A1" i="86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A2" i="85"/>
  <c r="A1" i="85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A2" i="84"/>
  <c r="A1" i="84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A4" i="83"/>
  <c r="A3" i="83"/>
  <c r="A2" i="83"/>
  <c r="A1" i="83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A5" i="82"/>
  <c r="A4" i="82"/>
  <c r="A3" i="82"/>
  <c r="A2" i="82"/>
  <c r="A1" i="82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A2" i="81"/>
  <c r="A1" i="81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A2" i="80"/>
  <c r="A1" i="80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A4" i="79"/>
  <c r="A3" i="79"/>
  <c r="A2" i="79"/>
  <c r="A1" i="79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A3" i="78"/>
  <c r="A2" i="78"/>
  <c r="A1" i="78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A4" i="77"/>
  <c r="A3" i="77"/>
  <c r="A2" i="77"/>
  <c r="A1" i="77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A3" i="76"/>
  <c r="A2" i="76"/>
  <c r="A1" i="76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4" i="75"/>
  <c r="A3" i="75"/>
  <c r="A2" i="75"/>
  <c r="A1" i="75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4" i="74"/>
  <c r="A3" i="74"/>
  <c r="A2" i="74"/>
  <c r="A1" i="74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A2" i="73"/>
  <c r="A1" i="73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A3" i="72"/>
  <c r="A2" i="72"/>
  <c r="A1" i="72"/>
  <c r="A90" i="71"/>
  <c r="A89" i="71"/>
  <c r="A88" i="71"/>
  <c r="A87" i="71"/>
  <c r="A86" i="71"/>
  <c r="A85" i="71"/>
  <c r="A84" i="71"/>
  <c r="A83" i="71"/>
  <c r="A82" i="71"/>
  <c r="A81" i="71"/>
  <c r="A80" i="71"/>
  <c r="A79" i="71"/>
  <c r="A78" i="71"/>
  <c r="A77" i="71"/>
  <c r="A76" i="71"/>
  <c r="A75" i="71"/>
  <c r="A74" i="71"/>
  <c r="A73" i="71"/>
  <c r="A72" i="71"/>
  <c r="A71" i="71"/>
  <c r="A70" i="71"/>
  <c r="A69" i="71"/>
  <c r="A68" i="71"/>
  <c r="A67" i="71"/>
  <c r="A66" i="7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4" i="71"/>
  <c r="A3" i="71"/>
  <c r="A2" i="71"/>
  <c r="A1" i="71"/>
  <c r="A90" i="70"/>
  <c r="A89" i="70"/>
  <c r="A88" i="70"/>
  <c r="A87" i="70"/>
  <c r="A86" i="70"/>
  <c r="A85" i="70"/>
  <c r="A84" i="70"/>
  <c r="A83" i="70"/>
  <c r="A82" i="70"/>
  <c r="A81" i="70"/>
  <c r="A80" i="70"/>
  <c r="A79" i="70"/>
  <c r="A78" i="70"/>
  <c r="A77" i="70"/>
  <c r="A76" i="70"/>
  <c r="A75" i="70"/>
  <c r="A74" i="70"/>
  <c r="A73" i="70"/>
  <c r="A72" i="70"/>
  <c r="A71" i="70"/>
  <c r="A70" i="70"/>
  <c r="A69" i="70"/>
  <c r="A68" i="70"/>
  <c r="A67" i="70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A2" i="70"/>
  <c r="A1" i="70"/>
  <c r="A130" i="69"/>
  <c r="A129" i="69"/>
  <c r="A128" i="69"/>
  <c r="A127" i="69"/>
  <c r="A126" i="69"/>
  <c r="A125" i="69"/>
  <c r="A124" i="69"/>
  <c r="A123" i="69"/>
  <c r="A122" i="69"/>
  <c r="A121" i="69"/>
  <c r="A120" i="69"/>
  <c r="A119" i="69"/>
  <c r="A118" i="69"/>
  <c r="A117" i="69"/>
  <c r="A116" i="69"/>
  <c r="A115" i="69"/>
  <c r="A114" i="69"/>
  <c r="A113" i="69"/>
  <c r="A112" i="69"/>
  <c r="A111" i="69"/>
  <c r="A110" i="69"/>
  <c r="A109" i="69"/>
  <c r="A108" i="69"/>
  <c r="A107" i="69"/>
  <c r="A106" i="69"/>
  <c r="A105" i="69"/>
  <c r="A104" i="69"/>
  <c r="A103" i="69"/>
  <c r="A102" i="69"/>
  <c r="A101" i="69"/>
  <c r="A100" i="69"/>
  <c r="A99" i="69"/>
  <c r="A98" i="69"/>
  <c r="A97" i="69"/>
  <c r="A96" i="69"/>
  <c r="A95" i="69"/>
  <c r="A94" i="69"/>
  <c r="A93" i="69"/>
  <c r="A92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65" i="69"/>
  <c r="A64" i="69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A2" i="69"/>
  <c r="A1" i="69"/>
  <c r="A130" i="68"/>
  <c r="A129" i="68"/>
  <c r="A128" i="68"/>
  <c r="A127" i="68"/>
  <c r="A126" i="68"/>
  <c r="A125" i="68"/>
  <c r="A124" i="68"/>
  <c r="A123" i="68"/>
  <c r="A122" i="68"/>
  <c r="A121" i="68"/>
  <c r="A120" i="68"/>
  <c r="A119" i="68"/>
  <c r="A118" i="68"/>
  <c r="A117" i="68"/>
  <c r="A116" i="68"/>
  <c r="A115" i="68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A3" i="68"/>
  <c r="A2" i="68"/>
  <c r="A1" i="68"/>
  <c r="A130" i="67"/>
  <c r="A129" i="67"/>
  <c r="A128" i="67"/>
  <c r="A127" i="67"/>
  <c r="A126" i="67"/>
  <c r="A125" i="67"/>
  <c r="A124" i="67"/>
  <c r="A123" i="67"/>
  <c r="A122" i="67"/>
  <c r="A121" i="67"/>
  <c r="A120" i="67"/>
  <c r="A119" i="67"/>
  <c r="A118" i="67"/>
  <c r="A117" i="67"/>
  <c r="A116" i="67"/>
  <c r="A115" i="67"/>
  <c r="A114" i="67"/>
  <c r="A113" i="67"/>
  <c r="A112" i="67"/>
  <c r="A111" i="67"/>
  <c r="A110" i="67"/>
  <c r="A109" i="67"/>
  <c r="A108" i="67"/>
  <c r="A107" i="67"/>
  <c r="A106" i="67"/>
  <c r="A105" i="67"/>
  <c r="A104" i="67"/>
  <c r="A103" i="67"/>
  <c r="A102" i="67"/>
  <c r="A101" i="67"/>
  <c r="A100" i="67"/>
  <c r="A99" i="67"/>
  <c r="A98" i="67"/>
  <c r="A97" i="67"/>
  <c r="A96" i="67"/>
  <c r="A95" i="67"/>
  <c r="A94" i="67"/>
  <c r="A93" i="67"/>
  <c r="A92" i="67"/>
  <c r="A91" i="67"/>
  <c r="A90" i="67"/>
  <c r="A89" i="67"/>
  <c r="A88" i="67"/>
  <c r="A87" i="67"/>
  <c r="A86" i="67"/>
  <c r="A85" i="67"/>
  <c r="A84" i="67"/>
  <c r="A83" i="67"/>
  <c r="A82" i="67"/>
  <c r="A81" i="67"/>
  <c r="A80" i="67"/>
  <c r="A79" i="67"/>
  <c r="A78" i="67"/>
  <c r="A77" i="67"/>
  <c r="A76" i="67"/>
  <c r="A75" i="67"/>
  <c r="A74" i="67"/>
  <c r="A73" i="67"/>
  <c r="A72" i="67"/>
  <c r="A71" i="67"/>
  <c r="A70" i="67"/>
  <c r="A69" i="67"/>
  <c r="A68" i="67"/>
  <c r="A67" i="67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A2" i="67"/>
  <c r="A1" i="67"/>
  <c r="A130" i="66"/>
  <c r="A129" i="66"/>
  <c r="A128" i="66"/>
  <c r="A127" i="66"/>
  <c r="A126" i="66"/>
  <c r="A125" i="66"/>
  <c r="A124" i="66"/>
  <c r="A123" i="66"/>
  <c r="A122" i="66"/>
  <c r="A121" i="66"/>
  <c r="A120" i="66"/>
  <c r="A119" i="66"/>
  <c r="A118" i="66"/>
  <c r="A117" i="66"/>
  <c r="A116" i="66"/>
  <c r="A115" i="66"/>
  <c r="A114" i="66"/>
  <c r="A113" i="66"/>
  <c r="A112" i="66"/>
  <c r="A111" i="66"/>
  <c r="A110" i="66"/>
  <c r="A109" i="66"/>
  <c r="A108" i="66"/>
  <c r="A107" i="66"/>
  <c r="A106" i="66"/>
  <c r="A105" i="66"/>
  <c r="A104" i="66"/>
  <c r="A103" i="66"/>
  <c r="A102" i="66"/>
  <c r="A101" i="66"/>
  <c r="A100" i="66"/>
  <c r="A99" i="66"/>
  <c r="A98" i="66"/>
  <c r="A97" i="66"/>
  <c r="A96" i="66"/>
  <c r="A95" i="66"/>
  <c r="A94" i="66"/>
  <c r="A93" i="66"/>
  <c r="A92" i="66"/>
  <c r="A91" i="66"/>
  <c r="A90" i="66"/>
  <c r="A89" i="66"/>
  <c r="A88" i="66"/>
  <c r="A87" i="66"/>
  <c r="A86" i="66"/>
  <c r="A85" i="66"/>
  <c r="A84" i="66"/>
  <c r="A83" i="66"/>
  <c r="A82" i="66"/>
  <c r="A81" i="66"/>
  <c r="A80" i="66"/>
  <c r="A79" i="66"/>
  <c r="A78" i="66"/>
  <c r="A77" i="66"/>
  <c r="A76" i="66"/>
  <c r="A75" i="66"/>
  <c r="A74" i="66"/>
  <c r="A73" i="66"/>
  <c r="A72" i="66"/>
  <c r="A71" i="66"/>
  <c r="A70" i="66"/>
  <c r="A69" i="66"/>
  <c r="A68" i="66"/>
  <c r="A67" i="66"/>
  <c r="A66" i="66"/>
  <c r="A65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A2" i="66"/>
  <c r="A1" i="66"/>
  <c r="A72" i="65"/>
  <c r="A71" i="65"/>
  <c r="A70" i="65"/>
  <c r="A69" i="65"/>
  <c r="A68" i="65"/>
  <c r="A67" i="65"/>
  <c r="A66" i="65"/>
  <c r="A65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A2" i="65"/>
  <c r="A1" i="65"/>
  <c r="A72" i="64"/>
  <c r="A71" i="64"/>
  <c r="A70" i="64"/>
  <c r="A69" i="64"/>
  <c r="A68" i="64"/>
  <c r="A67" i="64"/>
  <c r="A66" i="64"/>
  <c r="A65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A2" i="64"/>
  <c r="A1" i="64"/>
  <c r="A72" i="63"/>
  <c r="A71" i="63"/>
  <c r="A70" i="63"/>
  <c r="A69" i="63"/>
  <c r="A68" i="63"/>
  <c r="A67" i="63"/>
  <c r="A66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A3" i="63"/>
  <c r="A2" i="63"/>
  <c r="A1" i="63"/>
  <c r="A72" i="62"/>
  <c r="A71" i="62"/>
  <c r="A70" i="62"/>
  <c r="A69" i="62"/>
  <c r="A68" i="62"/>
  <c r="A67" i="62"/>
  <c r="A66" i="62"/>
  <c r="A65" i="62"/>
  <c r="A64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A3" i="62"/>
  <c r="A2" i="62"/>
  <c r="A1" i="62"/>
  <c r="A72" i="61"/>
  <c r="A71" i="61"/>
  <c r="A70" i="61"/>
  <c r="A69" i="61"/>
  <c r="A68" i="61"/>
  <c r="A67" i="6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A2" i="61"/>
  <c r="A1" i="61"/>
  <c r="A72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A2" i="60"/>
  <c r="A1" i="60"/>
  <c r="A72" i="59"/>
  <c r="A71" i="59"/>
  <c r="A70" i="59"/>
  <c r="A69" i="59"/>
  <c r="A68" i="59"/>
  <c r="A67" i="59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A5" i="59"/>
  <c r="A4" i="59"/>
  <c r="A3" i="59"/>
  <c r="A2" i="59"/>
  <c r="A1" i="59"/>
  <c r="A72" i="58"/>
  <c r="A71" i="58"/>
  <c r="A70" i="58"/>
  <c r="A69" i="58"/>
  <c r="A68" i="58"/>
  <c r="A67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A2" i="58"/>
  <c r="A1" i="58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A2" i="57"/>
  <c r="A1" i="57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A2" i="56"/>
  <c r="A1" i="56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A2" i="55"/>
  <c r="A1" i="55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A2" i="54"/>
  <c r="A1" i="54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A3" i="53"/>
  <c r="A2" i="53"/>
  <c r="A1" i="53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A3" i="52"/>
  <c r="A2" i="52"/>
  <c r="A1" i="52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A4" i="51"/>
  <c r="A3" i="51"/>
  <c r="A2" i="51"/>
  <c r="A1" i="51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A2" i="50"/>
  <c r="A1" i="50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A3" i="49"/>
  <c r="A2" i="49"/>
  <c r="A1" i="49"/>
  <c r="A8" i="48"/>
  <c r="A7" i="48"/>
  <c r="A6" i="48"/>
  <c r="A5" i="48"/>
  <c r="A4" i="48"/>
  <c r="A3" i="48"/>
  <c r="A2" i="48"/>
  <c r="A1" i="48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A2" i="47"/>
  <c r="A1" i="47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A3" i="46"/>
  <c r="A2" i="46"/>
  <c r="A1" i="46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A2" i="45"/>
  <c r="A1" i="45"/>
  <c r="A654" i="44"/>
  <c r="A653" i="44"/>
  <c r="A652" i="44"/>
  <c r="A651" i="44"/>
  <c r="A650" i="44"/>
  <c r="A649" i="44"/>
  <c r="A648" i="44"/>
  <c r="A647" i="44"/>
  <c r="A646" i="44"/>
  <c r="A645" i="44"/>
  <c r="A644" i="44"/>
  <c r="A643" i="44"/>
  <c r="A642" i="44"/>
  <c r="A641" i="44"/>
  <c r="A640" i="44"/>
  <c r="A639" i="44"/>
  <c r="A638" i="44"/>
  <c r="A637" i="44"/>
  <c r="A636" i="44"/>
  <c r="A635" i="44"/>
  <c r="A634" i="44"/>
  <c r="A633" i="44"/>
  <c r="A632" i="44"/>
  <c r="A631" i="44"/>
  <c r="A630" i="44"/>
  <c r="A629" i="44"/>
  <c r="A628" i="44"/>
  <c r="A627" i="44"/>
  <c r="A626" i="44"/>
  <c r="A625" i="44"/>
  <c r="A624" i="44"/>
  <c r="A623" i="44"/>
  <c r="A622" i="44"/>
  <c r="A621" i="44"/>
  <c r="A620" i="44"/>
  <c r="A619" i="44"/>
  <c r="A618" i="44"/>
  <c r="A617" i="44"/>
  <c r="A616" i="44"/>
  <c r="A615" i="44"/>
  <c r="A614" i="44"/>
  <c r="A613" i="44"/>
  <c r="A612" i="44"/>
  <c r="A611" i="44"/>
  <c r="A610" i="44"/>
  <c r="A609" i="44"/>
  <c r="A608" i="44"/>
  <c r="A607" i="44"/>
  <c r="A606" i="44"/>
  <c r="A605" i="44"/>
  <c r="A604" i="44"/>
  <c r="A603" i="44"/>
  <c r="A602" i="44"/>
  <c r="A601" i="44"/>
  <c r="A600" i="44"/>
  <c r="A599" i="44"/>
  <c r="A598" i="44"/>
  <c r="A597" i="44"/>
  <c r="A596" i="44"/>
  <c r="A595" i="44"/>
  <c r="A594" i="44"/>
  <c r="A593" i="44"/>
  <c r="A592" i="44"/>
  <c r="A591" i="44"/>
  <c r="A590" i="44"/>
  <c r="A589" i="44"/>
  <c r="A588" i="44"/>
  <c r="A587" i="44"/>
  <c r="A586" i="44"/>
  <c r="A585" i="44"/>
  <c r="A584" i="44"/>
  <c r="A583" i="44"/>
  <c r="A582" i="44"/>
  <c r="A581" i="44"/>
  <c r="A580" i="44"/>
  <c r="A579" i="44"/>
  <c r="A578" i="44"/>
  <c r="A577" i="44"/>
  <c r="A576" i="44"/>
  <c r="A575" i="44"/>
  <c r="A574" i="44"/>
  <c r="A573" i="44"/>
  <c r="A572" i="44"/>
  <c r="A571" i="44"/>
  <c r="A570" i="44"/>
  <c r="A569" i="44"/>
  <c r="A568" i="44"/>
  <c r="A567" i="44"/>
  <c r="A566" i="44"/>
  <c r="A565" i="44"/>
  <c r="A564" i="44"/>
  <c r="A563" i="44"/>
  <c r="A562" i="44"/>
  <c r="A561" i="44"/>
  <c r="A560" i="44"/>
  <c r="A559" i="44"/>
  <c r="A558" i="44"/>
  <c r="A557" i="44"/>
  <c r="A556" i="44"/>
  <c r="A555" i="44"/>
  <c r="A554" i="44"/>
  <c r="A553" i="44"/>
  <c r="A552" i="44"/>
  <c r="A551" i="44"/>
  <c r="A550" i="44"/>
  <c r="A549" i="44"/>
  <c r="A548" i="44"/>
  <c r="A547" i="44"/>
  <c r="A546" i="44"/>
  <c r="A545" i="44"/>
  <c r="A544" i="44"/>
  <c r="A543" i="44"/>
  <c r="A542" i="44"/>
  <c r="A541" i="44"/>
  <c r="A540" i="44"/>
  <c r="A539" i="44"/>
  <c r="A538" i="44"/>
  <c r="A537" i="44"/>
  <c r="A536" i="44"/>
  <c r="A535" i="44"/>
  <c r="A534" i="44"/>
  <c r="A533" i="44"/>
  <c r="A532" i="44"/>
  <c r="A531" i="44"/>
  <c r="A530" i="44"/>
  <c r="A529" i="44"/>
  <c r="A528" i="44"/>
  <c r="A527" i="44"/>
  <c r="A526" i="44"/>
  <c r="A525" i="44"/>
  <c r="A524" i="44"/>
  <c r="A523" i="44"/>
  <c r="A522" i="44"/>
  <c r="A521" i="44"/>
  <c r="A520" i="44"/>
  <c r="A519" i="44"/>
  <c r="A518" i="44"/>
  <c r="A517" i="44"/>
  <c r="A516" i="44"/>
  <c r="A515" i="44"/>
  <c r="A514" i="44"/>
  <c r="A513" i="44"/>
  <c r="A512" i="44"/>
  <c r="A511" i="44"/>
  <c r="A510" i="44"/>
  <c r="A509" i="44"/>
  <c r="A508" i="44"/>
  <c r="A507" i="44"/>
  <c r="A506" i="44"/>
  <c r="A505" i="44"/>
  <c r="A504" i="44"/>
  <c r="A503" i="44"/>
  <c r="A502" i="44"/>
  <c r="A501" i="44"/>
  <c r="A500" i="44"/>
  <c r="A499" i="44"/>
  <c r="A498" i="44"/>
  <c r="A497" i="44"/>
  <c r="A496" i="44"/>
  <c r="A495" i="44"/>
  <c r="A494" i="44"/>
  <c r="A493" i="44"/>
  <c r="A492" i="44"/>
  <c r="A491" i="44"/>
  <c r="A490" i="44"/>
  <c r="A489" i="44"/>
  <c r="A488" i="44"/>
  <c r="A487" i="44"/>
  <c r="A486" i="44"/>
  <c r="A485" i="44"/>
  <c r="A484" i="44"/>
  <c r="A483" i="44"/>
  <c r="A482" i="44"/>
  <c r="A481" i="44"/>
  <c r="A480" i="44"/>
  <c r="A479" i="44"/>
  <c r="A478" i="44"/>
  <c r="A477" i="44"/>
  <c r="A476" i="44"/>
  <c r="A475" i="44"/>
  <c r="A474" i="44"/>
  <c r="A473" i="44"/>
  <c r="A472" i="44"/>
  <c r="A471" i="44"/>
  <c r="A470" i="44"/>
  <c r="A469" i="44"/>
  <c r="A468" i="44"/>
  <c r="A467" i="44"/>
  <c r="A466" i="44"/>
  <c r="A465" i="44"/>
  <c r="A464" i="44"/>
  <c r="A463" i="44"/>
  <c r="A462" i="44"/>
  <c r="A461" i="44"/>
  <c r="A460" i="44"/>
  <c r="A459" i="44"/>
  <c r="A458" i="44"/>
  <c r="A457" i="44"/>
  <c r="A456" i="44"/>
  <c r="A455" i="44"/>
  <c r="A454" i="44"/>
  <c r="A453" i="44"/>
  <c r="A452" i="44"/>
  <c r="A451" i="44"/>
  <c r="A450" i="44"/>
  <c r="A449" i="44"/>
  <c r="A448" i="44"/>
  <c r="A447" i="44"/>
  <c r="A446" i="44"/>
  <c r="A445" i="44"/>
  <c r="A444" i="44"/>
  <c r="A443" i="44"/>
  <c r="A442" i="44"/>
  <c r="A441" i="44"/>
  <c r="A440" i="44"/>
  <c r="A439" i="44"/>
  <c r="A438" i="44"/>
  <c r="A437" i="44"/>
  <c r="A436" i="44"/>
  <c r="A435" i="44"/>
  <c r="A434" i="44"/>
  <c r="A433" i="44"/>
  <c r="A432" i="44"/>
  <c r="A431" i="44"/>
  <c r="A430" i="44"/>
  <c r="A429" i="44"/>
  <c r="A428" i="44"/>
  <c r="A427" i="44"/>
  <c r="A426" i="44"/>
  <c r="A425" i="44"/>
  <c r="A424" i="44"/>
  <c r="A423" i="44"/>
  <c r="A422" i="44"/>
  <c r="A421" i="44"/>
  <c r="A420" i="44"/>
  <c r="A419" i="44"/>
  <c r="A418" i="44"/>
  <c r="A417" i="44"/>
  <c r="A416" i="44"/>
  <c r="A415" i="44"/>
  <c r="A414" i="44"/>
  <c r="A413" i="44"/>
  <c r="A412" i="44"/>
  <c r="A411" i="44"/>
  <c r="A410" i="44"/>
  <c r="A409" i="44"/>
  <c r="A408" i="44"/>
  <c r="A407" i="44"/>
  <c r="A406" i="44"/>
  <c r="A405" i="44"/>
  <c r="A404" i="44"/>
  <c r="A403" i="44"/>
  <c r="A402" i="44"/>
  <c r="A401" i="44"/>
  <c r="A400" i="44"/>
  <c r="A399" i="44"/>
  <c r="A398" i="44"/>
  <c r="A397" i="44"/>
  <c r="A396" i="44"/>
  <c r="A395" i="44"/>
  <c r="A394" i="44"/>
  <c r="A393" i="44"/>
  <c r="A392" i="44"/>
  <c r="A391" i="44"/>
  <c r="A390" i="44"/>
  <c r="A389" i="44"/>
  <c r="A388" i="44"/>
  <c r="A387" i="44"/>
  <c r="A386" i="44"/>
  <c r="A385" i="44"/>
  <c r="A384" i="44"/>
  <c r="A383" i="44"/>
  <c r="A382" i="44"/>
  <c r="A381" i="44"/>
  <c r="A380" i="44"/>
  <c r="A379" i="44"/>
  <c r="A378" i="44"/>
  <c r="A377" i="44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A3" i="44"/>
  <c r="A2" i="44"/>
  <c r="A1" i="44"/>
  <c r="A1089" i="43"/>
  <c r="A1088" i="43"/>
  <c r="A1087" i="43"/>
  <c r="A1086" i="43"/>
  <c r="A1085" i="43"/>
  <c r="A1084" i="43"/>
  <c r="A1083" i="43"/>
  <c r="A1082" i="43"/>
  <c r="A1081" i="43"/>
  <c r="A1080" i="43"/>
  <c r="A1079" i="43"/>
  <c r="A1078" i="43"/>
  <c r="A1077" i="43"/>
  <c r="A1076" i="43"/>
  <c r="A1075" i="43"/>
  <c r="A1074" i="43"/>
  <c r="A1073" i="43"/>
  <c r="A1072" i="43"/>
  <c r="A1071" i="43"/>
  <c r="A1070" i="43"/>
  <c r="A1069" i="43"/>
  <c r="A1068" i="43"/>
  <c r="A1067" i="43"/>
  <c r="A1066" i="43"/>
  <c r="A1065" i="43"/>
  <c r="A1064" i="43"/>
  <c r="A1063" i="43"/>
  <c r="A1062" i="43"/>
  <c r="A1061" i="43"/>
  <c r="A1060" i="43"/>
  <c r="A1059" i="43"/>
  <c r="A1058" i="43"/>
  <c r="A1057" i="43"/>
  <c r="A1056" i="43"/>
  <c r="A1055" i="43"/>
  <c r="A1054" i="43"/>
  <c r="A1053" i="43"/>
  <c r="A1052" i="43"/>
  <c r="A1051" i="43"/>
  <c r="A1050" i="43"/>
  <c r="A1049" i="43"/>
  <c r="A1048" i="43"/>
  <c r="A1047" i="43"/>
  <c r="A1046" i="43"/>
  <c r="A1045" i="43"/>
  <c r="A1044" i="43"/>
  <c r="A1043" i="43"/>
  <c r="A1042" i="43"/>
  <c r="A1041" i="43"/>
  <c r="A1040" i="43"/>
  <c r="A1039" i="43"/>
  <c r="A1038" i="43"/>
  <c r="A1037" i="43"/>
  <c r="A1036" i="43"/>
  <c r="A1035" i="43"/>
  <c r="A1034" i="43"/>
  <c r="A1033" i="43"/>
  <c r="A1032" i="43"/>
  <c r="A1031" i="43"/>
  <c r="A1030" i="43"/>
  <c r="A1029" i="43"/>
  <c r="A1028" i="43"/>
  <c r="A1027" i="43"/>
  <c r="A1026" i="43"/>
  <c r="A1025" i="43"/>
  <c r="A1024" i="43"/>
  <c r="A1023" i="43"/>
  <c r="A1022" i="43"/>
  <c r="A1021" i="43"/>
  <c r="A1020" i="43"/>
  <c r="A1019" i="43"/>
  <c r="A1018" i="43"/>
  <c r="A1017" i="43"/>
  <c r="A1016" i="43"/>
  <c r="A1015" i="43"/>
  <c r="A1014" i="43"/>
  <c r="A1013" i="43"/>
  <c r="A1012" i="43"/>
  <c r="A1011" i="43"/>
  <c r="A1010" i="43"/>
  <c r="A1009" i="43"/>
  <c r="A1008" i="43"/>
  <c r="A1007" i="43"/>
  <c r="A1006" i="43"/>
  <c r="A1005" i="43"/>
  <c r="A1004" i="43"/>
  <c r="A1003" i="43"/>
  <c r="A1002" i="43"/>
  <c r="A1001" i="43"/>
  <c r="A1000" i="43"/>
  <c r="A999" i="43"/>
  <c r="A998" i="43"/>
  <c r="A997" i="43"/>
  <c r="A996" i="43"/>
  <c r="A995" i="43"/>
  <c r="A994" i="43"/>
  <c r="A993" i="43"/>
  <c r="A992" i="43"/>
  <c r="A991" i="43"/>
  <c r="A990" i="43"/>
  <c r="A989" i="43"/>
  <c r="A988" i="43"/>
  <c r="A987" i="43"/>
  <c r="A986" i="43"/>
  <c r="A985" i="43"/>
  <c r="A984" i="43"/>
  <c r="A983" i="43"/>
  <c r="A982" i="43"/>
  <c r="A981" i="43"/>
  <c r="A980" i="43"/>
  <c r="A979" i="43"/>
  <c r="A978" i="43"/>
  <c r="A977" i="43"/>
  <c r="A976" i="43"/>
  <c r="A975" i="43"/>
  <c r="A974" i="43"/>
  <c r="A973" i="43"/>
  <c r="A972" i="43"/>
  <c r="A971" i="43"/>
  <c r="A970" i="43"/>
  <c r="A969" i="43"/>
  <c r="A968" i="43"/>
  <c r="A967" i="43"/>
  <c r="A966" i="43"/>
  <c r="A965" i="43"/>
  <c r="A964" i="43"/>
  <c r="A963" i="43"/>
  <c r="A962" i="43"/>
  <c r="A961" i="43"/>
  <c r="A960" i="43"/>
  <c r="A959" i="43"/>
  <c r="A958" i="43"/>
  <c r="A957" i="43"/>
  <c r="A956" i="43"/>
  <c r="A955" i="43"/>
  <c r="A954" i="43"/>
  <c r="A953" i="43"/>
  <c r="A952" i="43"/>
  <c r="A951" i="43"/>
  <c r="A950" i="43"/>
  <c r="A949" i="43"/>
  <c r="A948" i="43"/>
  <c r="A947" i="43"/>
  <c r="A946" i="43"/>
  <c r="A945" i="43"/>
  <c r="A944" i="43"/>
  <c r="A943" i="43"/>
  <c r="A942" i="43"/>
  <c r="A941" i="43"/>
  <c r="A940" i="43"/>
  <c r="A939" i="43"/>
  <c r="A938" i="43"/>
  <c r="A937" i="43"/>
  <c r="A936" i="43"/>
  <c r="A935" i="43"/>
  <c r="A934" i="43"/>
  <c r="A933" i="43"/>
  <c r="A932" i="43"/>
  <c r="A931" i="43"/>
  <c r="A930" i="43"/>
  <c r="A929" i="43"/>
  <c r="A928" i="43"/>
  <c r="A927" i="43"/>
  <c r="A926" i="43"/>
  <c r="A925" i="43"/>
  <c r="A924" i="43"/>
  <c r="A923" i="43"/>
  <c r="A922" i="43"/>
  <c r="A921" i="43"/>
  <c r="A920" i="43"/>
  <c r="A919" i="43"/>
  <c r="A918" i="43"/>
  <c r="A917" i="43"/>
  <c r="A916" i="43"/>
  <c r="A915" i="43"/>
  <c r="A914" i="43"/>
  <c r="A913" i="43"/>
  <c r="A912" i="43"/>
  <c r="A911" i="43"/>
  <c r="A910" i="43"/>
  <c r="A909" i="43"/>
  <c r="A908" i="43"/>
  <c r="A907" i="43"/>
  <c r="A906" i="43"/>
  <c r="A905" i="43"/>
  <c r="A904" i="43"/>
  <c r="A903" i="43"/>
  <c r="A902" i="43"/>
  <c r="A901" i="43"/>
  <c r="A900" i="43"/>
  <c r="A899" i="43"/>
  <c r="A898" i="43"/>
  <c r="A897" i="43"/>
  <c r="A896" i="43"/>
  <c r="A895" i="43"/>
  <c r="A894" i="43"/>
  <c r="A893" i="43"/>
  <c r="A892" i="43"/>
  <c r="A891" i="43"/>
  <c r="A890" i="43"/>
  <c r="A889" i="43"/>
  <c r="A888" i="43"/>
  <c r="A887" i="43"/>
  <c r="A886" i="43"/>
  <c r="A885" i="43"/>
  <c r="A884" i="43"/>
  <c r="A883" i="43"/>
  <c r="A882" i="43"/>
  <c r="A881" i="43"/>
  <c r="A880" i="43"/>
  <c r="A879" i="43"/>
  <c r="A878" i="43"/>
  <c r="A877" i="43"/>
  <c r="A876" i="43"/>
  <c r="A875" i="43"/>
  <c r="A874" i="43"/>
  <c r="A873" i="43"/>
  <c r="A872" i="43"/>
  <c r="A871" i="43"/>
  <c r="A870" i="43"/>
  <c r="A869" i="43"/>
  <c r="A868" i="43"/>
  <c r="A867" i="43"/>
  <c r="A866" i="43"/>
  <c r="A865" i="43"/>
  <c r="A864" i="43"/>
  <c r="A863" i="43"/>
  <c r="A862" i="43"/>
  <c r="A861" i="43"/>
  <c r="A860" i="43"/>
  <c r="A859" i="43"/>
  <c r="A858" i="43"/>
  <c r="A857" i="43"/>
  <c r="A856" i="43"/>
  <c r="A855" i="43"/>
  <c r="A854" i="43"/>
  <c r="A853" i="43"/>
  <c r="A852" i="43"/>
  <c r="A851" i="43"/>
  <c r="A850" i="43"/>
  <c r="A849" i="43"/>
  <c r="A848" i="43"/>
  <c r="A847" i="43"/>
  <c r="A846" i="43"/>
  <c r="A845" i="43"/>
  <c r="A844" i="43"/>
  <c r="A843" i="43"/>
  <c r="A842" i="43"/>
  <c r="A841" i="43"/>
  <c r="A840" i="43"/>
  <c r="A839" i="43"/>
  <c r="A838" i="43"/>
  <c r="A837" i="43"/>
  <c r="A836" i="43"/>
  <c r="A835" i="43"/>
  <c r="A834" i="43"/>
  <c r="A833" i="43"/>
  <c r="A832" i="43"/>
  <c r="A831" i="43"/>
  <c r="A830" i="43"/>
  <c r="A829" i="43"/>
  <c r="A828" i="43"/>
  <c r="A827" i="43"/>
  <c r="A826" i="43"/>
  <c r="A825" i="43"/>
  <c r="A824" i="43"/>
  <c r="A823" i="43"/>
  <c r="A822" i="43"/>
  <c r="A821" i="43"/>
  <c r="A820" i="43"/>
  <c r="A819" i="43"/>
  <c r="A818" i="43"/>
  <c r="A817" i="43"/>
  <c r="A816" i="43"/>
  <c r="A815" i="43"/>
  <c r="A814" i="43"/>
  <c r="A813" i="43"/>
  <c r="A812" i="43"/>
  <c r="A811" i="43"/>
  <c r="A810" i="43"/>
  <c r="A809" i="43"/>
  <c r="A808" i="43"/>
  <c r="A807" i="43"/>
  <c r="A806" i="43"/>
  <c r="A805" i="43"/>
  <c r="A804" i="43"/>
  <c r="A803" i="43"/>
  <c r="A802" i="43"/>
  <c r="A801" i="43"/>
  <c r="A800" i="43"/>
  <c r="A799" i="43"/>
  <c r="A798" i="43"/>
  <c r="A797" i="43"/>
  <c r="A796" i="43"/>
  <c r="A795" i="43"/>
  <c r="A794" i="43"/>
  <c r="A793" i="43"/>
  <c r="A792" i="43"/>
  <c r="A791" i="43"/>
  <c r="A790" i="43"/>
  <c r="A789" i="43"/>
  <c r="A788" i="43"/>
  <c r="A787" i="43"/>
  <c r="A786" i="43"/>
  <c r="A785" i="43"/>
  <c r="A784" i="43"/>
  <c r="A783" i="43"/>
  <c r="A782" i="43"/>
  <c r="A781" i="43"/>
  <c r="A780" i="43"/>
  <c r="A779" i="43"/>
  <c r="A778" i="43"/>
  <c r="A777" i="43"/>
  <c r="A776" i="43"/>
  <c r="A775" i="43"/>
  <c r="A774" i="43"/>
  <c r="A773" i="43"/>
  <c r="A772" i="43"/>
  <c r="A771" i="43"/>
  <c r="A770" i="43"/>
  <c r="A769" i="43"/>
  <c r="A768" i="43"/>
  <c r="A767" i="43"/>
  <c r="A766" i="43"/>
  <c r="A765" i="43"/>
  <c r="A764" i="43"/>
  <c r="A763" i="43"/>
  <c r="A762" i="43"/>
  <c r="A761" i="43"/>
  <c r="A760" i="43"/>
  <c r="A759" i="43"/>
  <c r="A758" i="43"/>
  <c r="A757" i="43"/>
  <c r="A756" i="43"/>
  <c r="A755" i="43"/>
  <c r="A754" i="43"/>
  <c r="A753" i="43"/>
  <c r="A752" i="43"/>
  <c r="A751" i="43"/>
  <c r="A750" i="43"/>
  <c r="A749" i="43"/>
  <c r="A748" i="43"/>
  <c r="A747" i="43"/>
  <c r="A746" i="43"/>
  <c r="A745" i="43"/>
  <c r="A744" i="43"/>
  <c r="A743" i="43"/>
  <c r="A742" i="43"/>
  <c r="A741" i="43"/>
  <c r="A740" i="43"/>
  <c r="A739" i="43"/>
  <c r="A738" i="43"/>
  <c r="A737" i="43"/>
  <c r="A736" i="43"/>
  <c r="A735" i="43"/>
  <c r="A734" i="43"/>
  <c r="A733" i="43"/>
  <c r="A732" i="43"/>
  <c r="A731" i="43"/>
  <c r="A730" i="43"/>
  <c r="A729" i="43"/>
  <c r="A728" i="43"/>
  <c r="A727" i="43"/>
  <c r="A726" i="43"/>
  <c r="A725" i="43"/>
  <c r="A724" i="43"/>
  <c r="A723" i="43"/>
  <c r="A722" i="43"/>
  <c r="A721" i="43"/>
  <c r="A720" i="43"/>
  <c r="A719" i="43"/>
  <c r="A718" i="43"/>
  <c r="A717" i="43"/>
  <c r="A716" i="43"/>
  <c r="A715" i="43"/>
  <c r="A714" i="43"/>
  <c r="A713" i="43"/>
  <c r="A712" i="43"/>
  <c r="A711" i="43"/>
  <c r="A710" i="43"/>
  <c r="A709" i="43"/>
  <c r="A708" i="43"/>
  <c r="A707" i="43"/>
  <c r="A706" i="43"/>
  <c r="A705" i="43"/>
  <c r="A704" i="43"/>
  <c r="A703" i="43"/>
  <c r="A702" i="43"/>
  <c r="A701" i="43"/>
  <c r="A700" i="43"/>
  <c r="A699" i="43"/>
  <c r="A698" i="43"/>
  <c r="A697" i="43"/>
  <c r="A696" i="43"/>
  <c r="A695" i="43"/>
  <c r="A694" i="43"/>
  <c r="A693" i="43"/>
  <c r="A692" i="43"/>
  <c r="A691" i="43"/>
  <c r="A690" i="43"/>
  <c r="A689" i="43"/>
  <c r="A688" i="43"/>
  <c r="A687" i="43"/>
  <c r="A686" i="43"/>
  <c r="A685" i="43"/>
  <c r="A684" i="43"/>
  <c r="A683" i="43"/>
  <c r="A682" i="43"/>
  <c r="A681" i="43"/>
  <c r="A680" i="43"/>
  <c r="A679" i="43"/>
  <c r="A678" i="43"/>
  <c r="A677" i="43"/>
  <c r="A676" i="43"/>
  <c r="A675" i="43"/>
  <c r="A674" i="43"/>
  <c r="A673" i="43"/>
  <c r="A672" i="43"/>
  <c r="A671" i="43"/>
  <c r="A670" i="43"/>
  <c r="A669" i="43"/>
  <c r="A668" i="43"/>
  <c r="A667" i="43"/>
  <c r="A666" i="43"/>
  <c r="A665" i="43"/>
  <c r="A664" i="43"/>
  <c r="A663" i="43"/>
  <c r="A662" i="43"/>
  <c r="A661" i="43"/>
  <c r="A660" i="43"/>
  <c r="A659" i="43"/>
  <c r="A658" i="43"/>
  <c r="A657" i="43"/>
  <c r="A656" i="43"/>
  <c r="A655" i="43"/>
  <c r="A654" i="43"/>
  <c r="A653" i="43"/>
  <c r="A652" i="43"/>
  <c r="A651" i="43"/>
  <c r="A650" i="43"/>
  <c r="A649" i="43"/>
  <c r="A648" i="43"/>
  <c r="A647" i="43"/>
  <c r="A646" i="43"/>
  <c r="A645" i="43"/>
  <c r="A644" i="43"/>
  <c r="A643" i="43"/>
  <c r="A642" i="43"/>
  <c r="A641" i="43"/>
  <c r="A640" i="43"/>
  <c r="A639" i="43"/>
  <c r="A638" i="43"/>
  <c r="A637" i="43"/>
  <c r="A636" i="43"/>
  <c r="A635" i="43"/>
  <c r="A634" i="43"/>
  <c r="A633" i="43"/>
  <c r="A632" i="43"/>
  <c r="A631" i="43"/>
  <c r="A630" i="43"/>
  <c r="A629" i="43"/>
  <c r="A628" i="43"/>
  <c r="A627" i="43"/>
  <c r="A626" i="43"/>
  <c r="A625" i="43"/>
  <c r="A624" i="43"/>
  <c r="A623" i="43"/>
  <c r="A622" i="43"/>
  <c r="A621" i="43"/>
  <c r="A620" i="43"/>
  <c r="A619" i="43"/>
  <c r="A618" i="43"/>
  <c r="A617" i="43"/>
  <c r="A616" i="43"/>
  <c r="A615" i="43"/>
  <c r="A614" i="43"/>
  <c r="A613" i="43"/>
  <c r="A612" i="43"/>
  <c r="A611" i="43"/>
  <c r="A610" i="43"/>
  <c r="A609" i="43"/>
  <c r="A608" i="43"/>
  <c r="A607" i="43"/>
  <c r="A606" i="43"/>
  <c r="A605" i="43"/>
  <c r="A604" i="43"/>
  <c r="A603" i="43"/>
  <c r="A602" i="43"/>
  <c r="A601" i="43"/>
  <c r="A600" i="43"/>
  <c r="A599" i="43"/>
  <c r="A598" i="43"/>
  <c r="A597" i="43"/>
  <c r="A596" i="43"/>
  <c r="A595" i="43"/>
  <c r="A594" i="43"/>
  <c r="A593" i="43"/>
  <c r="A592" i="43"/>
  <c r="A591" i="43"/>
  <c r="A590" i="43"/>
  <c r="A589" i="43"/>
  <c r="A588" i="43"/>
  <c r="A587" i="43"/>
  <c r="A586" i="43"/>
  <c r="A585" i="43"/>
  <c r="A584" i="43"/>
  <c r="A583" i="43"/>
  <c r="A582" i="43"/>
  <c r="A581" i="43"/>
  <c r="A580" i="43"/>
  <c r="A579" i="43"/>
  <c r="A578" i="43"/>
  <c r="A577" i="43"/>
  <c r="A576" i="43"/>
  <c r="A575" i="43"/>
  <c r="A574" i="43"/>
  <c r="A573" i="43"/>
  <c r="A572" i="43"/>
  <c r="A571" i="43"/>
  <c r="A570" i="43"/>
  <c r="A569" i="43"/>
  <c r="A568" i="43"/>
  <c r="A567" i="43"/>
  <c r="A566" i="43"/>
  <c r="A565" i="43"/>
  <c r="A564" i="43"/>
  <c r="A563" i="43"/>
  <c r="A562" i="43"/>
  <c r="A561" i="43"/>
  <c r="A560" i="43"/>
  <c r="A559" i="43"/>
  <c r="A558" i="43"/>
  <c r="A557" i="43"/>
  <c r="A556" i="43"/>
  <c r="A555" i="43"/>
  <c r="A554" i="43"/>
  <c r="A553" i="43"/>
  <c r="A552" i="43"/>
  <c r="A551" i="43"/>
  <c r="A550" i="43"/>
  <c r="A549" i="43"/>
  <c r="A548" i="43"/>
  <c r="A547" i="43"/>
  <c r="A546" i="43"/>
  <c r="A545" i="43"/>
  <c r="A544" i="43"/>
  <c r="A543" i="43"/>
  <c r="A542" i="43"/>
  <c r="A541" i="43"/>
  <c r="A540" i="43"/>
  <c r="A539" i="43"/>
  <c r="A538" i="43"/>
  <c r="A537" i="43"/>
  <c r="A536" i="43"/>
  <c r="A535" i="43"/>
  <c r="A534" i="43"/>
  <c r="A533" i="43"/>
  <c r="A532" i="43"/>
  <c r="A531" i="43"/>
  <c r="A530" i="43"/>
  <c r="A529" i="43"/>
  <c r="A528" i="43"/>
  <c r="A527" i="43"/>
  <c r="A526" i="43"/>
  <c r="A525" i="43"/>
  <c r="A524" i="43"/>
  <c r="A523" i="43"/>
  <c r="A522" i="43"/>
  <c r="A521" i="43"/>
  <c r="A520" i="43"/>
  <c r="A519" i="43"/>
  <c r="A518" i="43"/>
  <c r="A517" i="43"/>
  <c r="A516" i="43"/>
  <c r="A515" i="43"/>
  <c r="A514" i="43"/>
  <c r="A513" i="43"/>
  <c r="A512" i="43"/>
  <c r="A511" i="43"/>
  <c r="A510" i="43"/>
  <c r="A509" i="43"/>
  <c r="A508" i="43"/>
  <c r="A507" i="43"/>
  <c r="A506" i="43"/>
  <c r="A505" i="43"/>
  <c r="A504" i="43"/>
  <c r="A503" i="43"/>
  <c r="A502" i="43"/>
  <c r="A501" i="43"/>
  <c r="A500" i="43"/>
  <c r="A499" i="43"/>
  <c r="A498" i="43"/>
  <c r="A497" i="43"/>
  <c r="A496" i="43"/>
  <c r="A495" i="43"/>
  <c r="A494" i="43"/>
  <c r="A493" i="43"/>
  <c r="A492" i="43"/>
  <c r="A491" i="43"/>
  <c r="A490" i="43"/>
  <c r="A489" i="43"/>
  <c r="A488" i="43"/>
  <c r="A487" i="43"/>
  <c r="A486" i="43"/>
  <c r="A485" i="43"/>
  <c r="A484" i="43"/>
  <c r="A483" i="43"/>
  <c r="A482" i="43"/>
  <c r="A481" i="43"/>
  <c r="A480" i="43"/>
  <c r="A479" i="43"/>
  <c r="A478" i="43"/>
  <c r="A477" i="43"/>
  <c r="A476" i="43"/>
  <c r="A475" i="43"/>
  <c r="A474" i="43"/>
  <c r="A473" i="43"/>
  <c r="A472" i="43"/>
  <c r="A471" i="43"/>
  <c r="A470" i="43"/>
  <c r="A469" i="43"/>
  <c r="A468" i="43"/>
  <c r="A467" i="43"/>
  <c r="A466" i="43"/>
  <c r="A465" i="43"/>
  <c r="A464" i="43"/>
  <c r="A463" i="43"/>
  <c r="A462" i="43"/>
  <c r="A461" i="43"/>
  <c r="A460" i="43"/>
  <c r="A459" i="43"/>
  <c r="A458" i="43"/>
  <c r="A457" i="43"/>
  <c r="A456" i="43"/>
  <c r="A455" i="43"/>
  <c r="A454" i="43"/>
  <c r="A453" i="43"/>
  <c r="A452" i="43"/>
  <c r="A451" i="43"/>
  <c r="A450" i="43"/>
  <c r="A449" i="43"/>
  <c r="A448" i="43"/>
  <c r="A447" i="43"/>
  <c r="A446" i="43"/>
  <c r="A445" i="43"/>
  <c r="A444" i="43"/>
  <c r="A443" i="43"/>
  <c r="A442" i="43"/>
  <c r="A441" i="43"/>
  <c r="A440" i="43"/>
  <c r="A439" i="43"/>
  <c r="A438" i="43"/>
  <c r="A437" i="43"/>
  <c r="A436" i="43"/>
  <c r="A435" i="43"/>
  <c r="A434" i="43"/>
  <c r="A433" i="43"/>
  <c r="A432" i="43"/>
  <c r="A431" i="43"/>
  <c r="A430" i="43"/>
  <c r="A429" i="43"/>
  <c r="A428" i="43"/>
  <c r="A427" i="43"/>
  <c r="A426" i="43"/>
  <c r="A425" i="43"/>
  <c r="A424" i="43"/>
  <c r="A423" i="43"/>
  <c r="A422" i="43"/>
  <c r="A421" i="43"/>
  <c r="A420" i="43"/>
  <c r="A419" i="43"/>
  <c r="A418" i="43"/>
  <c r="A417" i="43"/>
  <c r="A416" i="43"/>
  <c r="A415" i="43"/>
  <c r="A414" i="43"/>
  <c r="A413" i="43"/>
  <c r="A412" i="43"/>
  <c r="A411" i="43"/>
  <c r="A410" i="43"/>
  <c r="A409" i="43"/>
  <c r="A408" i="43"/>
  <c r="A407" i="43"/>
  <c r="A406" i="43"/>
  <c r="A405" i="43"/>
  <c r="A404" i="43"/>
  <c r="A403" i="43"/>
  <c r="A402" i="43"/>
  <c r="A401" i="43"/>
  <c r="A400" i="43"/>
  <c r="A399" i="43"/>
  <c r="A398" i="43"/>
  <c r="A397" i="43"/>
  <c r="A396" i="43"/>
  <c r="A395" i="43"/>
  <c r="A394" i="43"/>
  <c r="A393" i="43"/>
  <c r="A392" i="43"/>
  <c r="A391" i="43"/>
  <c r="A390" i="43"/>
  <c r="A389" i="43"/>
  <c r="A388" i="43"/>
  <c r="A387" i="43"/>
  <c r="A386" i="43"/>
  <c r="A385" i="43"/>
  <c r="A384" i="43"/>
  <c r="A383" i="43"/>
  <c r="A382" i="43"/>
  <c r="A381" i="43"/>
  <c r="A380" i="43"/>
  <c r="A379" i="43"/>
  <c r="A378" i="43"/>
  <c r="A377" i="43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A2" i="43"/>
  <c r="A1" i="43"/>
  <c r="A1089" i="42"/>
  <c r="A1088" i="42"/>
  <c r="A1087" i="42"/>
  <c r="A1086" i="42"/>
  <c r="A1085" i="42"/>
  <c r="A1084" i="42"/>
  <c r="A1083" i="42"/>
  <c r="A1082" i="42"/>
  <c r="A1081" i="42"/>
  <c r="A1080" i="42"/>
  <c r="A1079" i="42"/>
  <c r="A1078" i="42"/>
  <c r="A1077" i="42"/>
  <c r="A1076" i="42"/>
  <c r="A1075" i="42"/>
  <c r="A1074" i="42"/>
  <c r="A1073" i="42"/>
  <c r="A1072" i="42"/>
  <c r="A1071" i="42"/>
  <c r="A1070" i="42"/>
  <c r="A1069" i="42"/>
  <c r="A1068" i="42"/>
  <c r="A1067" i="42"/>
  <c r="A1066" i="42"/>
  <c r="A1065" i="42"/>
  <c r="A1064" i="42"/>
  <c r="A1063" i="42"/>
  <c r="A1062" i="42"/>
  <c r="A1061" i="42"/>
  <c r="A1060" i="42"/>
  <c r="A1059" i="42"/>
  <c r="A1058" i="42"/>
  <c r="A1057" i="42"/>
  <c r="A1056" i="42"/>
  <c r="A1055" i="42"/>
  <c r="A1054" i="42"/>
  <c r="A1053" i="42"/>
  <c r="A1052" i="42"/>
  <c r="A1051" i="42"/>
  <c r="A1050" i="42"/>
  <c r="A1049" i="42"/>
  <c r="A1048" i="42"/>
  <c r="A1047" i="42"/>
  <c r="A1046" i="42"/>
  <c r="A1045" i="42"/>
  <c r="A1044" i="42"/>
  <c r="A1043" i="42"/>
  <c r="A1042" i="42"/>
  <c r="A1041" i="42"/>
  <c r="A1040" i="42"/>
  <c r="A1039" i="42"/>
  <c r="A1038" i="42"/>
  <c r="A1037" i="42"/>
  <c r="A1036" i="42"/>
  <c r="A1035" i="42"/>
  <c r="A1034" i="42"/>
  <c r="A1033" i="42"/>
  <c r="A1032" i="42"/>
  <c r="A1031" i="42"/>
  <c r="A1030" i="42"/>
  <c r="A1029" i="42"/>
  <c r="A1028" i="42"/>
  <c r="A1027" i="42"/>
  <c r="A1026" i="42"/>
  <c r="A1025" i="42"/>
  <c r="A1024" i="42"/>
  <c r="A1023" i="42"/>
  <c r="A1022" i="42"/>
  <c r="A1021" i="42"/>
  <c r="A1020" i="42"/>
  <c r="A1019" i="42"/>
  <c r="A1018" i="42"/>
  <c r="A1017" i="42"/>
  <c r="A1016" i="42"/>
  <c r="A1015" i="42"/>
  <c r="A1014" i="42"/>
  <c r="A1013" i="42"/>
  <c r="A1012" i="42"/>
  <c r="A1011" i="42"/>
  <c r="A1010" i="42"/>
  <c r="A1009" i="42"/>
  <c r="A1008" i="42"/>
  <c r="A1007" i="42"/>
  <c r="A1006" i="42"/>
  <c r="A1005" i="42"/>
  <c r="A1004" i="42"/>
  <c r="A1003" i="42"/>
  <c r="A1002" i="42"/>
  <c r="A1001" i="42"/>
  <c r="A1000" i="42"/>
  <c r="A999" i="42"/>
  <c r="A998" i="42"/>
  <c r="A997" i="42"/>
  <c r="A996" i="42"/>
  <c r="A995" i="42"/>
  <c r="A994" i="42"/>
  <c r="A993" i="42"/>
  <c r="A992" i="42"/>
  <c r="A991" i="42"/>
  <c r="A990" i="42"/>
  <c r="A989" i="42"/>
  <c r="A988" i="42"/>
  <c r="A987" i="42"/>
  <c r="A986" i="42"/>
  <c r="A985" i="42"/>
  <c r="A984" i="42"/>
  <c r="A983" i="42"/>
  <c r="A982" i="42"/>
  <c r="A981" i="42"/>
  <c r="A980" i="42"/>
  <c r="A979" i="42"/>
  <c r="A978" i="42"/>
  <c r="A977" i="42"/>
  <c r="A976" i="42"/>
  <c r="A975" i="42"/>
  <c r="A974" i="42"/>
  <c r="A973" i="42"/>
  <c r="A972" i="42"/>
  <c r="A971" i="42"/>
  <c r="A970" i="42"/>
  <c r="A969" i="42"/>
  <c r="A968" i="42"/>
  <c r="A967" i="42"/>
  <c r="A966" i="42"/>
  <c r="A965" i="42"/>
  <c r="A964" i="42"/>
  <c r="A963" i="42"/>
  <c r="A962" i="42"/>
  <c r="A961" i="42"/>
  <c r="A960" i="42"/>
  <c r="A959" i="42"/>
  <c r="A958" i="42"/>
  <c r="A957" i="42"/>
  <c r="A956" i="42"/>
  <c r="A955" i="42"/>
  <c r="A954" i="42"/>
  <c r="A953" i="42"/>
  <c r="A952" i="42"/>
  <c r="A951" i="42"/>
  <c r="A950" i="42"/>
  <c r="A949" i="42"/>
  <c r="A948" i="42"/>
  <c r="A947" i="42"/>
  <c r="A946" i="42"/>
  <c r="A945" i="42"/>
  <c r="A944" i="42"/>
  <c r="A943" i="42"/>
  <c r="A942" i="42"/>
  <c r="A941" i="42"/>
  <c r="A940" i="42"/>
  <c r="A939" i="42"/>
  <c r="A938" i="42"/>
  <c r="A937" i="42"/>
  <c r="A936" i="42"/>
  <c r="A935" i="42"/>
  <c r="A934" i="42"/>
  <c r="A933" i="42"/>
  <c r="A932" i="42"/>
  <c r="A931" i="42"/>
  <c r="A930" i="42"/>
  <c r="A929" i="42"/>
  <c r="A928" i="42"/>
  <c r="A927" i="42"/>
  <c r="A926" i="42"/>
  <c r="A925" i="42"/>
  <c r="A924" i="42"/>
  <c r="A923" i="42"/>
  <c r="A922" i="42"/>
  <c r="A921" i="42"/>
  <c r="A920" i="42"/>
  <c r="A919" i="42"/>
  <c r="A918" i="42"/>
  <c r="A917" i="42"/>
  <c r="A916" i="42"/>
  <c r="A915" i="42"/>
  <c r="A914" i="42"/>
  <c r="A913" i="42"/>
  <c r="A912" i="42"/>
  <c r="A911" i="42"/>
  <c r="A910" i="42"/>
  <c r="A909" i="42"/>
  <c r="A908" i="42"/>
  <c r="A907" i="42"/>
  <c r="A906" i="42"/>
  <c r="A905" i="42"/>
  <c r="A904" i="42"/>
  <c r="A903" i="42"/>
  <c r="A902" i="42"/>
  <c r="A901" i="42"/>
  <c r="A900" i="42"/>
  <c r="A899" i="42"/>
  <c r="A898" i="42"/>
  <c r="A897" i="42"/>
  <c r="A896" i="42"/>
  <c r="A895" i="42"/>
  <c r="A894" i="42"/>
  <c r="A893" i="42"/>
  <c r="A892" i="42"/>
  <c r="A891" i="42"/>
  <c r="A890" i="42"/>
  <c r="A889" i="42"/>
  <c r="A888" i="42"/>
  <c r="A887" i="42"/>
  <c r="A886" i="42"/>
  <c r="A885" i="42"/>
  <c r="A884" i="42"/>
  <c r="A883" i="42"/>
  <c r="A882" i="42"/>
  <c r="A881" i="42"/>
  <c r="A880" i="42"/>
  <c r="A879" i="42"/>
  <c r="A878" i="42"/>
  <c r="A877" i="42"/>
  <c r="A876" i="42"/>
  <c r="A875" i="42"/>
  <c r="A874" i="42"/>
  <c r="A873" i="42"/>
  <c r="A872" i="42"/>
  <c r="A871" i="42"/>
  <c r="A870" i="42"/>
  <c r="A869" i="42"/>
  <c r="A868" i="42"/>
  <c r="A867" i="42"/>
  <c r="A866" i="42"/>
  <c r="A865" i="42"/>
  <c r="A864" i="42"/>
  <c r="A863" i="42"/>
  <c r="A862" i="42"/>
  <c r="A861" i="42"/>
  <c r="A860" i="42"/>
  <c r="A859" i="42"/>
  <c r="A858" i="42"/>
  <c r="A857" i="42"/>
  <c r="A856" i="42"/>
  <c r="A855" i="42"/>
  <c r="A854" i="42"/>
  <c r="A853" i="42"/>
  <c r="A852" i="42"/>
  <c r="A851" i="42"/>
  <c r="A850" i="42"/>
  <c r="A849" i="42"/>
  <c r="A848" i="42"/>
  <c r="A847" i="42"/>
  <c r="A846" i="42"/>
  <c r="A845" i="42"/>
  <c r="A844" i="42"/>
  <c r="A843" i="42"/>
  <c r="A842" i="42"/>
  <c r="A841" i="42"/>
  <c r="A840" i="42"/>
  <c r="A839" i="42"/>
  <c r="A838" i="42"/>
  <c r="A837" i="42"/>
  <c r="A836" i="42"/>
  <c r="A835" i="42"/>
  <c r="A834" i="42"/>
  <c r="A833" i="42"/>
  <c r="A832" i="42"/>
  <c r="A831" i="42"/>
  <c r="A830" i="42"/>
  <c r="A829" i="42"/>
  <c r="A828" i="42"/>
  <c r="A827" i="42"/>
  <c r="A826" i="42"/>
  <c r="A825" i="42"/>
  <c r="A824" i="42"/>
  <c r="A823" i="42"/>
  <c r="A822" i="42"/>
  <c r="A821" i="42"/>
  <c r="A820" i="42"/>
  <c r="A819" i="42"/>
  <c r="A818" i="42"/>
  <c r="A817" i="42"/>
  <c r="A816" i="42"/>
  <c r="A815" i="42"/>
  <c r="A814" i="42"/>
  <c r="A813" i="42"/>
  <c r="A812" i="42"/>
  <c r="A811" i="42"/>
  <c r="A810" i="42"/>
  <c r="A809" i="42"/>
  <c r="A808" i="42"/>
  <c r="A807" i="42"/>
  <c r="A806" i="42"/>
  <c r="A805" i="42"/>
  <c r="A804" i="42"/>
  <c r="A803" i="42"/>
  <c r="A802" i="42"/>
  <c r="A801" i="42"/>
  <c r="A800" i="42"/>
  <c r="A799" i="42"/>
  <c r="A798" i="42"/>
  <c r="A797" i="42"/>
  <c r="A796" i="42"/>
  <c r="A795" i="42"/>
  <c r="A794" i="42"/>
  <c r="A793" i="42"/>
  <c r="A792" i="42"/>
  <c r="A791" i="42"/>
  <c r="A790" i="42"/>
  <c r="A789" i="42"/>
  <c r="A788" i="42"/>
  <c r="A787" i="42"/>
  <c r="A786" i="42"/>
  <c r="A785" i="42"/>
  <c r="A784" i="42"/>
  <c r="A783" i="42"/>
  <c r="A782" i="42"/>
  <c r="A781" i="42"/>
  <c r="A780" i="42"/>
  <c r="A779" i="42"/>
  <c r="A778" i="42"/>
  <c r="A777" i="42"/>
  <c r="A776" i="42"/>
  <c r="A775" i="42"/>
  <c r="A774" i="42"/>
  <c r="A773" i="42"/>
  <c r="A772" i="42"/>
  <c r="A771" i="42"/>
  <c r="A770" i="42"/>
  <c r="A769" i="42"/>
  <c r="A768" i="42"/>
  <c r="A767" i="42"/>
  <c r="A766" i="42"/>
  <c r="A765" i="42"/>
  <c r="A764" i="42"/>
  <c r="A763" i="42"/>
  <c r="A762" i="42"/>
  <c r="A761" i="42"/>
  <c r="A760" i="42"/>
  <c r="A759" i="42"/>
  <c r="A758" i="42"/>
  <c r="A757" i="42"/>
  <c r="A756" i="42"/>
  <c r="A755" i="42"/>
  <c r="A754" i="42"/>
  <c r="A753" i="42"/>
  <c r="A752" i="42"/>
  <c r="A751" i="42"/>
  <c r="A750" i="42"/>
  <c r="A749" i="42"/>
  <c r="A748" i="42"/>
  <c r="A747" i="42"/>
  <c r="A746" i="42"/>
  <c r="A745" i="42"/>
  <c r="A744" i="42"/>
  <c r="A743" i="42"/>
  <c r="A742" i="42"/>
  <c r="A741" i="42"/>
  <c r="A740" i="42"/>
  <c r="A739" i="42"/>
  <c r="A738" i="42"/>
  <c r="A737" i="42"/>
  <c r="A736" i="42"/>
  <c r="A735" i="42"/>
  <c r="A734" i="42"/>
  <c r="A733" i="42"/>
  <c r="A732" i="42"/>
  <c r="A731" i="42"/>
  <c r="A730" i="42"/>
  <c r="A729" i="42"/>
  <c r="A728" i="42"/>
  <c r="A727" i="42"/>
  <c r="A726" i="42"/>
  <c r="A725" i="42"/>
  <c r="A724" i="42"/>
  <c r="A723" i="42"/>
  <c r="A722" i="42"/>
  <c r="A721" i="42"/>
  <c r="A720" i="42"/>
  <c r="A719" i="42"/>
  <c r="A718" i="42"/>
  <c r="A717" i="42"/>
  <c r="A716" i="42"/>
  <c r="A715" i="42"/>
  <c r="A714" i="42"/>
  <c r="A713" i="42"/>
  <c r="A712" i="42"/>
  <c r="A711" i="42"/>
  <c r="A710" i="42"/>
  <c r="A709" i="42"/>
  <c r="A708" i="42"/>
  <c r="A707" i="42"/>
  <c r="A706" i="42"/>
  <c r="A705" i="42"/>
  <c r="A704" i="42"/>
  <c r="A703" i="42"/>
  <c r="A702" i="42"/>
  <c r="A701" i="42"/>
  <c r="A700" i="42"/>
  <c r="A699" i="42"/>
  <c r="A698" i="42"/>
  <c r="A697" i="42"/>
  <c r="A696" i="42"/>
  <c r="A695" i="42"/>
  <c r="A694" i="42"/>
  <c r="A693" i="42"/>
  <c r="A692" i="42"/>
  <c r="A691" i="42"/>
  <c r="A690" i="42"/>
  <c r="A689" i="42"/>
  <c r="A688" i="42"/>
  <c r="A687" i="42"/>
  <c r="A686" i="42"/>
  <c r="A685" i="42"/>
  <c r="A684" i="42"/>
  <c r="A683" i="42"/>
  <c r="A682" i="42"/>
  <c r="A681" i="42"/>
  <c r="A680" i="42"/>
  <c r="A679" i="42"/>
  <c r="A678" i="42"/>
  <c r="A677" i="42"/>
  <c r="A676" i="42"/>
  <c r="A675" i="42"/>
  <c r="A674" i="42"/>
  <c r="A673" i="42"/>
  <c r="A672" i="42"/>
  <c r="A671" i="42"/>
  <c r="A670" i="42"/>
  <c r="A669" i="42"/>
  <c r="A668" i="42"/>
  <c r="A667" i="42"/>
  <c r="A666" i="42"/>
  <c r="A665" i="42"/>
  <c r="A664" i="42"/>
  <c r="A663" i="42"/>
  <c r="A662" i="42"/>
  <c r="A661" i="42"/>
  <c r="A660" i="42"/>
  <c r="A659" i="42"/>
  <c r="A658" i="42"/>
  <c r="A657" i="42"/>
  <c r="A656" i="42"/>
  <c r="A655" i="42"/>
  <c r="A654" i="42"/>
  <c r="A653" i="42"/>
  <c r="A652" i="42"/>
  <c r="A651" i="42"/>
  <c r="A650" i="42"/>
  <c r="A649" i="42"/>
  <c r="A648" i="42"/>
  <c r="A647" i="42"/>
  <c r="A646" i="42"/>
  <c r="A645" i="42"/>
  <c r="A644" i="42"/>
  <c r="A643" i="42"/>
  <c r="A642" i="42"/>
  <c r="A641" i="42"/>
  <c r="A640" i="42"/>
  <c r="A639" i="42"/>
  <c r="A638" i="42"/>
  <c r="A637" i="42"/>
  <c r="A636" i="42"/>
  <c r="A635" i="42"/>
  <c r="A634" i="42"/>
  <c r="A633" i="42"/>
  <c r="A632" i="42"/>
  <c r="A631" i="42"/>
  <c r="A630" i="42"/>
  <c r="A629" i="42"/>
  <c r="A628" i="42"/>
  <c r="A627" i="42"/>
  <c r="A626" i="42"/>
  <c r="A625" i="42"/>
  <c r="A624" i="42"/>
  <c r="A623" i="42"/>
  <c r="A622" i="42"/>
  <c r="A621" i="42"/>
  <c r="A620" i="42"/>
  <c r="A619" i="42"/>
  <c r="A618" i="42"/>
  <c r="A617" i="42"/>
  <c r="A616" i="42"/>
  <c r="A615" i="42"/>
  <c r="A614" i="42"/>
  <c r="A613" i="42"/>
  <c r="A612" i="42"/>
  <c r="A611" i="42"/>
  <c r="A610" i="42"/>
  <c r="A609" i="42"/>
  <c r="A608" i="42"/>
  <c r="A607" i="42"/>
  <c r="A606" i="42"/>
  <c r="A605" i="42"/>
  <c r="A604" i="42"/>
  <c r="A603" i="42"/>
  <c r="A602" i="42"/>
  <c r="A601" i="42"/>
  <c r="A600" i="42"/>
  <c r="A599" i="42"/>
  <c r="A598" i="42"/>
  <c r="A597" i="42"/>
  <c r="A596" i="42"/>
  <c r="A595" i="42"/>
  <c r="A594" i="42"/>
  <c r="A593" i="42"/>
  <c r="A592" i="42"/>
  <c r="A591" i="42"/>
  <c r="A590" i="42"/>
  <c r="A589" i="42"/>
  <c r="A588" i="42"/>
  <c r="A587" i="42"/>
  <c r="A586" i="42"/>
  <c r="A585" i="42"/>
  <c r="A584" i="42"/>
  <c r="A583" i="42"/>
  <c r="A582" i="42"/>
  <c r="A581" i="42"/>
  <c r="A580" i="42"/>
  <c r="A579" i="42"/>
  <c r="A578" i="42"/>
  <c r="A577" i="42"/>
  <c r="A576" i="42"/>
  <c r="A575" i="42"/>
  <c r="A574" i="42"/>
  <c r="A573" i="42"/>
  <c r="A572" i="42"/>
  <c r="A571" i="42"/>
  <c r="A570" i="42"/>
  <c r="A569" i="42"/>
  <c r="A568" i="42"/>
  <c r="A567" i="42"/>
  <c r="A566" i="42"/>
  <c r="A565" i="42"/>
  <c r="A564" i="42"/>
  <c r="A563" i="42"/>
  <c r="A562" i="42"/>
  <c r="A561" i="42"/>
  <c r="A560" i="42"/>
  <c r="A559" i="42"/>
  <c r="A558" i="42"/>
  <c r="A557" i="42"/>
  <c r="A556" i="42"/>
  <c r="A555" i="42"/>
  <c r="A554" i="42"/>
  <c r="A553" i="42"/>
  <c r="A552" i="42"/>
  <c r="A551" i="42"/>
  <c r="A550" i="42"/>
  <c r="A549" i="42"/>
  <c r="A548" i="42"/>
  <c r="A547" i="42"/>
  <c r="A546" i="42"/>
  <c r="A545" i="42"/>
  <c r="A544" i="42"/>
  <c r="A543" i="42"/>
  <c r="A542" i="42"/>
  <c r="A541" i="42"/>
  <c r="A540" i="42"/>
  <c r="A539" i="42"/>
  <c r="A538" i="42"/>
  <c r="A537" i="42"/>
  <c r="A536" i="42"/>
  <c r="A535" i="42"/>
  <c r="A534" i="42"/>
  <c r="A533" i="42"/>
  <c r="A532" i="42"/>
  <c r="A531" i="42"/>
  <c r="A530" i="42"/>
  <c r="A529" i="42"/>
  <c r="A528" i="42"/>
  <c r="A527" i="42"/>
  <c r="A526" i="42"/>
  <c r="A525" i="42"/>
  <c r="A524" i="42"/>
  <c r="A523" i="42"/>
  <c r="A522" i="42"/>
  <c r="A521" i="42"/>
  <c r="A520" i="42"/>
  <c r="A519" i="42"/>
  <c r="A518" i="42"/>
  <c r="A517" i="42"/>
  <c r="A516" i="42"/>
  <c r="A515" i="42"/>
  <c r="A514" i="42"/>
  <c r="A513" i="42"/>
  <c r="A512" i="42"/>
  <c r="A511" i="42"/>
  <c r="A510" i="42"/>
  <c r="A509" i="42"/>
  <c r="A508" i="42"/>
  <c r="A507" i="42"/>
  <c r="A506" i="42"/>
  <c r="A505" i="42"/>
  <c r="A504" i="42"/>
  <c r="A503" i="42"/>
  <c r="A502" i="42"/>
  <c r="A501" i="42"/>
  <c r="A500" i="42"/>
  <c r="A499" i="42"/>
  <c r="A498" i="42"/>
  <c r="A497" i="42"/>
  <c r="A496" i="42"/>
  <c r="A495" i="42"/>
  <c r="A494" i="42"/>
  <c r="A493" i="42"/>
  <c r="A492" i="42"/>
  <c r="A491" i="42"/>
  <c r="A490" i="42"/>
  <c r="A489" i="42"/>
  <c r="A488" i="42"/>
  <c r="A487" i="42"/>
  <c r="A486" i="42"/>
  <c r="A485" i="42"/>
  <c r="A484" i="42"/>
  <c r="A483" i="42"/>
  <c r="A482" i="42"/>
  <c r="A481" i="42"/>
  <c r="A480" i="42"/>
  <c r="A479" i="42"/>
  <c r="A478" i="42"/>
  <c r="A477" i="42"/>
  <c r="A476" i="42"/>
  <c r="A475" i="42"/>
  <c r="A474" i="42"/>
  <c r="A473" i="42"/>
  <c r="A472" i="42"/>
  <c r="A471" i="42"/>
  <c r="A470" i="42"/>
  <c r="A469" i="42"/>
  <c r="A468" i="42"/>
  <c r="A467" i="42"/>
  <c r="A466" i="42"/>
  <c r="A465" i="42"/>
  <c r="A464" i="42"/>
  <c r="A463" i="42"/>
  <c r="A462" i="42"/>
  <c r="A461" i="42"/>
  <c r="A460" i="42"/>
  <c r="A459" i="42"/>
  <c r="A458" i="42"/>
  <c r="A457" i="42"/>
  <c r="A456" i="42"/>
  <c r="A455" i="42"/>
  <c r="A454" i="42"/>
  <c r="A453" i="42"/>
  <c r="A452" i="42"/>
  <c r="A451" i="42"/>
  <c r="A450" i="42"/>
  <c r="A449" i="42"/>
  <c r="A448" i="42"/>
  <c r="A447" i="42"/>
  <c r="A446" i="42"/>
  <c r="A445" i="42"/>
  <c r="A444" i="42"/>
  <c r="A443" i="42"/>
  <c r="A442" i="42"/>
  <c r="A441" i="42"/>
  <c r="A440" i="42"/>
  <c r="A439" i="42"/>
  <c r="A438" i="42"/>
  <c r="A437" i="42"/>
  <c r="A436" i="42"/>
  <c r="A435" i="42"/>
  <c r="A434" i="42"/>
  <c r="A433" i="42"/>
  <c r="A432" i="42"/>
  <c r="A431" i="42"/>
  <c r="A430" i="42"/>
  <c r="A429" i="42"/>
  <c r="A428" i="42"/>
  <c r="A427" i="42"/>
  <c r="A426" i="42"/>
  <c r="A425" i="42"/>
  <c r="A424" i="42"/>
  <c r="A423" i="42"/>
  <c r="A422" i="42"/>
  <c r="A421" i="42"/>
  <c r="A420" i="42"/>
  <c r="A419" i="42"/>
  <c r="A418" i="42"/>
  <c r="A417" i="42"/>
  <c r="A416" i="42"/>
  <c r="A415" i="42"/>
  <c r="A414" i="42"/>
  <c r="A413" i="42"/>
  <c r="A412" i="42"/>
  <c r="A411" i="42"/>
  <c r="A410" i="42"/>
  <c r="A409" i="42"/>
  <c r="A408" i="42"/>
  <c r="A407" i="42"/>
  <c r="A406" i="42"/>
  <c r="A405" i="42"/>
  <c r="A404" i="42"/>
  <c r="A403" i="42"/>
  <c r="A402" i="42"/>
  <c r="A401" i="42"/>
  <c r="A400" i="42"/>
  <c r="A399" i="42"/>
  <c r="A398" i="42"/>
  <c r="A397" i="42"/>
  <c r="A396" i="42"/>
  <c r="A395" i="42"/>
  <c r="A394" i="42"/>
  <c r="A393" i="42"/>
  <c r="A392" i="42"/>
  <c r="A391" i="42"/>
  <c r="A390" i="42"/>
  <c r="A389" i="42"/>
  <c r="A388" i="42"/>
  <c r="A387" i="42"/>
  <c r="A386" i="42"/>
  <c r="A385" i="42"/>
  <c r="A384" i="42"/>
  <c r="A383" i="42"/>
  <c r="A382" i="42"/>
  <c r="A381" i="42"/>
  <c r="A380" i="42"/>
  <c r="A379" i="42"/>
  <c r="A378" i="42"/>
  <c r="A377" i="42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A3" i="42"/>
  <c r="A2" i="42"/>
  <c r="A1" i="42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4" i="41"/>
  <c r="A3" i="41"/>
  <c r="A2" i="41"/>
  <c r="A1" i="41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3" i="40"/>
  <c r="A2" i="40"/>
  <c r="A1" i="40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A3" i="39"/>
  <c r="A2" i="39"/>
  <c r="A1" i="39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A2" i="38"/>
  <c r="A1" i="38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A3" i="37"/>
  <c r="A2" i="37"/>
  <c r="A1" i="37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A2" i="36"/>
  <c r="A1" i="36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A2" i="35"/>
  <c r="A1" i="35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A2" i="34"/>
  <c r="A1" i="34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A1" i="33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A3" i="32"/>
  <c r="A2" i="32"/>
  <c r="A1" i="32"/>
  <c r="A27" i="31"/>
  <c r="A26" i="31"/>
  <c r="A25" i="31"/>
  <c r="A24" i="31"/>
  <c r="A23" i="31"/>
  <c r="A22" i="31"/>
  <c r="A20" i="31"/>
  <c r="A19" i="31"/>
  <c r="A18" i="31"/>
  <c r="A17" i="31"/>
  <c r="A14" i="31"/>
  <c r="A13" i="31"/>
  <c r="A12" i="31"/>
  <c r="A11" i="31"/>
  <c r="A10" i="31"/>
  <c r="A9" i="31"/>
  <c r="A8" i="31"/>
  <c r="A7" i="31"/>
  <c r="A6" i="31"/>
  <c r="A5" i="31"/>
  <c r="A4" i="31"/>
  <c r="A3" i="31"/>
  <c r="A2" i="31"/>
  <c r="A1" i="31"/>
  <c r="A29" i="30"/>
  <c r="A28" i="30"/>
  <c r="A27" i="30"/>
  <c r="A26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2" i="30"/>
  <c r="A1" i="30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1" i="29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1" i="28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1" i="27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  <c r="A1" i="26"/>
  <c r="A29" i="25"/>
  <c r="A28" i="25"/>
  <c r="A27" i="25"/>
  <c r="A26" i="25"/>
  <c r="A25" i="25"/>
  <c r="A24" i="25"/>
  <c r="A23" i="25"/>
  <c r="A21" i="25"/>
  <c r="A20" i="25"/>
  <c r="A19" i="25"/>
  <c r="A18" i="25"/>
  <c r="A17" i="25"/>
  <c r="A16" i="25"/>
  <c r="A15" i="25"/>
  <c r="A14" i="25"/>
  <c r="A13" i="25"/>
  <c r="A12" i="25"/>
  <c r="A11" i="25"/>
  <c r="A7" i="25"/>
  <c r="A6" i="25"/>
  <c r="A5" i="25"/>
  <c r="A4" i="25"/>
  <c r="A3" i="25"/>
  <c r="A2" i="25"/>
  <c r="A1" i="25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1" i="24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" i="23"/>
  <c r="A30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5" i="22"/>
  <c r="A4" i="22"/>
  <c r="A3" i="22"/>
  <c r="A2" i="22"/>
  <c r="A1" i="22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4" i="21"/>
  <c r="A12" i="21"/>
  <c r="A11" i="21"/>
  <c r="A10" i="21"/>
  <c r="A9" i="21"/>
  <c r="A8" i="21"/>
  <c r="A7" i="21"/>
  <c r="A6" i="21"/>
  <c r="A5" i="21"/>
  <c r="A4" i="21"/>
  <c r="A3" i="21"/>
  <c r="A2" i="21"/>
  <c r="A1" i="21"/>
  <c r="A64" i="20"/>
  <c r="A63" i="20"/>
  <c r="A62" i="20"/>
  <c r="A61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1" i="20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1" i="19"/>
  <c r="A80" i="18"/>
  <c r="A79" i="18"/>
  <c r="A78" i="18"/>
  <c r="A77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6" i="18"/>
  <c r="A25" i="18"/>
  <c r="A24" i="18"/>
  <c r="A23" i="18"/>
  <c r="A22" i="18"/>
  <c r="A21" i="18"/>
  <c r="A20" i="18"/>
  <c r="A19" i="18"/>
  <c r="A18" i="18"/>
  <c r="A17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1" i="18"/>
  <c r="L2" i="16"/>
  <c r="E3" i="15"/>
  <c r="F2" i="15"/>
  <c r="A18" i="14"/>
  <c r="A17" i="14"/>
  <c r="A7" i="5"/>
  <c r="A6" i="5"/>
  <c r="A5" i="5"/>
  <c r="A4" i="5"/>
  <c r="A3" i="5"/>
  <c r="A2" i="5"/>
  <c r="A1" i="5"/>
  <c r="B5" i="1"/>
  <c r="A29" i="102" l="1"/>
  <c r="A28" i="102"/>
  <c r="A16" i="102"/>
  <c r="A24" i="102"/>
  <c r="A23" i="102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A2" i="90"/>
  <c r="A1" i="90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A4" i="89"/>
  <c r="A3" i="89"/>
  <c r="A2" i="89"/>
  <c r="A1" i="89"/>
  <c r="A10" i="22"/>
  <c r="A15" i="21"/>
  <c r="A60" i="20"/>
  <c r="A28" i="22"/>
  <c r="A16" i="21"/>
  <c r="A29" i="22"/>
  <c r="A13" i="22"/>
  <c r="A32" i="21"/>
  <c r="A76" i="18"/>
  <c r="A12" i="22"/>
  <c r="A33" i="21"/>
  <c r="A18" i="23"/>
  <c r="A14" i="22"/>
  <c r="A8" i="22"/>
  <c r="A7" i="22"/>
  <c r="A13" i="21"/>
  <c r="A9" i="22"/>
  <c r="A6" i="22"/>
  <c r="A25" i="30"/>
  <c r="A24" i="30"/>
  <c r="A22" i="25"/>
  <c r="A10" i="25"/>
  <c r="A9" i="25"/>
  <c r="A8" i="25"/>
  <c r="A11" i="2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<sst xmlns="http://schemas.openxmlformats.org/spreadsheetml/2006/main" count="74" uniqueCount="53">
  <si>
    <t>abc</t>
  </si>
  <si>
    <t>10</t>
  </si>
  <si>
    <t>Apple</t>
  </si>
  <si>
    <t>apple</t>
  </si>
  <si>
    <t>x</t>
  </si>
  <si>
    <t>y</t>
  </si>
  <si>
    <t>z</t>
  </si>
  <si>
    <t>w</t>
  </si>
  <si>
    <t>Name</t>
  </si>
  <si>
    <t>pen</t>
  </si>
  <si>
    <t>book</t>
  </si>
  <si>
    <t>ink</t>
  </si>
  <si>
    <t>Qty</t>
  </si>
  <si>
    <t>Price</t>
  </si>
  <si>
    <t>10.0</t>
  </si>
  <si>
    <t>ß</t>
  </si>
  <si>
    <t>ss</t>
  </si>
  <si>
    <t>SS</t>
  </si>
  <si>
    <t>æ</t>
  </si>
  <si>
    <t>ae</t>
  </si>
  <si>
    <t>é</t>
  </si>
  <si>
    <t>e</t>
  </si>
  <si>
    <t>TRUE</t>
  </si>
  <si>
    <t>5</t>
  </si>
  <si>
    <t>*</t>
  </si>
  <si>
    <t>a*e</t>
  </si>
  <si>
    <t xml:space="preserve"> 10</t>
  </si>
  <si>
    <t>1/2/2020</t>
  </si>
  <si>
    <t>Tree</t>
  </si>
  <si>
    <t>Height</t>
  </si>
  <si>
    <t>Age</t>
  </si>
  <si>
    <t>Yield</t>
  </si>
  <si>
    <t>Profit</t>
  </si>
  <si>
    <t>Pear</t>
  </si>
  <si>
    <t>Cherry</t>
  </si>
  <si>
    <t>Plum</t>
  </si>
  <si>
    <t>&gt;10</t>
  </si>
  <si>
    <t>=12</t>
  </si>
  <si>
    <t>Rich</t>
  </si>
  <si>
    <t>&lt;&gt;Plum</t>
  </si>
  <si>
    <t>P*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</si>
  <si>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</si>
  <si>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</si>
  <si>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</si>
  <si>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</si>
  <si>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</si>
  <si>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</si>
  <si>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</si>
  <si>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</si>
  <si>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</si>
  <si>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</si>
  <si>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&gt;0</t>
  </si>
  <si>
    <t>16.0 20326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</si>
</sst>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8" fontId="0" fillId="0" borderId="0" xfId="0" applyNumberFormat="1"/>
    <xf numFmtId="8" fontId="0" fillId="0" borderId="0" xfId="0" applyNumberFormat="1"/>
    <xf numFmtId="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microsoft.com/office/2017/06/relationships/rdRichValueStructure" Target="richData/rdrichvaluestructure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139" Type="http://schemas.microsoft.com/office/2017/06/relationships/rdRichValueTypes" Target="richData/rdRichValueTyp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#N/A</fb>
    <v>6</v>
    <v>7</v>
  </rv>
  <rv s="0">
    <v>2</v>
    <v>56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9E8B-6623-4C2A-AE87-0E6CBDC45E1D}">
  <sheetPr codeName="Sheet1"/>
  <dimension ref="A1:H10"/>
  <sheetViews>
    <sheetView workbookViewId="0"/>
  </sheetViews>
  <sheetFormatPr defaultRowHeight="14.5" x14ac:dyDescent="0.35"/>
  <sheetData>
    <row r="1" spans="1:8" x14ac:dyDescent="0.35">
      <c r="A1">
        <v>1</v>
      </c>
      <c r="B1" t="s">
        <v>0</v>
      </c>
      <c r="C1" t="s">
        <v>4</v>
      </c>
      <c r="D1">
        <v>10</v>
      </c>
      <c r="F1" t="s">
        <v>8</v>
      </c>
      <c r="G1" t="s">
        <v>12</v>
      </c>
      <c r="H1" t="s">
        <v>13</v>
      </c>
    </row>
    <row r="2" spans="1:8" x14ac:dyDescent="0.35">
      <c r="A2">
        <v>2</v>
      </c>
      <c r="B2" t="s">
        <v>1</v>
      </c>
      <c r="C2" t="s">
        <v>5</v>
      </c>
      <c r="D2">
        <v>20</v>
      </c>
      <c r="F2" t="s">
        <v>9</v>
      </c>
      <c r="G2">
        <v>3</v>
      </c>
      <c r="H2">
        <v>1.5</v>
      </c>
    </row>
    <row r="3" spans="1:8" x14ac:dyDescent="0.35">
      <c r="A3">
        <v>3</v>
      </c>
      <c r="B3" t="b">
        <v>1</v>
      </c>
      <c r="C3" t="s">
        <v>6</v>
      </c>
      <c r="D3">
        <v>30</v>
      </c>
      <c r="F3" t="s">
        <v>10</v>
      </c>
      <c r="G3">
        <v>1</v>
      </c>
      <c r="H3">
        <v>12</v>
      </c>
    </row>
    <row r="4" spans="1:8" x14ac:dyDescent="0.35">
      <c r="A4">
        <v>4</v>
      </c>
      <c r="C4" t="s">
        <v>4</v>
      </c>
      <c r="D4">
        <v>40</v>
      </c>
      <c r="F4" t="s">
        <v>11</v>
      </c>
      <c r="G4">
        <v>5</v>
      </c>
      <c r="H4">
        <v>4.25</v>
      </c>
    </row>
    <row r="5" spans="1:8" x14ac:dyDescent="0.35">
      <c r="A5">
        <v>5</v>
      </c>
      <c r="B5" t="e">
        <f>NA()</f>
        <v>#N/A</v>
      </c>
      <c r="C5" t="s">
        <v>7</v>
      </c>
      <c r="D5">
        <v>50</v>
      </c>
    </row>
    <row r="6" spans="1:8" x14ac:dyDescent="0.35">
      <c r="A6">
        <v>6</v>
      </c>
      <c r="B6">
        <v>2.5</v>
      </c>
    </row>
    <row r="7" spans="1:8" x14ac:dyDescent="0.35">
      <c r="A7">
        <v>7</v>
      </c>
      <c r="B7">
        <v>-3</v>
      </c>
    </row>
    <row r="8" spans="1:8" x14ac:dyDescent="0.35">
      <c r="A8">
        <v>8</v>
      </c>
      <c r="B8" t="s">
        <v>2</v>
      </c>
    </row>
    <row r="9" spans="1:8" x14ac:dyDescent="0.35">
      <c r="A9">
        <v>9</v>
      </c>
      <c r="B9" t="s">
        <v>3</v>
      </c>
    </row>
    <row r="10" spans="1:8" x14ac:dyDescent="0.35">
      <c r="A10">
        <v>10</v>
      </c>
      <c r="B10" s="1">
        <v>43845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52</v>
      </c>
    </row>
    <row r="2" spans="1:1" x14ac:dyDescent="0.35">
      <c r="A2" s="2">
        <v>46288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0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1</v>
      </c>
    </row>
    <row r="3" spans="1:1" x14ac:dyDescent="0.35">
      <c r="A3">
        <v>-1</v>
      </c>
    </row>
    <row r="4" spans="1:1" x14ac:dyDescent="0.35">
      <c r="A4">
        <v>0.5</v>
      </c>
    </row>
    <row r="5" spans="1:1" x14ac:dyDescent="0.35">
      <c r="A5">
        <v>1.5</v>
      </c>
    </row>
    <row r="6" spans="1:1" x14ac:dyDescent="0.35">
      <c r="A6">
        <v>2.5</v>
      </c>
    </row>
    <row r="7" spans="1:1" x14ac:dyDescent="0.35">
      <c r="A7">
        <v>-2.5</v>
      </c>
    </row>
    <row r="8" spans="1:1" x14ac:dyDescent="0.35">
      <c r="A8">
        <v>0.1</v>
      </c>
    </row>
    <row r="9" spans="1:1" x14ac:dyDescent="0.35">
      <c r="A9">
        <v>0.2</v>
      </c>
    </row>
    <row r="10" spans="1:1" x14ac:dyDescent="0.35">
      <c r="A10">
        <v>0.3</v>
      </c>
    </row>
    <row r="11" spans="1:1" x14ac:dyDescent="0.35">
      <c r="A11">
        <v>0.30000000000000004</v>
      </c>
    </row>
    <row r="12" spans="1:1" x14ac:dyDescent="0.35">
      <c r="A12">
        <v>0.33333333333333331</v>
      </c>
    </row>
    <row r="13" spans="1:1" x14ac:dyDescent="0.35">
      <c r="A13">
        <v>0.66666666666666663</v>
      </c>
    </row>
    <row r="14" spans="1:1" x14ac:dyDescent="0.35">
      <c r="A14">
        <v>-0.33333333333333331</v>
      </c>
    </row>
    <row r="15" spans="1:1" x14ac:dyDescent="0.35">
      <c r="A15">
        <v>0.14285714285714285</v>
      </c>
    </row>
    <row r="16" spans="1:1" x14ac:dyDescent="0.35">
      <c r="A16">
        <v>3.1415926535897931</v>
      </c>
    </row>
    <row r="17" spans="1:1" x14ac:dyDescent="0.35">
      <c r="A17">
        <v>2.7182818284590451</v>
      </c>
    </row>
    <row r="18" spans="1:1" x14ac:dyDescent="0.35">
      <c r="A18">
        <v>1.4142135623730951</v>
      </c>
    </row>
    <row r="19" spans="1:1" x14ac:dyDescent="0.35">
      <c r="A19">
        <v>123456789012345</v>
      </c>
    </row>
    <row r="20" spans="1:1" x14ac:dyDescent="0.35">
      <c r="A20">
        <v>1234567890123456</v>
      </c>
    </row>
    <row r="21" spans="1:1" x14ac:dyDescent="0.35">
      <c r="A21">
        <v>1.2345678901234568E+16</v>
      </c>
    </row>
    <row r="22" spans="1:1" x14ac:dyDescent="0.35">
      <c r="A22">
        <v>999999999999999</v>
      </c>
    </row>
    <row r="23" spans="1:1" x14ac:dyDescent="0.35">
      <c r="A23">
        <v>9999999999999998</v>
      </c>
    </row>
    <row r="24" spans="1:1" x14ac:dyDescent="0.35">
      <c r="A24">
        <v>99999999999999.984</v>
      </c>
    </row>
    <row r="25" spans="1:1" x14ac:dyDescent="0.35">
      <c r="A25">
        <v>0.12345678901234559</v>
      </c>
    </row>
    <row r="26" spans="1:1" x14ac:dyDescent="0.35">
      <c r="A26">
        <v>1.2345678901234568E-5</v>
      </c>
    </row>
    <row r="27" spans="1:1" x14ac:dyDescent="0.35">
      <c r="A27">
        <v>9007199254740992</v>
      </c>
    </row>
    <row r="28" spans="1:1" x14ac:dyDescent="0.35">
      <c r="A28">
        <v>9007199254740994</v>
      </c>
    </row>
    <row r="29" spans="1:1" x14ac:dyDescent="0.35">
      <c r="A29">
        <v>9.2233720368547758E+18</v>
      </c>
    </row>
    <row r="30" spans="1:1" x14ac:dyDescent="0.35">
      <c r="A30">
        <v>1.7976931348623157E+308</v>
      </c>
    </row>
    <row r="31" spans="1:1" x14ac:dyDescent="0.35">
      <c r="A31">
        <v>2.2250738585072014E-308</v>
      </c>
    </row>
    <row r="32" spans="1:1" x14ac:dyDescent="0.35">
      <c r="A32">
        <v>9.9999999999999991E-308</v>
      </c>
    </row>
    <row r="33" spans="1:1" x14ac:dyDescent="0.35">
      <c r="A33">
        <v>0.99999999999999989</v>
      </c>
    </row>
    <row r="34" spans="1:1" x14ac:dyDescent="0.35">
      <c r="A34">
        <v>10</v>
      </c>
    </row>
    <row r="35" spans="1:1" x14ac:dyDescent="0.35">
      <c r="A35">
        <v>0.95</v>
      </c>
    </row>
    <row r="36" spans="1:1" x14ac:dyDescent="0.35">
      <c r="A36">
        <v>0.995</v>
      </c>
    </row>
    <row r="37" spans="1:1" x14ac:dyDescent="0.35">
      <c r="A37">
        <v>0.99950000000000006</v>
      </c>
    </row>
    <row r="38" spans="1:1" x14ac:dyDescent="0.35">
      <c r="A38">
        <v>0.99995000000000001</v>
      </c>
    </row>
    <row r="39" spans="1:1" x14ac:dyDescent="0.35">
      <c r="A39">
        <v>0.99999499999999997</v>
      </c>
    </row>
    <row r="40" spans="1:1" x14ac:dyDescent="0.35">
      <c r="A40">
        <v>0.99999950000000004</v>
      </c>
    </row>
    <row r="41" spans="1:1" x14ac:dyDescent="0.35">
      <c r="A41">
        <v>0.99999994999999997</v>
      </c>
    </row>
    <row r="42" spans="1:1" x14ac:dyDescent="0.35">
      <c r="A42">
        <v>0.99999999500000003</v>
      </c>
    </row>
    <row r="43" spans="1:1" x14ac:dyDescent="0.35">
      <c r="A43">
        <v>0.99999999949999996</v>
      </c>
    </row>
    <row r="44" spans="1:1" x14ac:dyDescent="0.35">
      <c r="A44">
        <v>0.99999999999999001</v>
      </c>
    </row>
    <row r="45" spans="1:1" x14ac:dyDescent="0.35">
      <c r="A45">
        <v>0.999999999999999</v>
      </c>
    </row>
    <row r="46" spans="1:1" x14ac:dyDescent="0.35">
      <c r="A46">
        <v>0.99999999999999944</v>
      </c>
    </row>
    <row r="47" spans="1:1" x14ac:dyDescent="0.35">
      <c r="A47">
        <v>1.2345678901234549</v>
      </c>
    </row>
    <row r="48" spans="1:1" x14ac:dyDescent="0.35">
      <c r="A48">
        <v>1.2345678901234551</v>
      </c>
    </row>
    <row r="49" spans="1:1" x14ac:dyDescent="0.35">
      <c r="A49">
        <v>123456.7890123455</v>
      </c>
    </row>
    <row r="50" spans="1:1" x14ac:dyDescent="0.35">
      <c r="A50">
        <v>1.2345678901234499E-4</v>
      </c>
    </row>
    <row r="51" spans="1:1" x14ac:dyDescent="0.35">
      <c r="A51">
        <v>1.2345678901234551E-4</v>
      </c>
    </row>
    <row r="52" spans="1:1" x14ac:dyDescent="0.35">
      <c r="A52">
        <v>9.9999999999999987E+20</v>
      </c>
    </row>
    <row r="53" spans="1:1" x14ac:dyDescent="0.35">
      <c r="A53">
        <v>1E+21</v>
      </c>
    </row>
    <row r="54" spans="1:1" x14ac:dyDescent="0.35">
      <c r="A54">
        <v>1.0000000000000002E+20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100</v>
      </c>
    </row>
    <row r="58" spans="1:1" x14ac:dyDescent="0.35">
      <c r="A58">
        <v>1000000</v>
      </c>
    </row>
    <row r="59" spans="1:1" x14ac:dyDescent="0.35">
      <c r="A59">
        <v>1E-3</v>
      </c>
    </row>
    <row r="60" spans="1:1" x14ac:dyDescent="0.35">
      <c r="A60">
        <v>1E-4</v>
      </c>
    </row>
    <row r="61" spans="1:1" x14ac:dyDescent="0.35">
      <c r="A61">
        <v>12345678901</v>
      </c>
    </row>
    <row r="62" spans="1:1" x14ac:dyDescent="0.35">
      <c r="A62">
        <v>123456789012</v>
      </c>
    </row>
    <row r="63" spans="1:1" x14ac:dyDescent="0.35">
      <c r="A63">
        <v>1234567890123</v>
      </c>
    </row>
    <row r="64" spans="1:1" x14ac:dyDescent="0.35">
      <c r="A64">
        <v>1.0000000000000001E-5</v>
      </c>
    </row>
    <row r="65" spans="1:1" x14ac:dyDescent="0.35">
      <c r="A65">
        <v>9.9999999999999995E-7</v>
      </c>
    </row>
    <row r="66" spans="1:1" x14ac:dyDescent="0.35">
      <c r="A66">
        <v>9.9999999999999995E-8</v>
      </c>
    </row>
    <row r="67" spans="1:1" x14ac:dyDescent="0.35">
      <c r="A67">
        <v>1.4999999999999999E-7</v>
      </c>
    </row>
    <row r="68" spans="1:1" x14ac:dyDescent="0.35">
      <c r="A68">
        <v>1.0000000000000001E-30</v>
      </c>
    </row>
    <row r="69" spans="1:1" x14ac:dyDescent="0.35">
      <c r="A69">
        <v>9.9999999999999994E-30</v>
      </c>
    </row>
    <row r="70" spans="1:1" x14ac:dyDescent="0.35">
      <c r="A70">
        <v>9.9999999999999997E-29</v>
      </c>
    </row>
    <row r="71" spans="1:1" x14ac:dyDescent="0.35">
      <c r="A71">
        <v>1E-27</v>
      </c>
    </row>
    <row r="72" spans="1:1" x14ac:dyDescent="0.35">
      <c r="A72">
        <v>1E-26</v>
      </c>
    </row>
    <row r="73" spans="1:1" x14ac:dyDescent="0.35">
      <c r="A73">
        <v>1E-25</v>
      </c>
    </row>
    <row r="74" spans="1:1" x14ac:dyDescent="0.35">
      <c r="A74">
        <v>9.9999999999999992E-25</v>
      </c>
    </row>
    <row r="75" spans="1:1" x14ac:dyDescent="0.35">
      <c r="A75">
        <v>9.9999999999999996E-24</v>
      </c>
    </row>
    <row r="76" spans="1:1" x14ac:dyDescent="0.35">
      <c r="A76">
        <v>1E-22</v>
      </c>
    </row>
    <row r="77" spans="1:1" x14ac:dyDescent="0.35">
      <c r="A77">
        <v>9.9999999999999991E-22</v>
      </c>
    </row>
    <row r="78" spans="1:1" x14ac:dyDescent="0.35">
      <c r="A78">
        <v>9.9999999999999995E-21</v>
      </c>
    </row>
    <row r="79" spans="1:1" x14ac:dyDescent="0.35">
      <c r="A79">
        <v>9.9999999999999998E-20</v>
      </c>
    </row>
    <row r="80" spans="1:1" x14ac:dyDescent="0.35">
      <c r="A80">
        <v>1.0000000000000001E-18</v>
      </c>
    </row>
    <row r="81" spans="1:1" x14ac:dyDescent="0.35">
      <c r="A81">
        <v>1.0000000000000001E-17</v>
      </c>
    </row>
    <row r="82" spans="1:1" x14ac:dyDescent="0.35">
      <c r="A82">
        <v>9.9999999999999998E-17</v>
      </c>
    </row>
    <row r="83" spans="1:1" x14ac:dyDescent="0.35">
      <c r="A83">
        <v>1.0000000000000001E-15</v>
      </c>
    </row>
    <row r="84" spans="1:1" x14ac:dyDescent="0.35">
      <c r="A84">
        <v>1E-14</v>
      </c>
    </row>
    <row r="85" spans="1:1" x14ac:dyDescent="0.35">
      <c r="A85">
        <v>1E-13</v>
      </c>
    </row>
    <row r="86" spans="1:1" x14ac:dyDescent="0.35">
      <c r="A86">
        <v>9.9999999999999998E-13</v>
      </c>
    </row>
    <row r="87" spans="1:1" x14ac:dyDescent="0.35">
      <c r="A87">
        <v>9.9999999999999994E-12</v>
      </c>
    </row>
    <row r="88" spans="1:1" x14ac:dyDescent="0.35">
      <c r="A88">
        <v>1E-10</v>
      </c>
    </row>
    <row r="89" spans="1:1" x14ac:dyDescent="0.35">
      <c r="A89">
        <v>1.0000000000000001E-9</v>
      </c>
    </row>
    <row r="90" spans="1:1" x14ac:dyDescent="0.35">
      <c r="A90">
        <v>1E-8</v>
      </c>
    </row>
    <row r="91" spans="1:1" x14ac:dyDescent="0.35">
      <c r="A91">
        <v>0.01</v>
      </c>
    </row>
    <row r="92" spans="1:1" x14ac:dyDescent="0.35">
      <c r="A92">
        <v>1000</v>
      </c>
    </row>
    <row r="93" spans="1:1" x14ac:dyDescent="0.35">
      <c r="A93">
        <v>10000</v>
      </c>
    </row>
    <row r="94" spans="1:1" x14ac:dyDescent="0.35">
      <c r="A94">
        <v>100000</v>
      </c>
    </row>
    <row r="95" spans="1:1" x14ac:dyDescent="0.35">
      <c r="A95">
        <v>10000000</v>
      </c>
    </row>
    <row r="96" spans="1:1" x14ac:dyDescent="0.35">
      <c r="A96">
        <v>100000000</v>
      </c>
    </row>
    <row r="97" spans="1:1" x14ac:dyDescent="0.35">
      <c r="A97">
        <v>1000000000</v>
      </c>
    </row>
    <row r="98" spans="1:1" x14ac:dyDescent="0.35">
      <c r="A98">
        <v>10000000000</v>
      </c>
    </row>
    <row r="99" spans="1:1" x14ac:dyDescent="0.35">
      <c r="A99">
        <v>100000000000</v>
      </c>
    </row>
    <row r="100" spans="1:1" x14ac:dyDescent="0.35">
      <c r="A100">
        <v>1000000000000</v>
      </c>
    </row>
    <row r="101" spans="1:1" x14ac:dyDescent="0.35">
      <c r="A101">
        <v>10000000000000</v>
      </c>
    </row>
    <row r="102" spans="1:1" x14ac:dyDescent="0.35">
      <c r="A102">
        <v>100000000000000</v>
      </c>
    </row>
    <row r="103" spans="1:1" x14ac:dyDescent="0.35">
      <c r="A103">
        <v>1000000000000000</v>
      </c>
    </row>
    <row r="104" spans="1:1" x14ac:dyDescent="0.35">
      <c r="A104">
        <v>1E+16</v>
      </c>
    </row>
    <row r="105" spans="1:1" x14ac:dyDescent="0.35">
      <c r="A105">
        <v>1E+17</v>
      </c>
    </row>
    <row r="106" spans="1:1" x14ac:dyDescent="0.35">
      <c r="A106">
        <v>1E+18</v>
      </c>
    </row>
    <row r="107" spans="1:1" x14ac:dyDescent="0.35">
      <c r="A107">
        <v>1E+19</v>
      </c>
    </row>
    <row r="108" spans="1:1" x14ac:dyDescent="0.35">
      <c r="A108">
        <v>1E+20</v>
      </c>
    </row>
    <row r="109" spans="1:1" x14ac:dyDescent="0.35">
      <c r="A109">
        <v>1E+22</v>
      </c>
    </row>
    <row r="110" spans="1:1" x14ac:dyDescent="0.35">
      <c r="A110">
        <v>1.0000000000000001E+23</v>
      </c>
    </row>
    <row r="111" spans="1:1" x14ac:dyDescent="0.35">
      <c r="A111">
        <v>9.9999999999999998E+23</v>
      </c>
    </row>
    <row r="112" spans="1:1" x14ac:dyDescent="0.35">
      <c r="A112">
        <v>1.0000000000000001E+25</v>
      </c>
    </row>
    <row r="113" spans="1:1" x14ac:dyDescent="0.35">
      <c r="A113">
        <v>1E+26</v>
      </c>
    </row>
    <row r="114" spans="1:1" x14ac:dyDescent="0.35">
      <c r="A114">
        <v>1E+27</v>
      </c>
    </row>
    <row r="115" spans="1:1" x14ac:dyDescent="0.35">
      <c r="A115">
        <v>9.9999999999999996E+27</v>
      </c>
    </row>
    <row r="116" spans="1:1" x14ac:dyDescent="0.35">
      <c r="A116">
        <v>9.9999999999999991E+28</v>
      </c>
    </row>
    <row r="117" spans="1:1" x14ac:dyDescent="0.35">
      <c r="A117">
        <v>1E+30</v>
      </c>
    </row>
    <row r="118" spans="1:1" x14ac:dyDescent="0.35">
      <c r="A118">
        <v>1.5000000000000001E-12</v>
      </c>
    </row>
    <row r="119" spans="1:1" x14ac:dyDescent="0.35">
      <c r="A119">
        <v>1.5E-11</v>
      </c>
    </row>
    <row r="120" spans="1:1" x14ac:dyDescent="0.35">
      <c r="A120">
        <v>1.5E-10</v>
      </c>
    </row>
    <row r="121" spans="1:1" x14ac:dyDescent="0.35">
      <c r="A121">
        <v>1.5000000000000002E-9</v>
      </c>
    </row>
    <row r="122" spans="1:1" x14ac:dyDescent="0.35">
      <c r="A122">
        <v>1.5000000000000002E-8</v>
      </c>
    </row>
    <row r="123" spans="1:1" x14ac:dyDescent="0.35">
      <c r="A123">
        <v>1.5E-6</v>
      </c>
    </row>
    <row r="124" spans="1:1" x14ac:dyDescent="0.35">
      <c r="A124">
        <v>1.5000000000000002E-5</v>
      </c>
    </row>
    <row r="125" spans="1:1" x14ac:dyDescent="0.35">
      <c r="A125">
        <v>1.5000000000000001E-4</v>
      </c>
    </row>
    <row r="126" spans="1:1" x14ac:dyDescent="0.35">
      <c r="A126">
        <v>1.5E-3</v>
      </c>
    </row>
    <row r="127" spans="1:1" x14ac:dyDescent="0.35">
      <c r="A127">
        <v>1.4999999999999999E-2</v>
      </c>
    </row>
    <row r="128" spans="1:1" x14ac:dyDescent="0.35">
      <c r="A128">
        <v>0.15000000000000002</v>
      </c>
    </row>
    <row r="129" spans="1:1" x14ac:dyDescent="0.35">
      <c r="A129">
        <v>15</v>
      </c>
    </row>
    <row r="130" spans="1:1" x14ac:dyDescent="0.35">
      <c r="A130">
        <v>150</v>
      </c>
    </row>
    <row r="131" spans="1:1" x14ac:dyDescent="0.35">
      <c r="A131">
        <v>1500</v>
      </c>
    </row>
    <row r="132" spans="1:1" x14ac:dyDescent="0.35">
      <c r="A132">
        <v>15000</v>
      </c>
    </row>
    <row r="133" spans="1:1" x14ac:dyDescent="0.35">
      <c r="A133">
        <v>150000</v>
      </c>
    </row>
    <row r="134" spans="1:1" x14ac:dyDescent="0.35">
      <c r="A134">
        <v>1500000</v>
      </c>
    </row>
    <row r="135" spans="1:1" x14ac:dyDescent="0.35">
      <c r="A135">
        <v>15000000</v>
      </c>
    </row>
    <row r="136" spans="1:1" x14ac:dyDescent="0.35">
      <c r="A136">
        <v>150000000</v>
      </c>
    </row>
    <row r="137" spans="1:1" x14ac:dyDescent="0.35">
      <c r="A137">
        <v>1500000000</v>
      </c>
    </row>
    <row r="138" spans="1:1" x14ac:dyDescent="0.35">
      <c r="A138">
        <v>15000000000</v>
      </c>
    </row>
    <row r="139" spans="1:1" x14ac:dyDescent="0.35">
      <c r="A139">
        <v>150000000000</v>
      </c>
    </row>
    <row r="140" spans="1:1" x14ac:dyDescent="0.35">
      <c r="A140">
        <v>1500000000000</v>
      </c>
    </row>
    <row r="141" spans="1:1" x14ac:dyDescent="0.35">
      <c r="A141">
        <v>15000000000000</v>
      </c>
    </row>
    <row r="142" spans="1:1" x14ac:dyDescent="0.35">
      <c r="A142">
        <v>150000000000000</v>
      </c>
    </row>
    <row r="143" spans="1:1" x14ac:dyDescent="0.35">
      <c r="A143">
        <v>1500000000000000</v>
      </c>
    </row>
    <row r="144" spans="1:1" x14ac:dyDescent="0.35">
      <c r="A144">
        <v>1.5E+16</v>
      </c>
    </row>
    <row r="145" spans="1:1" x14ac:dyDescent="0.35">
      <c r="A145">
        <v>1.5E+17</v>
      </c>
    </row>
    <row r="146" spans="1:1" x14ac:dyDescent="0.35">
      <c r="A146">
        <v>1.5E+18</v>
      </c>
    </row>
    <row r="147" spans="1:1" x14ac:dyDescent="0.35">
      <c r="A147">
        <v>1.5E+19</v>
      </c>
    </row>
    <row r="148" spans="1:1" x14ac:dyDescent="0.35">
      <c r="A148">
        <v>1.5E+20</v>
      </c>
    </row>
    <row r="149" spans="1:1" x14ac:dyDescent="0.35">
      <c r="A149">
        <v>1.5E+21</v>
      </c>
    </row>
    <row r="150" spans="1:1" x14ac:dyDescent="0.35">
      <c r="A150">
        <v>1.5E+22</v>
      </c>
    </row>
    <row r="151" spans="1:1" x14ac:dyDescent="0.35">
      <c r="A151">
        <v>1.2345678901234567E-12</v>
      </c>
    </row>
    <row r="152" spans="1:1" x14ac:dyDescent="0.35">
      <c r="A152">
        <v>1.2345678901234567E-11</v>
      </c>
    </row>
    <row r="153" spans="1:1" x14ac:dyDescent="0.35">
      <c r="A153">
        <v>1.2345678901234568E-10</v>
      </c>
    </row>
    <row r="154" spans="1:1" x14ac:dyDescent="0.35">
      <c r="A154">
        <v>1.2345678901234568E-9</v>
      </c>
    </row>
    <row r="155" spans="1:1" x14ac:dyDescent="0.35">
      <c r="A155">
        <v>1.2345678901234567E-8</v>
      </c>
    </row>
    <row r="156" spans="1:1" x14ac:dyDescent="0.35">
      <c r="A156">
        <v>1.2345678901234566E-7</v>
      </c>
    </row>
    <row r="157" spans="1:1" x14ac:dyDescent="0.35">
      <c r="A157">
        <v>1.2345678901234567E-6</v>
      </c>
    </row>
    <row r="158" spans="1:1" x14ac:dyDescent="0.35">
      <c r="A158">
        <v>1.2345678901234567E-4</v>
      </c>
    </row>
    <row r="159" spans="1:1" x14ac:dyDescent="0.35">
      <c r="A159">
        <v>1.2345678901234567E-3</v>
      </c>
    </row>
    <row r="160" spans="1:1" x14ac:dyDescent="0.35">
      <c r="A160">
        <v>1.2345678901234567E-2</v>
      </c>
    </row>
    <row r="161" spans="1:1" x14ac:dyDescent="0.35">
      <c r="A161">
        <v>0.12345678901234568</v>
      </c>
    </row>
    <row r="162" spans="1:1" x14ac:dyDescent="0.35">
      <c r="A162">
        <v>1.2345678901234567</v>
      </c>
    </row>
    <row r="163" spans="1:1" x14ac:dyDescent="0.35">
      <c r="A163">
        <v>12.345678901234567</v>
      </c>
    </row>
    <row r="164" spans="1:1" x14ac:dyDescent="0.35">
      <c r="A164">
        <v>123.45678901234567</v>
      </c>
    </row>
    <row r="165" spans="1:1" x14ac:dyDescent="0.35">
      <c r="A165">
        <v>1234.5678901234567</v>
      </c>
    </row>
    <row r="166" spans="1:1" x14ac:dyDescent="0.35">
      <c r="A166">
        <v>12345.678901234567</v>
      </c>
    </row>
    <row r="167" spans="1:1" x14ac:dyDescent="0.35">
      <c r="A167">
        <v>123456.78901234567</v>
      </c>
    </row>
    <row r="168" spans="1:1" x14ac:dyDescent="0.35">
      <c r="A168">
        <v>1234567.8901234567</v>
      </c>
    </row>
    <row r="169" spans="1:1" x14ac:dyDescent="0.35">
      <c r="A169">
        <v>12345678.901234567</v>
      </c>
    </row>
    <row r="170" spans="1:1" x14ac:dyDescent="0.35">
      <c r="A170">
        <v>123456789.01234567</v>
      </c>
    </row>
    <row r="171" spans="1:1" x14ac:dyDescent="0.35">
      <c r="A171">
        <v>1234567890.1234567</v>
      </c>
    </row>
    <row r="172" spans="1:1" x14ac:dyDescent="0.35">
      <c r="A172">
        <v>12345678901.234568</v>
      </c>
    </row>
    <row r="173" spans="1:1" x14ac:dyDescent="0.35">
      <c r="A173">
        <v>123456789012.34567</v>
      </c>
    </row>
    <row r="174" spans="1:1" x14ac:dyDescent="0.35">
      <c r="A174">
        <v>1234567890123.4568</v>
      </c>
    </row>
    <row r="175" spans="1:1" x14ac:dyDescent="0.35">
      <c r="A175">
        <v>12345678901234.566</v>
      </c>
    </row>
    <row r="176" spans="1:1" x14ac:dyDescent="0.35">
      <c r="A176">
        <v>123456789012345.67</v>
      </c>
    </row>
    <row r="177" spans="1:1" x14ac:dyDescent="0.35">
      <c r="A177">
        <v>1234567890123456.8</v>
      </c>
    </row>
    <row r="178" spans="1:1" x14ac:dyDescent="0.35">
      <c r="A178">
        <v>1.2345678901234566E+16</v>
      </c>
    </row>
    <row r="179" spans="1:1" x14ac:dyDescent="0.35">
      <c r="A179">
        <v>1.2345678901234566E+17</v>
      </c>
    </row>
    <row r="180" spans="1:1" x14ac:dyDescent="0.35">
      <c r="A180">
        <v>1.2345678901234568E+18</v>
      </c>
    </row>
    <row r="181" spans="1:1" x14ac:dyDescent="0.35">
      <c r="A181">
        <v>1.2345678901234567E+19</v>
      </c>
    </row>
    <row r="182" spans="1:1" x14ac:dyDescent="0.35">
      <c r="A182">
        <v>1.2345678901234567E+20</v>
      </c>
    </row>
    <row r="183" spans="1:1" x14ac:dyDescent="0.35">
      <c r="A183">
        <v>1.2345678901234568E+21</v>
      </c>
    </row>
    <row r="184" spans="1:1" x14ac:dyDescent="0.35">
      <c r="A184">
        <v>1.2345678901234568E+22</v>
      </c>
    </row>
    <row r="185" spans="1:1" x14ac:dyDescent="0.35">
      <c r="A185">
        <v>-0.30000000000000004</v>
      </c>
    </row>
    <row r="186" spans="1:1" x14ac:dyDescent="0.35">
      <c r="A186">
        <v>-1.0000000000000001E-5</v>
      </c>
    </row>
    <row r="187" spans="1:1" x14ac:dyDescent="0.35">
      <c r="A187">
        <v>-1500000000000000</v>
      </c>
    </row>
    <row r="188" spans="1:1" x14ac:dyDescent="0.35">
      <c r="A188">
        <v>-1E+20</v>
      </c>
    </row>
    <row r="189" spans="1:1" x14ac:dyDescent="0.35">
      <c r="A189">
        <v>-9.9999999999999995E-21</v>
      </c>
    </row>
    <row r="190" spans="1:1" x14ac:dyDescent="0.35">
      <c r="A190">
        <v>-123.456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2"/>
  <sheetViews>
    <sheetView workbookViewId="0"/>
  </sheetViews>
  <sheetFormatPr defaultRowHeight="14.5" x14ac:dyDescent="0.35"/>
  <sheetData>
    <row r="1" spans="1:2" x14ac:dyDescent="0.35">
      <c r="A1">
        <v>1</v>
      </c>
      <c r="B1">
        <v>1.0000000000000002</v>
      </c>
    </row>
    <row r="2" spans="1:2" x14ac:dyDescent="0.35">
      <c r="A2">
        <v>1</v>
      </c>
      <c r="B2">
        <v>0.99999999999999989</v>
      </c>
    </row>
    <row r="3" spans="1:2" x14ac:dyDescent="0.35">
      <c r="A3">
        <v>1</v>
      </c>
      <c r="B3">
        <v>1.0000000000000004</v>
      </c>
    </row>
    <row r="4" spans="1:2" x14ac:dyDescent="0.35">
      <c r="A4">
        <v>1</v>
      </c>
      <c r="B4">
        <v>0.99999999999999978</v>
      </c>
    </row>
    <row r="5" spans="1:2" x14ac:dyDescent="0.35">
      <c r="A5">
        <v>1</v>
      </c>
      <c r="B5">
        <v>1.0000000000000007</v>
      </c>
    </row>
    <row r="6" spans="1:2" x14ac:dyDescent="0.35">
      <c r="A6">
        <v>1</v>
      </c>
      <c r="B6">
        <v>0.99999999999999967</v>
      </c>
    </row>
    <row r="7" spans="1:2" x14ac:dyDescent="0.35">
      <c r="A7">
        <v>1</v>
      </c>
      <c r="B7">
        <v>1.0000000000000009</v>
      </c>
    </row>
    <row r="8" spans="1:2" x14ac:dyDescent="0.35">
      <c r="A8">
        <v>1</v>
      </c>
      <c r="B8">
        <v>0.99999999999999956</v>
      </c>
    </row>
    <row r="9" spans="1:2" x14ac:dyDescent="0.35">
      <c r="A9">
        <v>1</v>
      </c>
      <c r="B9">
        <v>1.0000000000000011</v>
      </c>
    </row>
    <row r="10" spans="1:2" x14ac:dyDescent="0.35">
      <c r="A10">
        <v>1</v>
      </c>
      <c r="B10">
        <v>0.99999999999999944</v>
      </c>
    </row>
    <row r="11" spans="1:2" x14ac:dyDescent="0.35">
      <c r="A11">
        <v>1</v>
      </c>
      <c r="B11">
        <v>1.0000000000000013</v>
      </c>
    </row>
    <row r="12" spans="1:2" x14ac:dyDescent="0.35">
      <c r="A12">
        <v>1</v>
      </c>
      <c r="B12">
        <v>0.99999999999999933</v>
      </c>
    </row>
    <row r="13" spans="1:2" x14ac:dyDescent="0.35">
      <c r="A13">
        <v>1</v>
      </c>
      <c r="B13">
        <v>1.0000000000000016</v>
      </c>
    </row>
    <row r="14" spans="1:2" x14ac:dyDescent="0.35">
      <c r="A14">
        <v>1</v>
      </c>
      <c r="B14">
        <v>0.99999999999999922</v>
      </c>
    </row>
    <row r="15" spans="1:2" x14ac:dyDescent="0.35">
      <c r="A15">
        <v>1</v>
      </c>
      <c r="B15">
        <v>1.0000000000000018</v>
      </c>
    </row>
    <row r="16" spans="1:2" x14ac:dyDescent="0.35">
      <c r="A16">
        <v>1</v>
      </c>
      <c r="B16">
        <v>0.99999999999999911</v>
      </c>
    </row>
    <row r="17" spans="1:2" x14ac:dyDescent="0.35">
      <c r="A17">
        <v>1</v>
      </c>
      <c r="B17">
        <v>1.0000000000000022</v>
      </c>
    </row>
    <row r="18" spans="1:2" x14ac:dyDescent="0.35">
      <c r="A18">
        <v>1</v>
      </c>
      <c r="B18">
        <v>0.99999999999999889</v>
      </c>
    </row>
    <row r="19" spans="1:2" x14ac:dyDescent="0.35">
      <c r="A19">
        <v>1</v>
      </c>
      <c r="B19">
        <v>1.0000000000000027</v>
      </c>
    </row>
    <row r="20" spans="1:2" x14ac:dyDescent="0.35">
      <c r="A20">
        <v>1</v>
      </c>
      <c r="B20">
        <v>0.99999999999999867</v>
      </c>
    </row>
    <row r="21" spans="1:2" x14ac:dyDescent="0.35">
      <c r="A21">
        <v>1</v>
      </c>
      <c r="B21">
        <v>1.0000000000000036</v>
      </c>
    </row>
    <row r="22" spans="1:2" x14ac:dyDescent="0.35">
      <c r="A22">
        <v>1</v>
      </c>
      <c r="B22">
        <v>0.99999999999999822</v>
      </c>
    </row>
    <row r="23" spans="1:2" x14ac:dyDescent="0.35">
      <c r="A23">
        <v>1</v>
      </c>
      <c r="B23">
        <v>1.0000000000000044</v>
      </c>
    </row>
    <row r="24" spans="1:2" x14ac:dyDescent="0.35">
      <c r="A24">
        <v>1</v>
      </c>
      <c r="B24">
        <v>0.99999999999999778</v>
      </c>
    </row>
    <row r="25" spans="1:2" x14ac:dyDescent="0.35">
      <c r="A25">
        <v>1</v>
      </c>
      <c r="B25">
        <v>1.0000000000000053</v>
      </c>
    </row>
    <row r="26" spans="1:2" x14ac:dyDescent="0.35">
      <c r="A26">
        <v>1</v>
      </c>
      <c r="B26">
        <v>0.99999999999999734</v>
      </c>
    </row>
    <row r="27" spans="1:2" x14ac:dyDescent="0.35">
      <c r="A27">
        <v>1</v>
      </c>
      <c r="B27">
        <v>1.0000000000000071</v>
      </c>
    </row>
    <row r="28" spans="1:2" x14ac:dyDescent="0.35">
      <c r="A28">
        <v>1</v>
      </c>
      <c r="B28">
        <v>0.99999999999999645</v>
      </c>
    </row>
    <row r="29" spans="1:2" x14ac:dyDescent="0.35">
      <c r="A29">
        <v>1</v>
      </c>
      <c r="B29">
        <v>1.0000000000000107</v>
      </c>
    </row>
    <row r="30" spans="1:2" x14ac:dyDescent="0.35">
      <c r="A30">
        <v>1</v>
      </c>
      <c r="B30">
        <v>0.99999999999999467</v>
      </c>
    </row>
    <row r="31" spans="1:2" x14ac:dyDescent="0.35">
      <c r="A31">
        <v>1</v>
      </c>
      <c r="B31">
        <v>1.0000000000000142</v>
      </c>
    </row>
    <row r="32" spans="1:2" x14ac:dyDescent="0.35">
      <c r="A32">
        <v>1</v>
      </c>
      <c r="B32">
        <v>0.99999999999999289</v>
      </c>
    </row>
    <row r="33" spans="1:2" x14ac:dyDescent="0.35">
      <c r="A33">
        <v>1</v>
      </c>
      <c r="B33">
        <v>1.0000000000000222</v>
      </c>
    </row>
    <row r="34" spans="1:2" x14ac:dyDescent="0.35">
      <c r="A34">
        <v>1</v>
      </c>
      <c r="B34">
        <v>0.9999999999999889</v>
      </c>
    </row>
    <row r="35" spans="1:2" x14ac:dyDescent="0.35">
      <c r="A35">
        <v>1</v>
      </c>
      <c r="B35">
        <v>1.0000000000000284</v>
      </c>
    </row>
    <row r="36" spans="1:2" x14ac:dyDescent="0.35">
      <c r="A36">
        <v>1</v>
      </c>
      <c r="B36">
        <v>0.99999999999998579</v>
      </c>
    </row>
    <row r="37" spans="1:2" x14ac:dyDescent="0.35">
      <c r="A37">
        <v>1</v>
      </c>
      <c r="B37">
        <v>1.0000000000000568</v>
      </c>
    </row>
    <row r="38" spans="1:2" x14ac:dyDescent="0.35">
      <c r="A38">
        <v>1</v>
      </c>
      <c r="B38">
        <v>0.99999999999997158</v>
      </c>
    </row>
    <row r="39" spans="1:2" x14ac:dyDescent="0.35">
      <c r="A39">
        <v>1</v>
      </c>
      <c r="B39">
        <v>1.0000000000001137</v>
      </c>
    </row>
    <row r="40" spans="1:2" x14ac:dyDescent="0.35">
      <c r="A40">
        <v>1</v>
      </c>
      <c r="B40">
        <v>0.99999999999994316</v>
      </c>
    </row>
    <row r="41" spans="1:2" x14ac:dyDescent="0.35">
      <c r="A41">
        <v>1</v>
      </c>
      <c r="B41">
        <v>1.0000000000002274</v>
      </c>
    </row>
    <row r="42" spans="1:2" x14ac:dyDescent="0.35">
      <c r="A42">
        <v>1</v>
      </c>
      <c r="B42">
        <v>0.99999999999988631</v>
      </c>
    </row>
    <row r="43" spans="1:2" x14ac:dyDescent="0.35">
      <c r="A43">
        <v>1</v>
      </c>
      <c r="B43">
        <v>1.0000000000004547</v>
      </c>
    </row>
    <row r="44" spans="1:2" x14ac:dyDescent="0.35">
      <c r="A44">
        <v>1</v>
      </c>
      <c r="B44">
        <v>0.99999999999977263</v>
      </c>
    </row>
    <row r="45" spans="1:2" x14ac:dyDescent="0.35">
      <c r="A45">
        <v>1</v>
      </c>
      <c r="B45">
        <v>1.0000000000009095</v>
      </c>
    </row>
    <row r="46" spans="1:2" x14ac:dyDescent="0.35">
      <c r="A46">
        <v>1</v>
      </c>
      <c r="B46">
        <v>0.99999999999954525</v>
      </c>
    </row>
    <row r="47" spans="1:2" x14ac:dyDescent="0.35">
      <c r="A47">
        <v>3</v>
      </c>
      <c r="B47">
        <v>3.0000000000000004</v>
      </c>
    </row>
    <row r="48" spans="1:2" x14ac:dyDescent="0.35">
      <c r="A48">
        <v>3</v>
      </c>
      <c r="B48">
        <v>2.9999999999999996</v>
      </c>
    </row>
    <row r="49" spans="1:2" x14ac:dyDescent="0.35">
      <c r="A49">
        <v>3</v>
      </c>
      <c r="B49">
        <v>3.0000000000000009</v>
      </c>
    </row>
    <row r="50" spans="1:2" x14ac:dyDescent="0.35">
      <c r="A50">
        <v>3</v>
      </c>
      <c r="B50">
        <v>2.9999999999999991</v>
      </c>
    </row>
    <row r="51" spans="1:2" x14ac:dyDescent="0.35">
      <c r="A51">
        <v>3</v>
      </c>
      <c r="B51">
        <v>3.0000000000000013</v>
      </c>
    </row>
    <row r="52" spans="1:2" x14ac:dyDescent="0.35">
      <c r="A52">
        <v>3</v>
      </c>
      <c r="B52">
        <v>2.9999999999999987</v>
      </c>
    </row>
    <row r="53" spans="1:2" x14ac:dyDescent="0.35">
      <c r="A53">
        <v>3</v>
      </c>
      <c r="B53">
        <v>3.0000000000000018</v>
      </c>
    </row>
    <row r="54" spans="1:2" x14ac:dyDescent="0.35">
      <c r="A54">
        <v>3</v>
      </c>
      <c r="B54">
        <v>2.9999999999999982</v>
      </c>
    </row>
    <row r="55" spans="1:2" x14ac:dyDescent="0.35">
      <c r="A55">
        <v>3</v>
      </c>
      <c r="B55">
        <v>3.0000000000000022</v>
      </c>
    </row>
    <row r="56" spans="1:2" x14ac:dyDescent="0.35">
      <c r="A56">
        <v>3</v>
      </c>
      <c r="B56">
        <v>2.9999999999999978</v>
      </c>
    </row>
    <row r="57" spans="1:2" x14ac:dyDescent="0.35">
      <c r="A57">
        <v>3</v>
      </c>
      <c r="B57">
        <v>3.0000000000000027</v>
      </c>
    </row>
    <row r="58" spans="1:2" x14ac:dyDescent="0.35">
      <c r="A58">
        <v>3</v>
      </c>
      <c r="B58">
        <v>2.9999999999999973</v>
      </c>
    </row>
    <row r="59" spans="1:2" x14ac:dyDescent="0.35">
      <c r="A59">
        <v>3</v>
      </c>
      <c r="B59">
        <v>3.0000000000000031</v>
      </c>
    </row>
    <row r="60" spans="1:2" x14ac:dyDescent="0.35">
      <c r="A60">
        <v>3</v>
      </c>
      <c r="B60">
        <v>2.9999999999999969</v>
      </c>
    </row>
    <row r="61" spans="1:2" x14ac:dyDescent="0.35">
      <c r="A61">
        <v>3</v>
      </c>
      <c r="B61">
        <v>3.0000000000000036</v>
      </c>
    </row>
    <row r="62" spans="1:2" x14ac:dyDescent="0.35">
      <c r="A62">
        <v>3</v>
      </c>
      <c r="B62">
        <v>2.9999999999999964</v>
      </c>
    </row>
    <row r="63" spans="1:2" x14ac:dyDescent="0.35">
      <c r="A63">
        <v>3</v>
      </c>
      <c r="B63">
        <v>3.0000000000000044</v>
      </c>
    </row>
    <row r="64" spans="1:2" x14ac:dyDescent="0.35">
      <c r="A64">
        <v>3</v>
      </c>
      <c r="B64">
        <v>2.9999999999999956</v>
      </c>
    </row>
    <row r="65" spans="1:2" x14ac:dyDescent="0.35">
      <c r="A65">
        <v>3</v>
      </c>
      <c r="B65">
        <v>3.0000000000000053</v>
      </c>
    </row>
    <row r="66" spans="1:2" x14ac:dyDescent="0.35">
      <c r="A66">
        <v>3</v>
      </c>
      <c r="B66">
        <v>2.9999999999999947</v>
      </c>
    </row>
    <row r="67" spans="1:2" x14ac:dyDescent="0.35">
      <c r="A67">
        <v>3</v>
      </c>
      <c r="B67">
        <v>3.0000000000000071</v>
      </c>
    </row>
    <row r="68" spans="1:2" x14ac:dyDescent="0.35">
      <c r="A68">
        <v>3</v>
      </c>
      <c r="B68">
        <v>2.9999999999999929</v>
      </c>
    </row>
    <row r="69" spans="1:2" x14ac:dyDescent="0.35">
      <c r="A69">
        <v>3</v>
      </c>
      <c r="B69">
        <v>3.0000000000000089</v>
      </c>
    </row>
    <row r="70" spans="1:2" x14ac:dyDescent="0.35">
      <c r="A70">
        <v>3</v>
      </c>
      <c r="B70">
        <v>2.9999999999999911</v>
      </c>
    </row>
    <row r="71" spans="1:2" x14ac:dyDescent="0.35">
      <c r="A71">
        <v>3</v>
      </c>
      <c r="B71">
        <v>3.0000000000000107</v>
      </c>
    </row>
    <row r="72" spans="1:2" x14ac:dyDescent="0.35">
      <c r="A72">
        <v>3</v>
      </c>
      <c r="B72">
        <v>2.9999999999999893</v>
      </c>
    </row>
    <row r="73" spans="1:2" x14ac:dyDescent="0.35">
      <c r="A73">
        <v>3</v>
      </c>
      <c r="B73">
        <v>3.0000000000000142</v>
      </c>
    </row>
    <row r="74" spans="1:2" x14ac:dyDescent="0.35">
      <c r="A74">
        <v>3</v>
      </c>
      <c r="B74">
        <v>2.9999999999999858</v>
      </c>
    </row>
    <row r="75" spans="1:2" x14ac:dyDescent="0.35">
      <c r="A75">
        <v>3</v>
      </c>
      <c r="B75">
        <v>3.0000000000000213</v>
      </c>
    </row>
    <row r="76" spans="1:2" x14ac:dyDescent="0.35">
      <c r="A76">
        <v>3</v>
      </c>
      <c r="B76">
        <v>2.9999999999999787</v>
      </c>
    </row>
    <row r="77" spans="1:2" x14ac:dyDescent="0.35">
      <c r="A77">
        <v>3</v>
      </c>
      <c r="B77">
        <v>3.0000000000000284</v>
      </c>
    </row>
    <row r="78" spans="1:2" x14ac:dyDescent="0.35">
      <c r="A78">
        <v>3</v>
      </c>
      <c r="B78">
        <v>2.9999999999999716</v>
      </c>
    </row>
    <row r="79" spans="1:2" x14ac:dyDescent="0.35">
      <c r="A79">
        <v>3</v>
      </c>
      <c r="B79">
        <v>3.0000000000000444</v>
      </c>
    </row>
    <row r="80" spans="1:2" x14ac:dyDescent="0.35">
      <c r="A80">
        <v>3</v>
      </c>
      <c r="B80">
        <v>2.9999999999999556</v>
      </c>
    </row>
    <row r="81" spans="1:2" x14ac:dyDescent="0.35">
      <c r="A81">
        <v>3</v>
      </c>
      <c r="B81">
        <v>3.0000000000000568</v>
      </c>
    </row>
    <row r="82" spans="1:2" x14ac:dyDescent="0.35">
      <c r="A82">
        <v>3</v>
      </c>
      <c r="B82">
        <v>2.9999999999999432</v>
      </c>
    </row>
    <row r="83" spans="1:2" x14ac:dyDescent="0.35">
      <c r="A83">
        <v>3</v>
      </c>
      <c r="B83">
        <v>3.0000000000001137</v>
      </c>
    </row>
    <row r="84" spans="1:2" x14ac:dyDescent="0.35">
      <c r="A84">
        <v>3</v>
      </c>
      <c r="B84">
        <v>2.9999999999998863</v>
      </c>
    </row>
    <row r="85" spans="1:2" x14ac:dyDescent="0.35">
      <c r="A85">
        <v>3</v>
      </c>
      <c r="B85">
        <v>3.0000000000002274</v>
      </c>
    </row>
    <row r="86" spans="1:2" x14ac:dyDescent="0.35">
      <c r="A86">
        <v>3</v>
      </c>
      <c r="B86">
        <v>2.9999999999997726</v>
      </c>
    </row>
    <row r="87" spans="1:2" x14ac:dyDescent="0.35">
      <c r="A87">
        <v>3</v>
      </c>
      <c r="B87">
        <v>3.0000000000004547</v>
      </c>
    </row>
    <row r="88" spans="1:2" x14ac:dyDescent="0.35">
      <c r="A88">
        <v>3</v>
      </c>
      <c r="B88">
        <v>2.9999999999995453</v>
      </c>
    </row>
    <row r="89" spans="1:2" x14ac:dyDescent="0.35">
      <c r="A89">
        <v>3</v>
      </c>
      <c r="B89">
        <v>3.0000000000009095</v>
      </c>
    </row>
    <row r="90" spans="1:2" x14ac:dyDescent="0.35">
      <c r="A90">
        <v>3</v>
      </c>
      <c r="B90">
        <v>2.9999999999990905</v>
      </c>
    </row>
    <row r="91" spans="1:2" x14ac:dyDescent="0.35">
      <c r="A91">
        <v>3</v>
      </c>
      <c r="B91">
        <v>3.000000000001819</v>
      </c>
    </row>
    <row r="92" spans="1:2" x14ac:dyDescent="0.35">
      <c r="A92">
        <v>3</v>
      </c>
      <c r="B92">
        <v>2.999999999998181</v>
      </c>
    </row>
    <row r="93" spans="1:2" x14ac:dyDescent="0.35">
      <c r="A93">
        <v>0.1</v>
      </c>
      <c r="B93">
        <v>0.10000000000000002</v>
      </c>
    </row>
    <row r="94" spans="1:2" x14ac:dyDescent="0.35">
      <c r="A94">
        <v>0.1</v>
      </c>
      <c r="B94">
        <v>9.9999999999999992E-2</v>
      </c>
    </row>
    <row r="95" spans="1:2" x14ac:dyDescent="0.35">
      <c r="A95">
        <v>0.1</v>
      </c>
      <c r="B95">
        <v>0.10000000000000003</v>
      </c>
    </row>
    <row r="96" spans="1:2" x14ac:dyDescent="0.35">
      <c r="A96">
        <v>0.1</v>
      </c>
      <c r="B96">
        <v>9.9999999999999978E-2</v>
      </c>
    </row>
    <row r="97" spans="1:2" x14ac:dyDescent="0.35">
      <c r="A97">
        <v>0.1</v>
      </c>
      <c r="B97">
        <v>0.10000000000000005</v>
      </c>
    </row>
    <row r="98" spans="1:2" x14ac:dyDescent="0.35">
      <c r="A98">
        <v>0.1</v>
      </c>
      <c r="B98">
        <v>9.9999999999999964E-2</v>
      </c>
    </row>
    <row r="99" spans="1:2" x14ac:dyDescent="0.35">
      <c r="A99">
        <v>0.1</v>
      </c>
      <c r="B99">
        <v>0.10000000000000006</v>
      </c>
    </row>
    <row r="100" spans="1:2" x14ac:dyDescent="0.35">
      <c r="A100">
        <v>0.1</v>
      </c>
      <c r="B100">
        <v>9.999999999999995E-2</v>
      </c>
    </row>
    <row r="101" spans="1:2" x14ac:dyDescent="0.35">
      <c r="A101">
        <v>0.1</v>
      </c>
      <c r="B101">
        <v>0.10000000000000007</v>
      </c>
    </row>
    <row r="102" spans="1:2" x14ac:dyDescent="0.35">
      <c r="A102">
        <v>0.1</v>
      </c>
      <c r="B102">
        <v>9.9999999999999936E-2</v>
      </c>
    </row>
    <row r="103" spans="1:2" x14ac:dyDescent="0.35">
      <c r="A103">
        <v>0.1</v>
      </c>
      <c r="B103">
        <v>0.10000000000000009</v>
      </c>
    </row>
    <row r="104" spans="1:2" x14ac:dyDescent="0.35">
      <c r="A104">
        <v>0.1</v>
      </c>
      <c r="B104">
        <v>9.9999999999999922E-2</v>
      </c>
    </row>
    <row r="105" spans="1:2" x14ac:dyDescent="0.35">
      <c r="A105">
        <v>0.1</v>
      </c>
      <c r="B105">
        <v>0.1000000000000001</v>
      </c>
    </row>
    <row r="106" spans="1:2" x14ac:dyDescent="0.35">
      <c r="A106">
        <v>0.1</v>
      </c>
      <c r="B106">
        <v>9.9999999999999908E-2</v>
      </c>
    </row>
    <row r="107" spans="1:2" x14ac:dyDescent="0.35">
      <c r="A107">
        <v>0.1</v>
      </c>
      <c r="B107">
        <v>0.10000000000000012</v>
      </c>
    </row>
    <row r="108" spans="1:2" x14ac:dyDescent="0.35">
      <c r="A108">
        <v>0.1</v>
      </c>
      <c r="B108">
        <v>9.9999999999999895E-2</v>
      </c>
    </row>
    <row r="109" spans="1:2" x14ac:dyDescent="0.35">
      <c r="A109">
        <v>0.1</v>
      </c>
      <c r="B109">
        <v>0.10000000000000014</v>
      </c>
    </row>
    <row r="110" spans="1:2" x14ac:dyDescent="0.35">
      <c r="A110">
        <v>0.1</v>
      </c>
      <c r="B110">
        <v>9.9999999999999867E-2</v>
      </c>
    </row>
    <row r="111" spans="1:2" x14ac:dyDescent="0.35">
      <c r="A111">
        <v>0.1</v>
      </c>
      <c r="B111">
        <v>0.10000000000000017</v>
      </c>
    </row>
    <row r="112" spans="1:2" x14ac:dyDescent="0.35">
      <c r="A112">
        <v>0.1</v>
      </c>
      <c r="B112">
        <v>9.9999999999999839E-2</v>
      </c>
    </row>
    <row r="113" spans="1:2" x14ac:dyDescent="0.35">
      <c r="A113">
        <v>0.1</v>
      </c>
      <c r="B113">
        <v>0.10000000000000023</v>
      </c>
    </row>
    <row r="114" spans="1:2" x14ac:dyDescent="0.35">
      <c r="A114">
        <v>0.1</v>
      </c>
      <c r="B114">
        <v>9.9999999999999784E-2</v>
      </c>
    </row>
    <row r="115" spans="1:2" x14ac:dyDescent="0.35">
      <c r="A115">
        <v>0.1</v>
      </c>
      <c r="B115">
        <v>0.10000000000000028</v>
      </c>
    </row>
    <row r="116" spans="1:2" x14ac:dyDescent="0.35">
      <c r="A116">
        <v>0.1</v>
      </c>
      <c r="B116">
        <v>9.9999999999999728E-2</v>
      </c>
    </row>
    <row r="117" spans="1:2" x14ac:dyDescent="0.35">
      <c r="A117">
        <v>0.1</v>
      </c>
      <c r="B117">
        <v>0.10000000000000034</v>
      </c>
    </row>
    <row r="118" spans="1:2" x14ac:dyDescent="0.35">
      <c r="A118">
        <v>0.1</v>
      </c>
      <c r="B118">
        <v>9.9999999999999672E-2</v>
      </c>
    </row>
    <row r="119" spans="1:2" x14ac:dyDescent="0.35">
      <c r="A119">
        <v>0.1</v>
      </c>
      <c r="B119">
        <v>0.10000000000000045</v>
      </c>
    </row>
    <row r="120" spans="1:2" x14ac:dyDescent="0.35">
      <c r="A120">
        <v>0.1</v>
      </c>
      <c r="B120">
        <v>9.9999999999999561E-2</v>
      </c>
    </row>
    <row r="121" spans="1:2" x14ac:dyDescent="0.35">
      <c r="A121">
        <v>0.1</v>
      </c>
      <c r="B121">
        <v>0.10000000000000067</v>
      </c>
    </row>
    <row r="122" spans="1:2" x14ac:dyDescent="0.35">
      <c r="A122">
        <v>0.1</v>
      </c>
      <c r="B122">
        <v>9.9999999999999339E-2</v>
      </c>
    </row>
    <row r="123" spans="1:2" x14ac:dyDescent="0.35">
      <c r="A123">
        <v>0.1</v>
      </c>
      <c r="B123">
        <v>0.10000000000000089</v>
      </c>
    </row>
    <row r="124" spans="1:2" x14ac:dyDescent="0.35">
      <c r="A124">
        <v>0.1</v>
      </c>
      <c r="B124">
        <v>9.9999999999999117E-2</v>
      </c>
    </row>
    <row r="125" spans="1:2" x14ac:dyDescent="0.35">
      <c r="A125">
        <v>0.1</v>
      </c>
      <c r="B125">
        <v>0.10000000000000139</v>
      </c>
    </row>
    <row r="126" spans="1:2" x14ac:dyDescent="0.35">
      <c r="A126">
        <v>0.1</v>
      </c>
      <c r="B126">
        <v>9.9999999999998618E-2</v>
      </c>
    </row>
    <row r="127" spans="1:2" x14ac:dyDescent="0.35">
      <c r="A127">
        <v>0.1</v>
      </c>
      <c r="B127">
        <v>0.10000000000000178</v>
      </c>
    </row>
    <row r="128" spans="1:2" x14ac:dyDescent="0.35">
      <c r="A128">
        <v>0.1</v>
      </c>
      <c r="B128">
        <v>9.9999999999998229E-2</v>
      </c>
    </row>
    <row r="129" spans="1:2" x14ac:dyDescent="0.35">
      <c r="A129">
        <v>0.1</v>
      </c>
      <c r="B129">
        <v>0.10000000000000356</v>
      </c>
    </row>
    <row r="130" spans="1:2" x14ac:dyDescent="0.35">
      <c r="A130">
        <v>0.1</v>
      </c>
      <c r="B130">
        <v>9.9999999999996453E-2</v>
      </c>
    </row>
    <row r="131" spans="1:2" x14ac:dyDescent="0.35">
      <c r="A131">
        <v>0.1</v>
      </c>
      <c r="B131">
        <v>0.10000000000000711</v>
      </c>
    </row>
    <row r="132" spans="1:2" x14ac:dyDescent="0.35">
      <c r="A132">
        <v>0.1</v>
      </c>
      <c r="B132">
        <v>9.99999999999929E-2</v>
      </c>
    </row>
    <row r="133" spans="1:2" x14ac:dyDescent="0.35">
      <c r="A133">
        <v>0.1</v>
      </c>
      <c r="B133">
        <v>0.10000000000001422</v>
      </c>
    </row>
    <row r="134" spans="1:2" x14ac:dyDescent="0.35">
      <c r="A134">
        <v>0.1</v>
      </c>
      <c r="B134">
        <v>9.9999999999985795E-2</v>
      </c>
    </row>
    <row r="135" spans="1:2" x14ac:dyDescent="0.35">
      <c r="A135">
        <v>0.1</v>
      </c>
      <c r="B135">
        <v>0.10000000000002843</v>
      </c>
    </row>
    <row r="136" spans="1:2" x14ac:dyDescent="0.35">
      <c r="A136">
        <v>0.1</v>
      </c>
      <c r="B136">
        <v>9.9999999999971584E-2</v>
      </c>
    </row>
    <row r="137" spans="1:2" x14ac:dyDescent="0.35">
      <c r="A137">
        <v>0.1</v>
      </c>
      <c r="B137">
        <v>0.10000000000005685</v>
      </c>
    </row>
    <row r="138" spans="1:2" x14ac:dyDescent="0.35">
      <c r="A138">
        <v>0.1</v>
      </c>
      <c r="B138">
        <v>9.9999999999943162E-2</v>
      </c>
    </row>
    <row r="139" spans="1:2" x14ac:dyDescent="0.35">
      <c r="A139">
        <v>123.456</v>
      </c>
      <c r="B139">
        <v>123.45600000000002</v>
      </c>
    </row>
    <row r="140" spans="1:2" x14ac:dyDescent="0.35">
      <c r="A140">
        <v>123.456</v>
      </c>
      <c r="B140">
        <v>123.45599999999999</v>
      </c>
    </row>
    <row r="141" spans="1:2" x14ac:dyDescent="0.35">
      <c r="A141">
        <v>123.456</v>
      </c>
      <c r="B141">
        <v>123.45600000000003</v>
      </c>
    </row>
    <row r="142" spans="1:2" x14ac:dyDescent="0.35">
      <c r="A142">
        <v>123.456</v>
      </c>
      <c r="B142">
        <v>123.45599999999997</v>
      </c>
    </row>
    <row r="143" spans="1:2" x14ac:dyDescent="0.35">
      <c r="A143">
        <v>123.456</v>
      </c>
      <c r="B143">
        <v>123.45600000000005</v>
      </c>
    </row>
    <row r="144" spans="1:2" x14ac:dyDescent="0.35">
      <c r="A144">
        <v>123.456</v>
      </c>
      <c r="B144">
        <v>123.45599999999996</v>
      </c>
    </row>
    <row r="145" spans="1:2" x14ac:dyDescent="0.35">
      <c r="A145">
        <v>123.456</v>
      </c>
      <c r="B145">
        <v>123.45600000000006</v>
      </c>
    </row>
    <row r="146" spans="1:2" x14ac:dyDescent="0.35">
      <c r="A146">
        <v>123.456</v>
      </c>
      <c r="B146">
        <v>123.45599999999995</v>
      </c>
    </row>
    <row r="147" spans="1:2" x14ac:dyDescent="0.35">
      <c r="A147">
        <v>123.456</v>
      </c>
      <c r="B147">
        <v>123.45600000000007</v>
      </c>
    </row>
    <row r="148" spans="1:2" x14ac:dyDescent="0.35">
      <c r="A148">
        <v>123.456</v>
      </c>
      <c r="B148">
        <v>123.45599999999993</v>
      </c>
    </row>
    <row r="149" spans="1:2" x14ac:dyDescent="0.35">
      <c r="A149">
        <v>123.456</v>
      </c>
      <c r="B149">
        <v>123.45600000000009</v>
      </c>
    </row>
    <row r="150" spans="1:2" x14ac:dyDescent="0.35">
      <c r="A150">
        <v>123.456</v>
      </c>
      <c r="B150">
        <v>123.45599999999992</v>
      </c>
    </row>
    <row r="151" spans="1:2" x14ac:dyDescent="0.35">
      <c r="A151">
        <v>123.456</v>
      </c>
      <c r="B151">
        <v>123.4560000000001</v>
      </c>
    </row>
    <row r="152" spans="1:2" x14ac:dyDescent="0.35">
      <c r="A152">
        <v>123.456</v>
      </c>
      <c r="B152">
        <v>123.4559999999999</v>
      </c>
    </row>
    <row r="153" spans="1:2" x14ac:dyDescent="0.35">
      <c r="A153">
        <v>123.456</v>
      </c>
      <c r="B153">
        <v>123.45600000000012</v>
      </c>
    </row>
    <row r="154" spans="1:2" x14ac:dyDescent="0.35">
      <c r="A154">
        <v>123.456</v>
      </c>
      <c r="B154">
        <v>123.45599999999989</v>
      </c>
    </row>
    <row r="155" spans="1:2" x14ac:dyDescent="0.35">
      <c r="A155">
        <v>123.456</v>
      </c>
      <c r="B155">
        <v>123.45600000000015</v>
      </c>
    </row>
    <row r="156" spans="1:2" x14ac:dyDescent="0.35">
      <c r="A156">
        <v>123.456</v>
      </c>
      <c r="B156">
        <v>123.45599999999986</v>
      </c>
    </row>
    <row r="157" spans="1:2" x14ac:dyDescent="0.35">
      <c r="A157">
        <v>123.456</v>
      </c>
      <c r="B157">
        <v>123.45600000000017</v>
      </c>
    </row>
    <row r="158" spans="1:2" x14ac:dyDescent="0.35">
      <c r="A158">
        <v>123.456</v>
      </c>
      <c r="B158">
        <v>123.45599999999983</v>
      </c>
    </row>
    <row r="159" spans="1:2" x14ac:dyDescent="0.35">
      <c r="A159">
        <v>123.456</v>
      </c>
      <c r="B159">
        <v>123.45600000000023</v>
      </c>
    </row>
    <row r="160" spans="1:2" x14ac:dyDescent="0.35">
      <c r="A160">
        <v>123.456</v>
      </c>
      <c r="B160">
        <v>123.45599999999978</v>
      </c>
    </row>
    <row r="161" spans="1:2" x14ac:dyDescent="0.35">
      <c r="A161">
        <v>123.456</v>
      </c>
      <c r="B161">
        <v>123.45600000000029</v>
      </c>
    </row>
    <row r="162" spans="1:2" x14ac:dyDescent="0.35">
      <c r="A162">
        <v>123.456</v>
      </c>
      <c r="B162">
        <v>123.45599999999972</v>
      </c>
    </row>
    <row r="163" spans="1:2" x14ac:dyDescent="0.35">
      <c r="A163">
        <v>123.456</v>
      </c>
      <c r="B163">
        <v>123.45600000000034</v>
      </c>
    </row>
    <row r="164" spans="1:2" x14ac:dyDescent="0.35">
      <c r="A164">
        <v>123.456</v>
      </c>
      <c r="B164">
        <v>123.45599999999966</v>
      </c>
    </row>
    <row r="165" spans="1:2" x14ac:dyDescent="0.35">
      <c r="A165">
        <v>123.456</v>
      </c>
      <c r="B165">
        <v>123.45600000000046</v>
      </c>
    </row>
    <row r="166" spans="1:2" x14ac:dyDescent="0.35">
      <c r="A166">
        <v>123.456</v>
      </c>
      <c r="B166">
        <v>123.45599999999955</v>
      </c>
    </row>
    <row r="167" spans="1:2" x14ac:dyDescent="0.35">
      <c r="A167">
        <v>123.456</v>
      </c>
      <c r="B167">
        <v>123.45600000000069</v>
      </c>
    </row>
    <row r="168" spans="1:2" x14ac:dyDescent="0.35">
      <c r="A168">
        <v>123.456</v>
      </c>
      <c r="B168">
        <v>123.45599999999932</v>
      </c>
    </row>
    <row r="169" spans="1:2" x14ac:dyDescent="0.35">
      <c r="A169">
        <v>123.456</v>
      </c>
      <c r="B169">
        <v>123.45600000000091</v>
      </c>
    </row>
    <row r="170" spans="1:2" x14ac:dyDescent="0.35">
      <c r="A170">
        <v>123.456</v>
      </c>
      <c r="B170">
        <v>123.45599999999909</v>
      </c>
    </row>
    <row r="171" spans="1:2" x14ac:dyDescent="0.35">
      <c r="A171">
        <v>123.456</v>
      </c>
      <c r="B171">
        <v>123.45600000000142</v>
      </c>
    </row>
    <row r="172" spans="1:2" x14ac:dyDescent="0.35">
      <c r="A172">
        <v>123.456</v>
      </c>
      <c r="B172">
        <v>123.45599999999858</v>
      </c>
    </row>
    <row r="173" spans="1:2" x14ac:dyDescent="0.35">
      <c r="A173">
        <v>123.456</v>
      </c>
      <c r="B173">
        <v>123.45600000000182</v>
      </c>
    </row>
    <row r="174" spans="1:2" x14ac:dyDescent="0.35">
      <c r="A174">
        <v>123.456</v>
      </c>
      <c r="B174">
        <v>123.45599999999818</v>
      </c>
    </row>
    <row r="175" spans="1:2" x14ac:dyDescent="0.35">
      <c r="A175">
        <v>123.456</v>
      </c>
      <c r="B175">
        <v>123.45600000000364</v>
      </c>
    </row>
    <row r="176" spans="1:2" x14ac:dyDescent="0.35">
      <c r="A176">
        <v>123.456</v>
      </c>
      <c r="B176">
        <v>123.45599999999637</v>
      </c>
    </row>
    <row r="177" spans="1:2" x14ac:dyDescent="0.35">
      <c r="A177">
        <v>123.456</v>
      </c>
      <c r="B177">
        <v>123.45600000000728</v>
      </c>
    </row>
    <row r="178" spans="1:2" x14ac:dyDescent="0.35">
      <c r="A178">
        <v>123.456</v>
      </c>
      <c r="B178">
        <v>123.45599999999273</v>
      </c>
    </row>
    <row r="179" spans="1:2" x14ac:dyDescent="0.35">
      <c r="A179">
        <v>123.456</v>
      </c>
      <c r="B179">
        <v>123.45600000001455</v>
      </c>
    </row>
    <row r="180" spans="1:2" x14ac:dyDescent="0.35">
      <c r="A180">
        <v>123.456</v>
      </c>
      <c r="B180">
        <v>123.45599999998545</v>
      </c>
    </row>
    <row r="181" spans="1:2" x14ac:dyDescent="0.35">
      <c r="A181">
        <v>123.456</v>
      </c>
      <c r="B181">
        <v>123.45600000002911</v>
      </c>
    </row>
    <row r="182" spans="1:2" x14ac:dyDescent="0.35">
      <c r="A182">
        <v>123.456</v>
      </c>
      <c r="B182">
        <v>123.4559999999709</v>
      </c>
    </row>
    <row r="183" spans="1:2" x14ac:dyDescent="0.35">
      <c r="A183">
        <v>123.456</v>
      </c>
      <c r="B183">
        <v>123.45600000005821</v>
      </c>
    </row>
    <row r="184" spans="1:2" x14ac:dyDescent="0.35">
      <c r="A184">
        <v>123.456</v>
      </c>
      <c r="B184">
        <v>123.4559999999418</v>
      </c>
    </row>
    <row r="185" spans="1:2" x14ac:dyDescent="0.35">
      <c r="A185">
        <v>10000000000</v>
      </c>
      <c r="B185">
        <v>10000000000.000002</v>
      </c>
    </row>
    <row r="186" spans="1:2" x14ac:dyDescent="0.35">
      <c r="A186">
        <v>10000000000</v>
      </c>
      <c r="B186">
        <v>9999999999.9999981</v>
      </c>
    </row>
    <row r="187" spans="1:2" x14ac:dyDescent="0.35">
      <c r="A187">
        <v>10000000000</v>
      </c>
      <c r="B187">
        <v>10000000000.000004</v>
      </c>
    </row>
    <row r="188" spans="1:2" x14ac:dyDescent="0.35">
      <c r="A188">
        <v>10000000000</v>
      </c>
      <c r="B188">
        <v>9999999999.9999962</v>
      </c>
    </row>
    <row r="189" spans="1:2" x14ac:dyDescent="0.35">
      <c r="A189">
        <v>10000000000</v>
      </c>
      <c r="B189">
        <v>10000000000.000006</v>
      </c>
    </row>
    <row r="190" spans="1:2" x14ac:dyDescent="0.35">
      <c r="A190">
        <v>10000000000</v>
      </c>
      <c r="B190">
        <v>9999999999.9999943</v>
      </c>
    </row>
    <row r="191" spans="1:2" x14ac:dyDescent="0.35">
      <c r="A191">
        <v>10000000000</v>
      </c>
      <c r="B191">
        <v>10000000000.000008</v>
      </c>
    </row>
    <row r="192" spans="1:2" x14ac:dyDescent="0.35">
      <c r="A192">
        <v>10000000000</v>
      </c>
      <c r="B192">
        <v>9999999999.9999924</v>
      </c>
    </row>
    <row r="193" spans="1:2" x14ac:dyDescent="0.35">
      <c r="A193">
        <v>10000000000</v>
      </c>
      <c r="B193">
        <v>10000000000.00001</v>
      </c>
    </row>
    <row r="194" spans="1:2" x14ac:dyDescent="0.35">
      <c r="A194">
        <v>10000000000</v>
      </c>
      <c r="B194">
        <v>9999999999.9999905</v>
      </c>
    </row>
    <row r="195" spans="1:2" x14ac:dyDescent="0.35">
      <c r="A195">
        <v>10000000000</v>
      </c>
      <c r="B195">
        <v>10000000000.000011</v>
      </c>
    </row>
    <row r="196" spans="1:2" x14ac:dyDescent="0.35">
      <c r="A196">
        <v>10000000000</v>
      </c>
      <c r="B196">
        <v>9999999999.9999886</v>
      </c>
    </row>
    <row r="197" spans="1:2" x14ac:dyDescent="0.35">
      <c r="A197">
        <v>10000000000</v>
      </c>
      <c r="B197">
        <v>10000000000.000013</v>
      </c>
    </row>
    <row r="198" spans="1:2" x14ac:dyDescent="0.35">
      <c r="A198">
        <v>10000000000</v>
      </c>
      <c r="B198">
        <v>9999999999.9999866</v>
      </c>
    </row>
    <row r="199" spans="1:2" x14ac:dyDescent="0.35">
      <c r="A199">
        <v>10000000000</v>
      </c>
      <c r="B199">
        <v>10000000000.000015</v>
      </c>
    </row>
    <row r="200" spans="1:2" x14ac:dyDescent="0.35">
      <c r="A200">
        <v>10000000000</v>
      </c>
      <c r="B200">
        <v>9999999999.9999847</v>
      </c>
    </row>
    <row r="201" spans="1:2" x14ac:dyDescent="0.35">
      <c r="A201">
        <v>10000000000</v>
      </c>
      <c r="B201">
        <v>10000000000.000019</v>
      </c>
    </row>
    <row r="202" spans="1:2" x14ac:dyDescent="0.35">
      <c r="A202">
        <v>10000000000</v>
      </c>
      <c r="B202">
        <v>9999999999.9999809</v>
      </c>
    </row>
    <row r="203" spans="1:2" x14ac:dyDescent="0.35">
      <c r="A203">
        <v>10000000000</v>
      </c>
      <c r="B203">
        <v>10000000000.000023</v>
      </c>
    </row>
    <row r="204" spans="1:2" x14ac:dyDescent="0.35">
      <c r="A204">
        <v>10000000000</v>
      </c>
      <c r="B204">
        <v>9999999999.9999771</v>
      </c>
    </row>
    <row r="205" spans="1:2" x14ac:dyDescent="0.35">
      <c r="A205">
        <v>10000000000</v>
      </c>
      <c r="B205">
        <v>10000000000.000031</v>
      </c>
    </row>
    <row r="206" spans="1:2" x14ac:dyDescent="0.35">
      <c r="A206">
        <v>10000000000</v>
      </c>
      <c r="B206">
        <v>9999999999.9999695</v>
      </c>
    </row>
    <row r="207" spans="1:2" x14ac:dyDescent="0.35">
      <c r="A207">
        <v>10000000000</v>
      </c>
      <c r="B207">
        <v>10000000000.000038</v>
      </c>
    </row>
    <row r="208" spans="1:2" x14ac:dyDescent="0.35">
      <c r="A208">
        <v>10000000000</v>
      </c>
      <c r="B208">
        <v>9999999999.9999619</v>
      </c>
    </row>
    <row r="209" spans="1:2" x14ac:dyDescent="0.35">
      <c r="A209">
        <v>10000000000</v>
      </c>
      <c r="B209">
        <v>10000000000.000046</v>
      </c>
    </row>
    <row r="210" spans="1:2" x14ac:dyDescent="0.35">
      <c r="A210">
        <v>10000000000</v>
      </c>
      <c r="B210">
        <v>9999999999.9999542</v>
      </c>
    </row>
    <row r="211" spans="1:2" x14ac:dyDescent="0.35">
      <c r="A211">
        <v>10000000000</v>
      </c>
      <c r="B211">
        <v>10000000000.000061</v>
      </c>
    </row>
    <row r="212" spans="1:2" x14ac:dyDescent="0.35">
      <c r="A212">
        <v>10000000000</v>
      </c>
      <c r="B212">
        <v>9999999999.999939</v>
      </c>
    </row>
    <row r="213" spans="1:2" x14ac:dyDescent="0.35">
      <c r="A213">
        <v>10000000000</v>
      </c>
      <c r="B213">
        <v>10000000000.000092</v>
      </c>
    </row>
    <row r="214" spans="1:2" x14ac:dyDescent="0.35">
      <c r="A214">
        <v>10000000000</v>
      </c>
      <c r="B214">
        <v>9999999999.9999084</v>
      </c>
    </row>
    <row r="215" spans="1:2" x14ac:dyDescent="0.35">
      <c r="A215">
        <v>10000000000</v>
      </c>
      <c r="B215">
        <v>10000000000.000122</v>
      </c>
    </row>
    <row r="216" spans="1:2" x14ac:dyDescent="0.35">
      <c r="A216">
        <v>10000000000</v>
      </c>
      <c r="B216">
        <v>9999999999.9998779</v>
      </c>
    </row>
    <row r="217" spans="1:2" x14ac:dyDescent="0.35">
      <c r="A217">
        <v>10000000000</v>
      </c>
      <c r="B217">
        <v>10000000000.000191</v>
      </c>
    </row>
    <row r="218" spans="1:2" x14ac:dyDescent="0.35">
      <c r="A218">
        <v>10000000000</v>
      </c>
      <c r="B218">
        <v>9999999999.9998093</v>
      </c>
    </row>
    <row r="219" spans="1:2" x14ac:dyDescent="0.35">
      <c r="A219">
        <v>10000000000</v>
      </c>
      <c r="B219">
        <v>10000000000.000244</v>
      </c>
    </row>
    <row r="220" spans="1:2" x14ac:dyDescent="0.35">
      <c r="A220">
        <v>10000000000</v>
      </c>
      <c r="B220">
        <v>9999999999.9997559</v>
      </c>
    </row>
    <row r="221" spans="1:2" x14ac:dyDescent="0.35">
      <c r="A221">
        <v>10000000000</v>
      </c>
      <c r="B221">
        <v>10000000000.000488</v>
      </c>
    </row>
    <row r="222" spans="1:2" x14ac:dyDescent="0.35">
      <c r="A222">
        <v>10000000000</v>
      </c>
      <c r="B222">
        <v>9999999999.9995117</v>
      </c>
    </row>
    <row r="223" spans="1:2" x14ac:dyDescent="0.35">
      <c r="A223">
        <v>10000000000</v>
      </c>
      <c r="B223">
        <v>10000000000.000977</v>
      </c>
    </row>
    <row r="224" spans="1:2" x14ac:dyDescent="0.35">
      <c r="A224">
        <v>10000000000</v>
      </c>
      <c r="B224">
        <v>9999999999.9990234</v>
      </c>
    </row>
    <row r="225" spans="1:2" x14ac:dyDescent="0.35">
      <c r="A225">
        <v>10000000000</v>
      </c>
      <c r="B225">
        <v>10000000000.001953</v>
      </c>
    </row>
    <row r="226" spans="1:2" x14ac:dyDescent="0.35">
      <c r="A226">
        <v>10000000000</v>
      </c>
      <c r="B226">
        <v>9999999999.9980469</v>
      </c>
    </row>
    <row r="227" spans="1:2" x14ac:dyDescent="0.35">
      <c r="A227">
        <v>10000000000</v>
      </c>
      <c r="B227">
        <v>10000000000.003906</v>
      </c>
    </row>
    <row r="228" spans="1:2" x14ac:dyDescent="0.35">
      <c r="A228">
        <v>10000000000</v>
      </c>
      <c r="B228">
        <v>9999999999.9960938</v>
      </c>
    </row>
    <row r="229" spans="1:2" x14ac:dyDescent="0.35">
      <c r="A229">
        <v>10000000000</v>
      </c>
      <c r="B229">
        <v>10000000000.007813</v>
      </c>
    </row>
    <row r="230" spans="1:2" x14ac:dyDescent="0.35">
      <c r="A230">
        <v>10000000000</v>
      </c>
      <c r="B230">
        <v>9999999999.9921875</v>
      </c>
    </row>
    <row r="231" spans="1:2" x14ac:dyDescent="0.35">
      <c r="A231">
        <v>1E-10</v>
      </c>
      <c r="B231">
        <v>1.0000000000000002E-10</v>
      </c>
    </row>
    <row r="232" spans="1:2" x14ac:dyDescent="0.35">
      <c r="A232">
        <v>1E-10</v>
      </c>
      <c r="B232">
        <v>9.9999999999999991E-11</v>
      </c>
    </row>
    <row r="233" spans="1:2" x14ac:dyDescent="0.35">
      <c r="A233">
        <v>1E-10</v>
      </c>
      <c r="B233">
        <v>1.0000000000000003E-10</v>
      </c>
    </row>
    <row r="234" spans="1:2" x14ac:dyDescent="0.35">
      <c r="A234">
        <v>1E-10</v>
      </c>
      <c r="B234">
        <v>9.9999999999999978E-11</v>
      </c>
    </row>
    <row r="235" spans="1:2" x14ac:dyDescent="0.35">
      <c r="A235">
        <v>1E-10</v>
      </c>
      <c r="B235">
        <v>1.0000000000000004E-10</v>
      </c>
    </row>
    <row r="236" spans="1:2" x14ac:dyDescent="0.35">
      <c r="A236">
        <v>1E-10</v>
      </c>
      <c r="B236">
        <v>9.9999999999999965E-11</v>
      </c>
    </row>
    <row r="237" spans="1:2" x14ac:dyDescent="0.35">
      <c r="A237">
        <v>1E-10</v>
      </c>
      <c r="B237">
        <v>1.0000000000000006E-10</v>
      </c>
    </row>
    <row r="238" spans="1:2" x14ac:dyDescent="0.35">
      <c r="A238">
        <v>1E-10</v>
      </c>
      <c r="B238">
        <v>9.9999999999999952E-11</v>
      </c>
    </row>
    <row r="239" spans="1:2" x14ac:dyDescent="0.35">
      <c r="A239">
        <v>1E-10</v>
      </c>
      <c r="B239">
        <v>1.0000000000000007E-10</v>
      </c>
    </row>
    <row r="240" spans="1:2" x14ac:dyDescent="0.35">
      <c r="A240">
        <v>1E-10</v>
      </c>
      <c r="B240">
        <v>9.9999999999999939E-11</v>
      </c>
    </row>
    <row r="241" spans="1:2" x14ac:dyDescent="0.35">
      <c r="A241">
        <v>1E-10</v>
      </c>
      <c r="B241">
        <v>1.0000000000000008E-10</v>
      </c>
    </row>
    <row r="242" spans="1:2" x14ac:dyDescent="0.35">
      <c r="A242">
        <v>1E-10</v>
      </c>
      <c r="B242">
        <v>9.9999999999999926E-11</v>
      </c>
    </row>
    <row r="243" spans="1:2" x14ac:dyDescent="0.35">
      <c r="A243">
        <v>1E-10</v>
      </c>
      <c r="B243">
        <v>1.0000000000000009E-10</v>
      </c>
    </row>
    <row r="244" spans="1:2" x14ac:dyDescent="0.35">
      <c r="A244">
        <v>1E-10</v>
      </c>
      <c r="B244">
        <v>9.9999999999999913E-11</v>
      </c>
    </row>
    <row r="245" spans="1:2" x14ac:dyDescent="0.35">
      <c r="A245">
        <v>1E-10</v>
      </c>
      <c r="B245">
        <v>1.0000000000000011E-10</v>
      </c>
    </row>
    <row r="246" spans="1:2" x14ac:dyDescent="0.35">
      <c r="A246">
        <v>1E-10</v>
      </c>
      <c r="B246">
        <v>9.99999999999999E-11</v>
      </c>
    </row>
    <row r="247" spans="1:2" x14ac:dyDescent="0.35">
      <c r="A247">
        <v>1E-10</v>
      </c>
      <c r="B247">
        <v>1.0000000000000013E-10</v>
      </c>
    </row>
    <row r="248" spans="1:2" x14ac:dyDescent="0.35">
      <c r="A248">
        <v>1E-10</v>
      </c>
      <c r="B248">
        <v>9.9999999999999874E-11</v>
      </c>
    </row>
    <row r="249" spans="1:2" x14ac:dyDescent="0.35">
      <c r="A249">
        <v>1E-10</v>
      </c>
      <c r="B249">
        <v>1.0000000000000016E-10</v>
      </c>
    </row>
    <row r="250" spans="1:2" x14ac:dyDescent="0.35">
      <c r="A250">
        <v>1E-10</v>
      </c>
      <c r="B250">
        <v>9.9999999999999849E-11</v>
      </c>
    </row>
    <row r="251" spans="1:2" x14ac:dyDescent="0.35">
      <c r="A251">
        <v>1E-10</v>
      </c>
      <c r="B251">
        <v>1.0000000000000021E-10</v>
      </c>
    </row>
    <row r="252" spans="1:2" x14ac:dyDescent="0.35">
      <c r="A252">
        <v>1E-10</v>
      </c>
      <c r="B252">
        <v>9.9999999999999797E-11</v>
      </c>
    </row>
    <row r="253" spans="1:2" x14ac:dyDescent="0.35">
      <c r="A253">
        <v>1E-10</v>
      </c>
      <c r="B253">
        <v>1.0000000000000026E-10</v>
      </c>
    </row>
    <row r="254" spans="1:2" x14ac:dyDescent="0.35">
      <c r="A254">
        <v>1E-10</v>
      </c>
      <c r="B254">
        <v>9.9999999999999745E-11</v>
      </c>
    </row>
    <row r="255" spans="1:2" x14ac:dyDescent="0.35">
      <c r="A255">
        <v>1E-10</v>
      </c>
      <c r="B255">
        <v>1.0000000000000031E-10</v>
      </c>
    </row>
    <row r="256" spans="1:2" x14ac:dyDescent="0.35">
      <c r="A256">
        <v>1E-10</v>
      </c>
      <c r="B256">
        <v>9.9999999999999693E-11</v>
      </c>
    </row>
    <row r="257" spans="1:2" x14ac:dyDescent="0.35">
      <c r="A257">
        <v>1E-10</v>
      </c>
      <c r="B257">
        <v>1.0000000000000042E-10</v>
      </c>
    </row>
    <row r="258" spans="1:2" x14ac:dyDescent="0.35">
      <c r="A258">
        <v>1E-10</v>
      </c>
      <c r="B258">
        <v>9.999999999999959E-11</v>
      </c>
    </row>
    <row r="259" spans="1:2" x14ac:dyDescent="0.35">
      <c r="A259">
        <v>1E-10</v>
      </c>
      <c r="B259">
        <v>1.0000000000000062E-10</v>
      </c>
    </row>
    <row r="260" spans="1:2" x14ac:dyDescent="0.35">
      <c r="A260">
        <v>1E-10</v>
      </c>
      <c r="B260">
        <v>9.9999999999999383E-11</v>
      </c>
    </row>
    <row r="261" spans="1:2" x14ac:dyDescent="0.35">
      <c r="A261">
        <v>1E-10</v>
      </c>
      <c r="B261">
        <v>1.0000000000000083E-10</v>
      </c>
    </row>
    <row r="262" spans="1:2" x14ac:dyDescent="0.35">
      <c r="A262">
        <v>1E-10</v>
      </c>
      <c r="B262">
        <v>9.9999999999999176E-11</v>
      </c>
    </row>
    <row r="263" spans="1:2" x14ac:dyDescent="0.35">
      <c r="A263">
        <v>1E-10</v>
      </c>
      <c r="B263">
        <v>1.000000000000013E-10</v>
      </c>
    </row>
    <row r="264" spans="1:2" x14ac:dyDescent="0.35">
      <c r="A264">
        <v>1E-10</v>
      </c>
      <c r="B264">
        <v>9.9999999999998711E-11</v>
      </c>
    </row>
    <row r="265" spans="1:2" x14ac:dyDescent="0.35">
      <c r="A265">
        <v>1E-10</v>
      </c>
      <c r="B265">
        <v>1.0000000000000166E-10</v>
      </c>
    </row>
    <row r="266" spans="1:2" x14ac:dyDescent="0.35">
      <c r="A266">
        <v>1E-10</v>
      </c>
      <c r="B266">
        <v>9.9999999999998349E-11</v>
      </c>
    </row>
    <row r="267" spans="1:2" x14ac:dyDescent="0.35">
      <c r="A267">
        <v>1E-10</v>
      </c>
      <c r="B267">
        <v>1.0000000000000331E-10</v>
      </c>
    </row>
    <row r="268" spans="1:2" x14ac:dyDescent="0.35">
      <c r="A268">
        <v>1E-10</v>
      </c>
      <c r="B268">
        <v>9.9999999999996695E-11</v>
      </c>
    </row>
    <row r="269" spans="1:2" x14ac:dyDescent="0.35">
      <c r="A269">
        <v>1E-10</v>
      </c>
      <c r="B269">
        <v>1.0000000000000662E-10</v>
      </c>
    </row>
    <row r="270" spans="1:2" x14ac:dyDescent="0.35">
      <c r="A270">
        <v>1E-10</v>
      </c>
      <c r="B270">
        <v>9.9999999999993386E-11</v>
      </c>
    </row>
    <row r="271" spans="1:2" x14ac:dyDescent="0.35">
      <c r="A271">
        <v>1E-10</v>
      </c>
      <c r="B271">
        <v>1.0000000000001324E-10</v>
      </c>
    </row>
    <row r="272" spans="1:2" x14ac:dyDescent="0.35">
      <c r="A272">
        <v>1E-10</v>
      </c>
      <c r="B272">
        <v>9.9999999999986769E-11</v>
      </c>
    </row>
    <row r="273" spans="1:2" x14ac:dyDescent="0.35">
      <c r="A273">
        <v>1E-10</v>
      </c>
      <c r="B273">
        <v>1.0000000000002647E-10</v>
      </c>
    </row>
    <row r="274" spans="1:2" x14ac:dyDescent="0.35">
      <c r="A274">
        <v>1E-10</v>
      </c>
      <c r="B274">
        <v>9.9999999999973534E-11</v>
      </c>
    </row>
    <row r="275" spans="1:2" x14ac:dyDescent="0.35">
      <c r="A275">
        <v>1E-10</v>
      </c>
      <c r="B275">
        <v>1.0000000000005294E-10</v>
      </c>
    </row>
    <row r="276" spans="1:2" x14ac:dyDescent="0.35">
      <c r="A276">
        <v>1E-10</v>
      </c>
      <c r="B276">
        <v>9.9999999999947064E-11</v>
      </c>
    </row>
    <row r="277" spans="1:2" x14ac:dyDescent="0.35">
      <c r="A277">
        <v>1.0000000000000001E+300</v>
      </c>
      <c r="B277">
        <v>1.0000000000000002E+300</v>
      </c>
    </row>
    <row r="278" spans="1:2" x14ac:dyDescent="0.35">
      <c r="A278">
        <v>1.0000000000000001E+300</v>
      </c>
      <c r="B278">
        <v>9.999999999999999E+299</v>
      </c>
    </row>
    <row r="279" spans="1:2" x14ac:dyDescent="0.35">
      <c r="A279">
        <v>1.0000000000000001E+300</v>
      </c>
      <c r="B279">
        <v>1.0000000000000003E+300</v>
      </c>
    </row>
    <row r="280" spans="1:2" x14ac:dyDescent="0.35">
      <c r="A280">
        <v>1.0000000000000001E+300</v>
      </c>
      <c r="B280">
        <v>9.9999999999999976E+299</v>
      </c>
    </row>
    <row r="281" spans="1:2" x14ac:dyDescent="0.35">
      <c r="A281">
        <v>1.0000000000000001E+300</v>
      </c>
      <c r="B281">
        <v>1.0000000000000005E+300</v>
      </c>
    </row>
    <row r="282" spans="1:2" x14ac:dyDescent="0.35">
      <c r="A282">
        <v>1.0000000000000001E+300</v>
      </c>
      <c r="B282">
        <v>9.9999999999999961E+299</v>
      </c>
    </row>
    <row r="283" spans="1:2" x14ac:dyDescent="0.35">
      <c r="A283">
        <v>1.0000000000000001E+300</v>
      </c>
      <c r="B283">
        <v>1.0000000000000006E+300</v>
      </c>
    </row>
    <row r="284" spans="1:2" x14ac:dyDescent="0.35">
      <c r="A284">
        <v>1.0000000000000001E+300</v>
      </c>
      <c r="B284">
        <v>9.9999999999999946E+299</v>
      </c>
    </row>
    <row r="285" spans="1:2" x14ac:dyDescent="0.35">
      <c r="A285">
        <v>1.0000000000000001E+300</v>
      </c>
      <c r="B285">
        <v>1.0000000000000008E+300</v>
      </c>
    </row>
    <row r="286" spans="1:2" x14ac:dyDescent="0.35">
      <c r="A286">
        <v>1.0000000000000001E+300</v>
      </c>
      <c r="B286">
        <v>9.9999999999999931E+299</v>
      </c>
    </row>
    <row r="287" spans="1:2" x14ac:dyDescent="0.35">
      <c r="A287">
        <v>1.0000000000000001E+300</v>
      </c>
      <c r="B287">
        <v>1.0000000000000009E+300</v>
      </c>
    </row>
    <row r="288" spans="1:2" x14ac:dyDescent="0.35">
      <c r="A288">
        <v>1.0000000000000001E+300</v>
      </c>
      <c r="B288">
        <v>9.9999999999999916E+299</v>
      </c>
    </row>
    <row r="289" spans="1:2" x14ac:dyDescent="0.35">
      <c r="A289">
        <v>1.0000000000000001E+300</v>
      </c>
      <c r="B289">
        <v>1.0000000000000011E+300</v>
      </c>
    </row>
    <row r="290" spans="1:2" x14ac:dyDescent="0.35">
      <c r="A290">
        <v>1.0000000000000001E+300</v>
      </c>
      <c r="B290">
        <v>9.9999999999999901E+299</v>
      </c>
    </row>
    <row r="291" spans="1:2" x14ac:dyDescent="0.35">
      <c r="A291">
        <v>1.0000000000000001E+300</v>
      </c>
      <c r="B291">
        <v>1.0000000000000012E+300</v>
      </c>
    </row>
    <row r="292" spans="1:2" x14ac:dyDescent="0.35">
      <c r="A292">
        <v>1.0000000000000001E+300</v>
      </c>
      <c r="B292">
        <v>9.9999999999999886E+299</v>
      </c>
    </row>
    <row r="293" spans="1:2" x14ac:dyDescent="0.35">
      <c r="A293">
        <v>1.0000000000000001E+300</v>
      </c>
      <c r="B293">
        <v>1.0000000000000015E+300</v>
      </c>
    </row>
    <row r="294" spans="1:2" x14ac:dyDescent="0.35">
      <c r="A294">
        <v>1.0000000000000001E+300</v>
      </c>
      <c r="B294">
        <v>9.9999999999999857E+299</v>
      </c>
    </row>
    <row r="295" spans="1:2" x14ac:dyDescent="0.35">
      <c r="A295">
        <v>1.0000000000000001E+300</v>
      </c>
      <c r="B295">
        <v>1.0000000000000018E+300</v>
      </c>
    </row>
    <row r="296" spans="1:2" x14ac:dyDescent="0.35">
      <c r="A296">
        <v>1.0000000000000001E+300</v>
      </c>
      <c r="B296">
        <v>9.9999999999999827E+299</v>
      </c>
    </row>
    <row r="297" spans="1:2" x14ac:dyDescent="0.35">
      <c r="A297">
        <v>1.0000000000000001E+300</v>
      </c>
      <c r="B297">
        <v>1.0000000000000024E+300</v>
      </c>
    </row>
    <row r="298" spans="1:2" x14ac:dyDescent="0.35">
      <c r="A298">
        <v>1.0000000000000001E+300</v>
      </c>
      <c r="B298">
        <v>9.9999999999999767E+299</v>
      </c>
    </row>
    <row r="299" spans="1:2" x14ac:dyDescent="0.35">
      <c r="A299">
        <v>1.0000000000000001E+300</v>
      </c>
      <c r="B299">
        <v>1.000000000000003E+300</v>
      </c>
    </row>
    <row r="300" spans="1:2" x14ac:dyDescent="0.35">
      <c r="A300">
        <v>1.0000000000000001E+300</v>
      </c>
      <c r="B300">
        <v>9.9999999999999708E+299</v>
      </c>
    </row>
    <row r="301" spans="1:2" x14ac:dyDescent="0.35">
      <c r="A301">
        <v>1.0000000000000001E+300</v>
      </c>
      <c r="B301">
        <v>1.0000000000000036E+300</v>
      </c>
    </row>
    <row r="302" spans="1:2" x14ac:dyDescent="0.35">
      <c r="A302">
        <v>1.0000000000000001E+300</v>
      </c>
      <c r="B302">
        <v>9.9999999999999648E+299</v>
      </c>
    </row>
    <row r="303" spans="1:2" x14ac:dyDescent="0.35">
      <c r="A303">
        <v>1.0000000000000001E+300</v>
      </c>
      <c r="B303">
        <v>1.0000000000000048E+300</v>
      </c>
    </row>
    <row r="304" spans="1:2" x14ac:dyDescent="0.35">
      <c r="A304">
        <v>1.0000000000000001E+300</v>
      </c>
      <c r="B304">
        <v>9.9999999999999529E+299</v>
      </c>
    </row>
    <row r="305" spans="1:2" x14ac:dyDescent="0.35">
      <c r="A305">
        <v>1.0000000000000001E+300</v>
      </c>
      <c r="B305">
        <v>1.0000000000000072E+300</v>
      </c>
    </row>
    <row r="306" spans="1:2" x14ac:dyDescent="0.35">
      <c r="A306">
        <v>1.0000000000000001E+300</v>
      </c>
      <c r="B306">
        <v>9.9999999999999291E+299</v>
      </c>
    </row>
    <row r="307" spans="1:2" x14ac:dyDescent="0.35">
      <c r="A307">
        <v>1.0000000000000001E+300</v>
      </c>
      <c r="B307">
        <v>1.0000000000000096E+300</v>
      </c>
    </row>
    <row r="308" spans="1:2" x14ac:dyDescent="0.35">
      <c r="A308">
        <v>1.0000000000000001E+300</v>
      </c>
      <c r="B308">
        <v>9.9999999999999054E+299</v>
      </c>
    </row>
    <row r="309" spans="1:2" x14ac:dyDescent="0.35">
      <c r="A309">
        <v>1.0000000000000001E+300</v>
      </c>
      <c r="B309">
        <v>1.0000000000000149E+300</v>
      </c>
    </row>
    <row r="310" spans="1:2" x14ac:dyDescent="0.35">
      <c r="A310">
        <v>1.0000000000000001E+300</v>
      </c>
      <c r="B310">
        <v>9.9999999999998518E+299</v>
      </c>
    </row>
    <row r="311" spans="1:2" x14ac:dyDescent="0.35">
      <c r="A311">
        <v>1.0000000000000001E+300</v>
      </c>
      <c r="B311">
        <v>1.0000000000000191E+300</v>
      </c>
    </row>
    <row r="312" spans="1:2" x14ac:dyDescent="0.35">
      <c r="A312">
        <v>1.0000000000000001E+300</v>
      </c>
      <c r="B312">
        <v>9.9999999999998102E+299</v>
      </c>
    </row>
    <row r="313" spans="1:2" x14ac:dyDescent="0.35">
      <c r="A313">
        <v>1.0000000000000001E+300</v>
      </c>
      <c r="B313">
        <v>1.0000000000000381E+300</v>
      </c>
    </row>
    <row r="314" spans="1:2" x14ac:dyDescent="0.35">
      <c r="A314">
        <v>1.0000000000000001E+300</v>
      </c>
      <c r="B314">
        <v>9.9999999999996198E+299</v>
      </c>
    </row>
    <row r="315" spans="1:2" x14ac:dyDescent="0.35">
      <c r="A315">
        <v>1.0000000000000001E+300</v>
      </c>
      <c r="B315">
        <v>1.0000000000000762E+300</v>
      </c>
    </row>
    <row r="316" spans="1:2" x14ac:dyDescent="0.35">
      <c r="A316">
        <v>1.0000000000000001E+300</v>
      </c>
      <c r="B316">
        <v>9.9999999999992392E+299</v>
      </c>
    </row>
    <row r="317" spans="1:2" x14ac:dyDescent="0.35">
      <c r="A317">
        <v>1.0000000000000001E+300</v>
      </c>
      <c r="B317">
        <v>1.0000000000001523E+300</v>
      </c>
    </row>
    <row r="318" spans="1:2" x14ac:dyDescent="0.35">
      <c r="A318">
        <v>1.0000000000000001E+300</v>
      </c>
      <c r="B318">
        <v>9.9999999999984778E+299</v>
      </c>
    </row>
    <row r="319" spans="1:2" x14ac:dyDescent="0.35">
      <c r="A319">
        <v>1.0000000000000001E+300</v>
      </c>
      <c r="B319">
        <v>1.0000000000003046E+300</v>
      </c>
    </row>
    <row r="320" spans="1:2" x14ac:dyDescent="0.35">
      <c r="A320">
        <v>1.0000000000000001E+300</v>
      </c>
      <c r="B320">
        <v>9.9999999999969551E+299</v>
      </c>
    </row>
    <row r="321" spans="1:2" x14ac:dyDescent="0.35">
      <c r="A321">
        <v>1.0000000000000001E+300</v>
      </c>
      <c r="B321">
        <v>1.0000000000006091E+300</v>
      </c>
    </row>
    <row r="322" spans="1:2" x14ac:dyDescent="0.35">
      <c r="A322">
        <v>1.0000000000000001E+300</v>
      </c>
      <c r="B322">
        <v>9.9999999999939097E+299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4.5" x14ac:dyDescent="0.35"/>
  <sheetData>
    <row r="1" spans="1:1" x14ac:dyDescent="0.35">
      <c r="A1">
        <f>1.23456789012345</f>
        <v>1.23456789012345</v>
      </c>
    </row>
    <row r="2" spans="1:1" x14ac:dyDescent="0.35">
      <c r="A2">
        <f>2.99999999999999</f>
        <v>2.9999999999999898</v>
      </c>
    </row>
    <row r="3" spans="1:1" x14ac:dyDescent="0.35">
      <c r="A3">
        <f>0.3</f>
        <v>0.3</v>
      </c>
    </row>
    <row r="4" spans="1:1" x14ac:dyDescent="0.35">
      <c r="A4">
        <f>1234567890123450000</f>
        <v>1.2345678901234501E+18</v>
      </c>
    </row>
    <row r="5" spans="1:1" x14ac:dyDescent="0.35">
      <c r="A5">
        <f>1234567890123450</f>
        <v>1234567890123450</v>
      </c>
    </row>
    <row r="6" spans="1:1" x14ac:dyDescent="0.35">
      <c r="A6">
        <f>1234567890123450</f>
        <v>1234567890123450</v>
      </c>
    </row>
    <row r="7" spans="1:1" x14ac:dyDescent="0.35">
      <c r="A7">
        <f>0.1+0.2</f>
        <v>0.30000000000000004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54"/>
  <sheetViews>
    <sheetView workbookViewId="0"/>
  </sheetViews>
  <sheetFormatPr defaultRowHeight="14.5" x14ac:dyDescent="0.35"/>
  <sheetData>
    <row r="1" spans="1:2" x14ac:dyDescent="0.35">
      <c r="A1">
        <v>90.413960415567615</v>
      </c>
      <c r="B1">
        <v>1.3804107741786957</v>
      </c>
    </row>
    <row r="2" spans="1:2" x14ac:dyDescent="0.35">
      <c r="A2">
        <v>36.119320153823743</v>
      </c>
      <c r="B2">
        <v>3.3182261291818138</v>
      </c>
    </row>
    <row r="3" spans="1:2" x14ac:dyDescent="0.35">
      <c r="A3">
        <v>0.78008615585389507</v>
      </c>
      <c r="B3">
        <v>-3.3963827757630778</v>
      </c>
    </row>
    <row r="4" spans="1:2" x14ac:dyDescent="0.35">
      <c r="A4">
        <v>64.49708888214478</v>
      </c>
      <c r="B4">
        <v>0.15497851603221147</v>
      </c>
    </row>
    <row r="5" spans="1:2" x14ac:dyDescent="0.35">
      <c r="A5">
        <v>6.5393755331381946</v>
      </c>
      <c r="B5">
        <v>1.8534908108146002</v>
      </c>
    </row>
    <row r="6" spans="1:2" x14ac:dyDescent="0.35">
      <c r="A6">
        <v>60.537048143157584</v>
      </c>
      <c r="B6">
        <v>1.36124291507402</v>
      </c>
    </row>
    <row r="7" spans="1:2" x14ac:dyDescent="0.35">
      <c r="A7">
        <v>85.256482606120116</v>
      </c>
      <c r="B7">
        <v>1.5014249718388326</v>
      </c>
    </row>
    <row r="8" spans="1:2" x14ac:dyDescent="0.35">
      <c r="A8">
        <v>51.521450228955935</v>
      </c>
      <c r="B8">
        <v>-2.2714048533322906</v>
      </c>
    </row>
    <row r="9" spans="1:2" x14ac:dyDescent="0.35">
      <c r="A9">
        <v>86.229816020665822</v>
      </c>
      <c r="B9">
        <v>0.17340689249272767</v>
      </c>
    </row>
    <row r="10" spans="1:2" x14ac:dyDescent="0.35">
      <c r="A10">
        <v>10.810845720042483</v>
      </c>
      <c r="B10">
        <v>1.3504680305664198</v>
      </c>
    </row>
    <row r="11" spans="1:2" x14ac:dyDescent="0.35">
      <c r="A11">
        <v>20.488730278671383</v>
      </c>
      <c r="B11">
        <v>-2.6253908699880366</v>
      </c>
    </row>
    <row r="12" spans="1:2" x14ac:dyDescent="0.35">
      <c r="A12">
        <v>93.792004557647971</v>
      </c>
      <c r="B12">
        <v>3.6125676221170444</v>
      </c>
    </row>
    <row r="13" spans="1:2" x14ac:dyDescent="0.35">
      <c r="A13">
        <v>10.131645592754042</v>
      </c>
      <c r="B13">
        <v>1.0629018764269214</v>
      </c>
    </row>
    <row r="14" spans="1:2" x14ac:dyDescent="0.35">
      <c r="A14">
        <v>92.133414564617496</v>
      </c>
      <c r="B14">
        <v>-3.4889904788217914</v>
      </c>
    </row>
    <row r="15" spans="1:2" x14ac:dyDescent="0.35">
      <c r="A15">
        <v>11.903373690623203</v>
      </c>
      <c r="B15">
        <v>-1.5056312979884998</v>
      </c>
    </row>
    <row r="16" spans="1:2" x14ac:dyDescent="0.35">
      <c r="A16">
        <v>20.57275612185045</v>
      </c>
      <c r="B16">
        <v>-3.4437015204602677</v>
      </c>
    </row>
    <row r="17" spans="1:2" x14ac:dyDescent="0.35">
      <c r="A17">
        <v>31.304878223670563</v>
      </c>
      <c r="B17">
        <v>1.0964205723359202</v>
      </c>
    </row>
    <row r="18" spans="1:2" x14ac:dyDescent="0.35">
      <c r="A18">
        <v>1.7726587884195899</v>
      </c>
      <c r="B18">
        <v>-2.75142874062049</v>
      </c>
    </row>
    <row r="19" spans="1:2" x14ac:dyDescent="0.35">
      <c r="A19">
        <v>60.100898500496129</v>
      </c>
      <c r="B19">
        <v>0.26986913980854688</v>
      </c>
    </row>
    <row r="20" spans="1:2" x14ac:dyDescent="0.35">
      <c r="A20">
        <v>98.299177977660051</v>
      </c>
      <c r="B20">
        <v>-2.563301212528061</v>
      </c>
    </row>
    <row r="21" spans="1:2" x14ac:dyDescent="0.35">
      <c r="A21">
        <v>87.080404421659495</v>
      </c>
      <c r="B21">
        <v>-3.5151252373510227</v>
      </c>
    </row>
    <row r="22" spans="1:2" x14ac:dyDescent="0.35">
      <c r="A22">
        <v>80.852423127891527</v>
      </c>
      <c r="B22">
        <v>-2.8442888301457483</v>
      </c>
    </row>
    <row r="23" spans="1:2" x14ac:dyDescent="0.35">
      <c r="A23">
        <v>19.441594946148328</v>
      </c>
      <c r="B23">
        <v>1.7813022040873001</v>
      </c>
    </row>
    <row r="24" spans="1:2" x14ac:dyDescent="0.35">
      <c r="A24">
        <v>20.41900393276045</v>
      </c>
      <c r="B24">
        <v>-3.8159194756479655</v>
      </c>
    </row>
    <row r="25" spans="1:2" x14ac:dyDescent="0.35">
      <c r="A25">
        <v>63.81898960654226</v>
      </c>
      <c r="B25">
        <v>-3.2177644452720235</v>
      </c>
    </row>
    <row r="26" spans="1:2" x14ac:dyDescent="0.35">
      <c r="A26">
        <v>54.749022099855225</v>
      </c>
      <c r="B26">
        <v>-1.1936987429712769</v>
      </c>
    </row>
    <row r="27" spans="1:2" x14ac:dyDescent="0.35">
      <c r="A27">
        <v>8.6766820292996396</v>
      </c>
      <c r="B27">
        <v>-1.3308025633114609</v>
      </c>
    </row>
    <row r="28" spans="1:2" x14ac:dyDescent="0.35">
      <c r="A28">
        <v>63.732253601778453</v>
      </c>
      <c r="B28">
        <v>-1.2824604519665526</v>
      </c>
    </row>
    <row r="29" spans="1:2" x14ac:dyDescent="0.35">
      <c r="A29">
        <v>25.906195134191289</v>
      </c>
      <c r="B29">
        <v>-3.0435243955948392</v>
      </c>
    </row>
    <row r="30" spans="1:2" x14ac:dyDescent="0.35">
      <c r="A30">
        <v>87.497192658598522</v>
      </c>
      <c r="B30">
        <v>-2.2878231531816926</v>
      </c>
    </row>
    <row r="31" spans="1:2" x14ac:dyDescent="0.35">
      <c r="A31">
        <v>59.460697716271675</v>
      </c>
      <c r="B31">
        <v>0.53114567250365852</v>
      </c>
    </row>
    <row r="32" spans="1:2" x14ac:dyDescent="0.35">
      <c r="A32">
        <v>32.82599587258575</v>
      </c>
      <c r="B32">
        <v>3.6258413639763605</v>
      </c>
    </row>
    <row r="33" spans="1:2" x14ac:dyDescent="0.35">
      <c r="A33">
        <v>87.544566895266144</v>
      </c>
      <c r="B33">
        <v>-2.9336250071856744</v>
      </c>
    </row>
    <row r="34" spans="1:2" x14ac:dyDescent="0.35">
      <c r="A34">
        <v>77.352960742533142</v>
      </c>
      <c r="B34">
        <v>3.6190436248323099</v>
      </c>
    </row>
    <row r="35" spans="1:2" x14ac:dyDescent="0.35">
      <c r="A35">
        <v>21.082221953282758</v>
      </c>
      <c r="B35">
        <v>-1.0893970629318082</v>
      </c>
    </row>
    <row r="36" spans="1:2" x14ac:dyDescent="0.35">
      <c r="A36">
        <v>53.129356175421833</v>
      </c>
      <c r="B36">
        <v>-2.3369600542837752</v>
      </c>
    </row>
    <row r="37" spans="1:2" x14ac:dyDescent="0.35">
      <c r="A37">
        <v>3.2794680438482726</v>
      </c>
      <c r="B37">
        <v>3.605873591002057</v>
      </c>
    </row>
    <row r="38" spans="1:2" x14ac:dyDescent="0.35">
      <c r="A38">
        <v>3.710071540675163</v>
      </c>
      <c r="B38">
        <v>3.6689127965120285</v>
      </c>
    </row>
    <row r="39" spans="1:2" x14ac:dyDescent="0.35">
      <c r="A39">
        <v>58.759314042884469</v>
      </c>
      <c r="B39">
        <v>1.7162984050795016</v>
      </c>
    </row>
    <row r="40" spans="1:2" x14ac:dyDescent="0.35">
      <c r="A40">
        <v>35.468491694801841</v>
      </c>
      <c r="B40">
        <v>-3.1455120473981548</v>
      </c>
    </row>
    <row r="41" spans="1:2" x14ac:dyDescent="0.35">
      <c r="A41">
        <v>12.253974376891449</v>
      </c>
      <c r="B41">
        <v>1.4286929873856797</v>
      </c>
    </row>
    <row r="42" spans="1:2" x14ac:dyDescent="0.35">
      <c r="A42">
        <v>54.484450620480665</v>
      </c>
      <c r="B42">
        <v>-1.8562287277334866</v>
      </c>
    </row>
    <row r="43" spans="1:2" x14ac:dyDescent="0.35">
      <c r="A43">
        <v>33.565480209705434</v>
      </c>
      <c r="B43">
        <v>-1.37761127736995</v>
      </c>
    </row>
    <row r="44" spans="1:2" x14ac:dyDescent="0.35">
      <c r="A44">
        <v>75.334824077561521</v>
      </c>
      <c r="B44">
        <v>1.4297459448224306</v>
      </c>
    </row>
    <row r="45" spans="1:2" x14ac:dyDescent="0.35">
      <c r="A45">
        <v>65.816680764286247</v>
      </c>
      <c r="B45">
        <v>-3.7257796224256357</v>
      </c>
    </row>
    <row r="46" spans="1:2" x14ac:dyDescent="0.35">
      <c r="A46">
        <v>82.588305563470044</v>
      </c>
      <c r="B46">
        <v>-3.5533747515089429</v>
      </c>
    </row>
    <row r="47" spans="1:2" x14ac:dyDescent="0.35">
      <c r="A47">
        <v>14.876865313379461</v>
      </c>
      <c r="B47">
        <v>-3.3573299685893891</v>
      </c>
    </row>
    <row r="48" spans="1:2" x14ac:dyDescent="0.35">
      <c r="A48">
        <v>1.6790847541986644</v>
      </c>
      <c r="B48">
        <v>-3.1682314619577125</v>
      </c>
    </row>
    <row r="49" spans="1:2" x14ac:dyDescent="0.35">
      <c r="A49">
        <v>75.720800216701761</v>
      </c>
      <c r="B49">
        <v>-0.28240904894859309</v>
      </c>
    </row>
    <row r="50" spans="1:2" x14ac:dyDescent="0.35">
      <c r="A50">
        <v>12.727820335502841</v>
      </c>
      <c r="B50">
        <v>-3.1171761253642574</v>
      </c>
    </row>
    <row r="51" spans="1:2" x14ac:dyDescent="0.35">
      <c r="A51">
        <v>78.894201205419222</v>
      </c>
      <c r="B51">
        <v>-1.2211477137129609</v>
      </c>
    </row>
    <row r="52" spans="1:2" x14ac:dyDescent="0.35">
      <c r="A52">
        <v>81.977652617008246</v>
      </c>
      <c r="B52">
        <v>3.5678232550682099</v>
      </c>
    </row>
    <row r="53" spans="1:2" x14ac:dyDescent="0.35">
      <c r="A53">
        <v>82.962512100907389</v>
      </c>
      <c r="B53">
        <v>3.07741795991027</v>
      </c>
    </row>
    <row r="54" spans="1:2" x14ac:dyDescent="0.35">
      <c r="A54">
        <v>88.123949596320685</v>
      </c>
      <c r="B54">
        <v>2.9064447618272506</v>
      </c>
    </row>
    <row r="55" spans="1:2" x14ac:dyDescent="0.35">
      <c r="A55">
        <v>84.724588598249369</v>
      </c>
      <c r="B55">
        <v>-0.39927406235404472</v>
      </c>
    </row>
    <row r="56" spans="1:2" x14ac:dyDescent="0.35">
      <c r="A56">
        <v>58.228753883587061</v>
      </c>
      <c r="B56">
        <v>-0.38275993038000244</v>
      </c>
    </row>
    <row r="57" spans="1:2" x14ac:dyDescent="0.35">
      <c r="A57">
        <v>95.331729993319428</v>
      </c>
      <c r="B57">
        <v>-2.1024507622946107</v>
      </c>
    </row>
    <row r="58" spans="1:2" x14ac:dyDescent="0.35">
      <c r="A58">
        <v>55.098597727563657</v>
      </c>
      <c r="B58">
        <v>-1.6947208478184175</v>
      </c>
    </row>
    <row r="59" spans="1:2" x14ac:dyDescent="0.35">
      <c r="A59">
        <v>1.8825983692070247</v>
      </c>
      <c r="B59">
        <v>3.8559654026863281</v>
      </c>
    </row>
    <row r="60" spans="1:2" x14ac:dyDescent="0.35">
      <c r="A60">
        <v>91.430576881696865</v>
      </c>
      <c r="B60">
        <v>2.9278244993168245</v>
      </c>
    </row>
    <row r="61" spans="1:2" x14ac:dyDescent="0.35">
      <c r="A61">
        <v>77.504184612565126</v>
      </c>
      <c r="B61">
        <v>-2.1719555822804608</v>
      </c>
    </row>
    <row r="62" spans="1:2" x14ac:dyDescent="0.35">
      <c r="A62">
        <v>18.171978735629988</v>
      </c>
      <c r="B62">
        <v>0.3140604310756796</v>
      </c>
    </row>
    <row r="63" spans="1:2" x14ac:dyDescent="0.35">
      <c r="A63">
        <v>31.273432182077293</v>
      </c>
      <c r="B63">
        <v>2.5754897730320288</v>
      </c>
    </row>
    <row r="64" spans="1:2" x14ac:dyDescent="0.35">
      <c r="A64">
        <v>38.173238063254743</v>
      </c>
      <c r="B64">
        <v>-2.250213171131608</v>
      </c>
    </row>
    <row r="65" spans="1:2" x14ac:dyDescent="0.35">
      <c r="A65">
        <v>50.478740837322057</v>
      </c>
      <c r="B65">
        <v>-3.8488512408430218</v>
      </c>
    </row>
    <row r="66" spans="1:2" x14ac:dyDescent="0.35">
      <c r="A66">
        <v>26.411584826314691</v>
      </c>
      <c r="B66">
        <v>-1.4574418100888602</v>
      </c>
    </row>
    <row r="67" spans="1:2" x14ac:dyDescent="0.35">
      <c r="A67">
        <v>11.175598506333309</v>
      </c>
      <c r="B67">
        <v>2.4989158928965924</v>
      </c>
    </row>
    <row r="68" spans="1:2" x14ac:dyDescent="0.35">
      <c r="A68">
        <v>67.047144164473991</v>
      </c>
      <c r="B68">
        <v>3.0696993102264685</v>
      </c>
    </row>
    <row r="69" spans="1:2" x14ac:dyDescent="0.35">
      <c r="A69">
        <v>93.145346679245591</v>
      </c>
      <c r="B69">
        <v>-2.8506251495894572</v>
      </c>
    </row>
    <row r="70" spans="1:2" x14ac:dyDescent="0.35">
      <c r="A70">
        <v>50.196371338097698</v>
      </c>
      <c r="B70">
        <v>-0.47265480111478375</v>
      </c>
    </row>
    <row r="71" spans="1:2" x14ac:dyDescent="0.35">
      <c r="A71">
        <v>76.23241328183542</v>
      </c>
      <c r="B71">
        <v>3.1839975434017553</v>
      </c>
    </row>
    <row r="72" spans="1:2" x14ac:dyDescent="0.35">
      <c r="A72">
        <v>72.770987277389779</v>
      </c>
      <c r="B72">
        <v>-1.5389355093998249</v>
      </c>
    </row>
    <row r="73" spans="1:2" x14ac:dyDescent="0.35">
      <c r="A73">
        <v>45.989452739408975</v>
      </c>
      <c r="B73">
        <v>9.2055227926263861E-2</v>
      </c>
    </row>
    <row r="74" spans="1:2" x14ac:dyDescent="0.35">
      <c r="A74">
        <v>48.716816348911948</v>
      </c>
      <c r="B74">
        <v>-2.6948246648874408</v>
      </c>
    </row>
    <row r="75" spans="1:2" x14ac:dyDescent="0.35">
      <c r="A75">
        <v>45.39530745838028</v>
      </c>
      <c r="B75">
        <v>3.282904273534208</v>
      </c>
    </row>
    <row r="76" spans="1:2" x14ac:dyDescent="0.35">
      <c r="A76">
        <v>42.38491945262718</v>
      </c>
      <c r="B76">
        <v>-1.1115975795106783</v>
      </c>
    </row>
    <row r="77" spans="1:2" x14ac:dyDescent="0.35">
      <c r="A77">
        <v>70.977865575237686</v>
      </c>
      <c r="B77">
        <v>-1.2109956025421225</v>
      </c>
    </row>
    <row r="78" spans="1:2" x14ac:dyDescent="0.35">
      <c r="A78">
        <v>54.779308487300362</v>
      </c>
      <c r="B78">
        <v>3.7404318857950232</v>
      </c>
    </row>
    <row r="79" spans="1:2" x14ac:dyDescent="0.35">
      <c r="A79">
        <v>50.157357539160742</v>
      </c>
      <c r="B79">
        <v>0.98961697724473296</v>
      </c>
    </row>
    <row r="80" spans="1:2" x14ac:dyDescent="0.35">
      <c r="A80">
        <v>43.639159469985813</v>
      </c>
      <c r="B80">
        <v>1.2601501617022475</v>
      </c>
    </row>
    <row r="81" spans="1:2" x14ac:dyDescent="0.35">
      <c r="A81">
        <v>34.468490664262809</v>
      </c>
      <c r="B81">
        <v>0.7715924147884623</v>
      </c>
    </row>
    <row r="82" spans="1:2" x14ac:dyDescent="0.35">
      <c r="A82">
        <v>80.896159891459291</v>
      </c>
      <c r="B82">
        <v>0.18522782724370668</v>
      </c>
    </row>
    <row r="83" spans="1:2" x14ac:dyDescent="0.35">
      <c r="A83">
        <v>81.31231571506278</v>
      </c>
      <c r="B83">
        <v>-1.0135284811910594</v>
      </c>
    </row>
    <row r="84" spans="1:2" x14ac:dyDescent="0.35">
      <c r="A84">
        <v>38.53678222430888</v>
      </c>
      <c r="B84">
        <v>3.259764828609117</v>
      </c>
    </row>
    <row r="85" spans="1:2" x14ac:dyDescent="0.35">
      <c r="A85">
        <v>95.635989341941141</v>
      </c>
      <c r="B85">
        <v>-1.0386578256271468</v>
      </c>
    </row>
    <row r="86" spans="1:2" x14ac:dyDescent="0.35">
      <c r="A86">
        <v>78.984787640315929</v>
      </c>
      <c r="B86">
        <v>2.2141231868925191</v>
      </c>
    </row>
    <row r="87" spans="1:2" x14ac:dyDescent="0.35">
      <c r="A87">
        <v>55.362730664268796</v>
      </c>
      <c r="B87">
        <v>-2.5736058681779737</v>
      </c>
    </row>
    <row r="88" spans="1:2" x14ac:dyDescent="0.35">
      <c r="A88">
        <v>13.674131884049451</v>
      </c>
      <c r="B88">
        <v>3.8052886563832287</v>
      </c>
    </row>
    <row r="89" spans="1:2" x14ac:dyDescent="0.35">
      <c r="A89">
        <v>79.478128938157184</v>
      </c>
      <c r="B89">
        <v>-0.83783275470006036</v>
      </c>
    </row>
    <row r="90" spans="1:2" x14ac:dyDescent="0.35">
      <c r="A90">
        <v>80.973704072166711</v>
      </c>
      <c r="B90">
        <v>-3.9169684980030794</v>
      </c>
    </row>
    <row r="91" spans="1:2" x14ac:dyDescent="0.35">
      <c r="A91">
        <v>20.056861667741089</v>
      </c>
      <c r="B91">
        <v>0.49536628948665395</v>
      </c>
    </row>
    <row r="92" spans="1:2" x14ac:dyDescent="0.35">
      <c r="A92">
        <v>53.762947656147666</v>
      </c>
      <c r="B92">
        <v>1.9248243142817421</v>
      </c>
    </row>
    <row r="93" spans="1:2" x14ac:dyDescent="0.35">
      <c r="A93">
        <v>19.945485942430491</v>
      </c>
      <c r="B93">
        <v>-0.11353974789653076</v>
      </c>
    </row>
    <row r="94" spans="1:2" x14ac:dyDescent="0.35">
      <c r="A94">
        <v>75.879487185434371</v>
      </c>
      <c r="B94">
        <v>-0.51760923699907213</v>
      </c>
    </row>
    <row r="95" spans="1:2" x14ac:dyDescent="0.35">
      <c r="A95">
        <v>90.54346071733714</v>
      </c>
      <c r="B95">
        <v>-0.9936179583100202</v>
      </c>
    </row>
    <row r="96" spans="1:2" x14ac:dyDescent="0.35">
      <c r="A96">
        <v>58.893241463507984</v>
      </c>
      <c r="B96">
        <v>-2.0918209972130866</v>
      </c>
    </row>
    <row r="97" spans="1:2" x14ac:dyDescent="0.35">
      <c r="A97">
        <v>28.821032307554084</v>
      </c>
      <c r="B97">
        <v>3.1015033267975847</v>
      </c>
    </row>
    <row r="98" spans="1:2" x14ac:dyDescent="0.35">
      <c r="A98">
        <v>33.435636207776248</v>
      </c>
      <c r="B98">
        <v>-3.7774458053313653</v>
      </c>
    </row>
    <row r="99" spans="1:2" x14ac:dyDescent="0.35">
      <c r="A99">
        <v>98.712683297473902</v>
      </c>
      <c r="B99">
        <v>2.3968624876300142</v>
      </c>
    </row>
    <row r="100" spans="1:2" x14ac:dyDescent="0.35">
      <c r="A100">
        <v>69.282813607054393</v>
      </c>
      <c r="B100">
        <v>-0.19309097914901141</v>
      </c>
    </row>
    <row r="101" spans="1:2" x14ac:dyDescent="0.35">
      <c r="A101">
        <v>36.624102134918886</v>
      </c>
      <c r="B101">
        <v>-2.0529213440566449</v>
      </c>
    </row>
    <row r="102" spans="1:2" x14ac:dyDescent="0.35">
      <c r="A102">
        <v>90.901477878892052</v>
      </c>
      <c r="B102">
        <v>0.18356443457649974</v>
      </c>
    </row>
    <row r="103" spans="1:2" x14ac:dyDescent="0.35">
      <c r="A103">
        <v>29.599247141893308</v>
      </c>
      <c r="B103">
        <v>2.0709521941853808</v>
      </c>
    </row>
    <row r="104" spans="1:2" x14ac:dyDescent="0.35">
      <c r="A104">
        <v>48.579750607424799</v>
      </c>
      <c r="B104">
        <v>-3.680553870130268</v>
      </c>
    </row>
    <row r="105" spans="1:2" x14ac:dyDescent="0.35">
      <c r="A105">
        <v>13.37373882057269</v>
      </c>
      <c r="B105">
        <v>2.7368455314739935</v>
      </c>
    </row>
    <row r="106" spans="1:2" x14ac:dyDescent="0.35">
      <c r="A106">
        <v>22.103900508862449</v>
      </c>
      <c r="B106">
        <v>-2.2171695550838351</v>
      </c>
    </row>
    <row r="107" spans="1:2" x14ac:dyDescent="0.35">
      <c r="A107">
        <v>20.862477764204439</v>
      </c>
      <c r="B107">
        <v>1.673096589117014</v>
      </c>
    </row>
    <row r="108" spans="1:2" x14ac:dyDescent="0.35">
      <c r="A108">
        <v>85.30856274955346</v>
      </c>
      <c r="B108">
        <v>2.7746400432665927</v>
      </c>
    </row>
    <row r="109" spans="1:2" x14ac:dyDescent="0.35">
      <c r="A109">
        <v>85.237254092742873</v>
      </c>
      <c r="B109">
        <v>-0.87194970610621958</v>
      </c>
    </row>
    <row r="110" spans="1:2" x14ac:dyDescent="0.35">
      <c r="A110">
        <v>45.074055346875561</v>
      </c>
      <c r="B110">
        <v>2.5812322677124273</v>
      </c>
    </row>
    <row r="111" spans="1:2" x14ac:dyDescent="0.35">
      <c r="A111">
        <v>42.996073433509174</v>
      </c>
      <c r="B111">
        <v>2.516524401562279</v>
      </c>
    </row>
    <row r="112" spans="1:2" x14ac:dyDescent="0.35">
      <c r="A112">
        <v>66.621237966741703</v>
      </c>
      <c r="B112">
        <v>1.0637207902637025</v>
      </c>
    </row>
    <row r="113" spans="1:2" x14ac:dyDescent="0.35">
      <c r="A113">
        <v>29.614751395068708</v>
      </c>
      <c r="B113">
        <v>2.718331104139744</v>
      </c>
    </row>
    <row r="114" spans="1:2" x14ac:dyDescent="0.35">
      <c r="A114">
        <v>26.76232186795983</v>
      </c>
      <c r="B114">
        <v>1.4459035156112048</v>
      </c>
    </row>
    <row r="115" spans="1:2" x14ac:dyDescent="0.35">
      <c r="A115">
        <v>56.585782996746218</v>
      </c>
      <c r="B115">
        <v>1.1805605967676396</v>
      </c>
    </row>
    <row r="116" spans="1:2" x14ac:dyDescent="0.35">
      <c r="A116">
        <v>99.859932096128887</v>
      </c>
      <c r="B116">
        <v>-3.9849895260793247</v>
      </c>
    </row>
    <row r="117" spans="1:2" x14ac:dyDescent="0.35">
      <c r="A117">
        <v>20.362963686407042</v>
      </c>
      <c r="B117">
        <v>-1.7248923560440597</v>
      </c>
    </row>
    <row r="118" spans="1:2" x14ac:dyDescent="0.35">
      <c r="A118">
        <v>73.60238621470755</v>
      </c>
      <c r="B118">
        <v>1.0543879998669698</v>
      </c>
    </row>
    <row r="119" spans="1:2" x14ac:dyDescent="0.35">
      <c r="A119">
        <v>10.707088051668636</v>
      </c>
      <c r="B119">
        <v>0.31334266625864426</v>
      </c>
    </row>
    <row r="120" spans="1:2" x14ac:dyDescent="0.35">
      <c r="A120">
        <v>81.41647715994813</v>
      </c>
      <c r="B120">
        <v>0.64014827790020323</v>
      </c>
    </row>
    <row r="121" spans="1:2" x14ac:dyDescent="0.35">
      <c r="A121">
        <v>2</v>
      </c>
      <c r="B121">
        <v>0.33333333333333331</v>
      </c>
    </row>
    <row r="122" spans="1:2" x14ac:dyDescent="0.35">
      <c r="A122">
        <v>2</v>
      </c>
      <c r="B122">
        <v>-0.33333333333333331</v>
      </c>
    </row>
    <row r="123" spans="1:2" x14ac:dyDescent="0.35">
      <c r="A123">
        <v>2</v>
      </c>
      <c r="B123">
        <v>0.5</v>
      </c>
    </row>
    <row r="124" spans="1:2" x14ac:dyDescent="0.35">
      <c r="A124">
        <v>2</v>
      </c>
      <c r="B124">
        <v>-0.5</v>
      </c>
    </row>
    <row r="125" spans="1:2" x14ac:dyDescent="0.35">
      <c r="A125">
        <v>2</v>
      </c>
      <c r="B125">
        <v>0.14285714285714285</v>
      </c>
    </row>
    <row r="126" spans="1:2" x14ac:dyDescent="0.35">
      <c r="A126">
        <v>2</v>
      </c>
      <c r="B126">
        <v>-0.14285714285714285</v>
      </c>
    </row>
    <row r="127" spans="1:2" x14ac:dyDescent="0.35">
      <c r="A127">
        <v>2</v>
      </c>
      <c r="B127">
        <v>0.25</v>
      </c>
    </row>
    <row r="128" spans="1:2" x14ac:dyDescent="0.35">
      <c r="A128">
        <v>2</v>
      </c>
      <c r="B128">
        <v>-0.25</v>
      </c>
    </row>
    <row r="129" spans="1:2" x14ac:dyDescent="0.35">
      <c r="A129">
        <v>2</v>
      </c>
      <c r="B129">
        <v>1.5</v>
      </c>
    </row>
    <row r="130" spans="1:2" x14ac:dyDescent="0.35">
      <c r="A130">
        <v>2</v>
      </c>
      <c r="B130">
        <v>-1.5</v>
      </c>
    </row>
    <row r="131" spans="1:2" x14ac:dyDescent="0.35">
      <c r="A131">
        <v>2</v>
      </c>
      <c r="B131">
        <v>2.5</v>
      </c>
    </row>
    <row r="132" spans="1:2" x14ac:dyDescent="0.35">
      <c r="A132">
        <v>2</v>
      </c>
      <c r="B132">
        <v>0.1</v>
      </c>
    </row>
    <row r="133" spans="1:2" x14ac:dyDescent="0.35">
      <c r="A133">
        <v>2</v>
      </c>
      <c r="B133">
        <v>-0.1</v>
      </c>
    </row>
    <row r="134" spans="1:2" x14ac:dyDescent="0.35">
      <c r="A134">
        <v>2</v>
      </c>
      <c r="B134">
        <v>0.66666666666666663</v>
      </c>
    </row>
    <row r="135" spans="1:2" x14ac:dyDescent="0.35">
      <c r="A135">
        <v>2</v>
      </c>
      <c r="B135">
        <v>0.1111111111111111</v>
      </c>
    </row>
    <row r="136" spans="1:2" x14ac:dyDescent="0.35">
      <c r="A136">
        <v>3</v>
      </c>
      <c r="B136">
        <v>0.33333333333333331</v>
      </c>
    </row>
    <row r="137" spans="1:2" x14ac:dyDescent="0.35">
      <c r="A137">
        <v>3</v>
      </c>
      <c r="B137">
        <v>-0.33333333333333331</v>
      </c>
    </row>
    <row r="138" spans="1:2" x14ac:dyDescent="0.35">
      <c r="A138">
        <v>3</v>
      </c>
      <c r="B138">
        <v>0.5</v>
      </c>
    </row>
    <row r="139" spans="1:2" x14ac:dyDescent="0.35">
      <c r="A139">
        <v>3</v>
      </c>
      <c r="B139">
        <v>-0.5</v>
      </c>
    </row>
    <row r="140" spans="1:2" x14ac:dyDescent="0.35">
      <c r="A140">
        <v>3</v>
      </c>
      <c r="B140">
        <v>0.14285714285714285</v>
      </c>
    </row>
    <row r="141" spans="1:2" x14ac:dyDescent="0.35">
      <c r="A141">
        <v>3</v>
      </c>
      <c r="B141">
        <v>-0.14285714285714285</v>
      </c>
    </row>
    <row r="142" spans="1:2" x14ac:dyDescent="0.35">
      <c r="A142">
        <v>3</v>
      </c>
      <c r="B142">
        <v>0.25</v>
      </c>
    </row>
    <row r="143" spans="1:2" x14ac:dyDescent="0.35">
      <c r="A143">
        <v>3</v>
      </c>
      <c r="B143">
        <v>-0.25</v>
      </c>
    </row>
    <row r="144" spans="1:2" x14ac:dyDescent="0.35">
      <c r="A144">
        <v>3</v>
      </c>
      <c r="B144">
        <v>1.5</v>
      </c>
    </row>
    <row r="145" spans="1:2" x14ac:dyDescent="0.35">
      <c r="A145">
        <v>3</v>
      </c>
      <c r="B145">
        <v>-1.5</v>
      </c>
    </row>
    <row r="146" spans="1:2" x14ac:dyDescent="0.35">
      <c r="A146">
        <v>3</v>
      </c>
      <c r="B146">
        <v>2.5</v>
      </c>
    </row>
    <row r="147" spans="1:2" x14ac:dyDescent="0.35">
      <c r="A147">
        <v>3</v>
      </c>
      <c r="B147">
        <v>0.1</v>
      </c>
    </row>
    <row r="148" spans="1:2" x14ac:dyDescent="0.35">
      <c r="A148">
        <v>3</v>
      </c>
      <c r="B148">
        <v>-0.1</v>
      </c>
    </row>
    <row r="149" spans="1:2" x14ac:dyDescent="0.35">
      <c r="A149">
        <v>3</v>
      </c>
      <c r="B149">
        <v>0.66666666666666663</v>
      </c>
    </row>
    <row r="150" spans="1:2" x14ac:dyDescent="0.35">
      <c r="A150">
        <v>3</v>
      </c>
      <c r="B150">
        <v>0.1111111111111111</v>
      </c>
    </row>
    <row r="151" spans="1:2" x14ac:dyDescent="0.35">
      <c r="A151">
        <v>5</v>
      </c>
      <c r="B151">
        <v>0.33333333333333331</v>
      </c>
    </row>
    <row r="152" spans="1:2" x14ac:dyDescent="0.35">
      <c r="A152">
        <v>5</v>
      </c>
      <c r="B152">
        <v>-0.33333333333333331</v>
      </c>
    </row>
    <row r="153" spans="1:2" x14ac:dyDescent="0.35">
      <c r="A153">
        <v>5</v>
      </c>
      <c r="B153">
        <v>0.5</v>
      </c>
    </row>
    <row r="154" spans="1:2" x14ac:dyDescent="0.35">
      <c r="A154">
        <v>5</v>
      </c>
      <c r="B154">
        <v>-0.5</v>
      </c>
    </row>
    <row r="155" spans="1:2" x14ac:dyDescent="0.35">
      <c r="A155">
        <v>5</v>
      </c>
      <c r="B155">
        <v>0.14285714285714285</v>
      </c>
    </row>
    <row r="156" spans="1:2" x14ac:dyDescent="0.35">
      <c r="A156">
        <v>5</v>
      </c>
      <c r="B156">
        <v>-0.14285714285714285</v>
      </c>
    </row>
    <row r="157" spans="1:2" x14ac:dyDescent="0.35">
      <c r="A157">
        <v>5</v>
      </c>
      <c r="B157">
        <v>0.25</v>
      </c>
    </row>
    <row r="158" spans="1:2" x14ac:dyDescent="0.35">
      <c r="A158">
        <v>5</v>
      </c>
      <c r="B158">
        <v>-0.25</v>
      </c>
    </row>
    <row r="159" spans="1:2" x14ac:dyDescent="0.35">
      <c r="A159">
        <v>5</v>
      </c>
      <c r="B159">
        <v>1.5</v>
      </c>
    </row>
    <row r="160" spans="1:2" x14ac:dyDescent="0.35">
      <c r="A160">
        <v>5</v>
      </c>
      <c r="B160">
        <v>-1.5</v>
      </c>
    </row>
    <row r="161" spans="1:2" x14ac:dyDescent="0.35">
      <c r="A161">
        <v>5</v>
      </c>
      <c r="B161">
        <v>2.5</v>
      </c>
    </row>
    <row r="162" spans="1:2" x14ac:dyDescent="0.35">
      <c r="A162">
        <v>5</v>
      </c>
      <c r="B162">
        <v>0.1</v>
      </c>
    </row>
    <row r="163" spans="1:2" x14ac:dyDescent="0.35">
      <c r="A163">
        <v>5</v>
      </c>
      <c r="B163">
        <v>-0.1</v>
      </c>
    </row>
    <row r="164" spans="1:2" x14ac:dyDescent="0.35">
      <c r="A164">
        <v>5</v>
      </c>
      <c r="B164">
        <v>0.66666666666666663</v>
      </c>
    </row>
    <row r="165" spans="1:2" x14ac:dyDescent="0.35">
      <c r="A165">
        <v>5</v>
      </c>
      <c r="B165">
        <v>0.1111111111111111</v>
      </c>
    </row>
    <row r="166" spans="1:2" x14ac:dyDescent="0.35">
      <c r="A166">
        <v>7</v>
      </c>
      <c r="B166">
        <v>0.33333333333333331</v>
      </c>
    </row>
    <row r="167" spans="1:2" x14ac:dyDescent="0.35">
      <c r="A167">
        <v>7</v>
      </c>
      <c r="B167">
        <v>-0.33333333333333331</v>
      </c>
    </row>
    <row r="168" spans="1:2" x14ac:dyDescent="0.35">
      <c r="A168">
        <v>7</v>
      </c>
      <c r="B168">
        <v>0.5</v>
      </c>
    </row>
    <row r="169" spans="1:2" x14ac:dyDescent="0.35">
      <c r="A169">
        <v>7</v>
      </c>
      <c r="B169">
        <v>-0.5</v>
      </c>
    </row>
    <row r="170" spans="1:2" x14ac:dyDescent="0.35">
      <c r="A170">
        <v>7</v>
      </c>
      <c r="B170">
        <v>0.14285714285714285</v>
      </c>
    </row>
    <row r="171" spans="1:2" x14ac:dyDescent="0.35">
      <c r="A171">
        <v>7</v>
      </c>
      <c r="B171">
        <v>-0.14285714285714285</v>
      </c>
    </row>
    <row r="172" spans="1:2" x14ac:dyDescent="0.35">
      <c r="A172">
        <v>7</v>
      </c>
      <c r="B172">
        <v>0.25</v>
      </c>
    </row>
    <row r="173" spans="1:2" x14ac:dyDescent="0.35">
      <c r="A173">
        <v>7</v>
      </c>
      <c r="B173">
        <v>-0.25</v>
      </c>
    </row>
    <row r="174" spans="1:2" x14ac:dyDescent="0.35">
      <c r="A174">
        <v>7</v>
      </c>
      <c r="B174">
        <v>1.5</v>
      </c>
    </row>
    <row r="175" spans="1:2" x14ac:dyDescent="0.35">
      <c r="A175">
        <v>7</v>
      </c>
      <c r="B175">
        <v>-1.5</v>
      </c>
    </row>
    <row r="176" spans="1:2" x14ac:dyDescent="0.35">
      <c r="A176">
        <v>7</v>
      </c>
      <c r="B176">
        <v>2.5</v>
      </c>
    </row>
    <row r="177" spans="1:2" x14ac:dyDescent="0.35">
      <c r="A177">
        <v>7</v>
      </c>
      <c r="B177">
        <v>0.1</v>
      </c>
    </row>
    <row r="178" spans="1:2" x14ac:dyDescent="0.35">
      <c r="A178">
        <v>7</v>
      </c>
      <c r="B178">
        <v>-0.1</v>
      </c>
    </row>
    <row r="179" spans="1:2" x14ac:dyDescent="0.35">
      <c r="A179">
        <v>7</v>
      </c>
      <c r="B179">
        <v>0.66666666666666663</v>
      </c>
    </row>
    <row r="180" spans="1:2" x14ac:dyDescent="0.35">
      <c r="A180">
        <v>7</v>
      </c>
      <c r="B180">
        <v>0.1111111111111111</v>
      </c>
    </row>
    <row r="181" spans="1:2" x14ac:dyDescent="0.35">
      <c r="A181">
        <v>8</v>
      </c>
      <c r="B181">
        <v>0.33333333333333331</v>
      </c>
    </row>
    <row r="182" spans="1:2" x14ac:dyDescent="0.35">
      <c r="A182">
        <v>8</v>
      </c>
      <c r="B182">
        <v>-0.33333333333333331</v>
      </c>
    </row>
    <row r="183" spans="1:2" x14ac:dyDescent="0.35">
      <c r="A183">
        <v>8</v>
      </c>
      <c r="B183">
        <v>0.5</v>
      </c>
    </row>
    <row r="184" spans="1:2" x14ac:dyDescent="0.35">
      <c r="A184">
        <v>8</v>
      </c>
      <c r="B184">
        <v>-0.5</v>
      </c>
    </row>
    <row r="185" spans="1:2" x14ac:dyDescent="0.35">
      <c r="A185">
        <v>8</v>
      </c>
      <c r="B185">
        <v>0.14285714285714285</v>
      </c>
    </row>
    <row r="186" spans="1:2" x14ac:dyDescent="0.35">
      <c r="A186">
        <v>8</v>
      </c>
      <c r="B186">
        <v>-0.14285714285714285</v>
      </c>
    </row>
    <row r="187" spans="1:2" x14ac:dyDescent="0.35">
      <c r="A187">
        <v>8</v>
      </c>
      <c r="B187">
        <v>0.25</v>
      </c>
    </row>
    <row r="188" spans="1:2" x14ac:dyDescent="0.35">
      <c r="A188">
        <v>8</v>
      </c>
      <c r="B188">
        <v>-0.25</v>
      </c>
    </row>
    <row r="189" spans="1:2" x14ac:dyDescent="0.35">
      <c r="A189">
        <v>8</v>
      </c>
      <c r="B189">
        <v>1.5</v>
      </c>
    </row>
    <row r="190" spans="1:2" x14ac:dyDescent="0.35">
      <c r="A190">
        <v>8</v>
      </c>
      <c r="B190">
        <v>-1.5</v>
      </c>
    </row>
    <row r="191" spans="1:2" x14ac:dyDescent="0.35">
      <c r="A191">
        <v>8</v>
      </c>
      <c r="B191">
        <v>2.5</v>
      </c>
    </row>
    <row r="192" spans="1:2" x14ac:dyDescent="0.35">
      <c r="A192">
        <v>8</v>
      </c>
      <c r="B192">
        <v>0.1</v>
      </c>
    </row>
    <row r="193" spans="1:2" x14ac:dyDescent="0.35">
      <c r="A193">
        <v>8</v>
      </c>
      <c r="B193">
        <v>-0.1</v>
      </c>
    </row>
    <row r="194" spans="1:2" x14ac:dyDescent="0.35">
      <c r="A194">
        <v>8</v>
      </c>
      <c r="B194">
        <v>0.66666666666666663</v>
      </c>
    </row>
    <row r="195" spans="1:2" x14ac:dyDescent="0.35">
      <c r="A195">
        <v>8</v>
      </c>
      <c r="B195">
        <v>0.1111111111111111</v>
      </c>
    </row>
    <row r="196" spans="1:2" x14ac:dyDescent="0.35">
      <c r="A196">
        <v>10</v>
      </c>
      <c r="B196">
        <v>0.33333333333333331</v>
      </c>
    </row>
    <row r="197" spans="1:2" x14ac:dyDescent="0.35">
      <c r="A197">
        <v>10</v>
      </c>
      <c r="B197">
        <v>-0.33333333333333331</v>
      </c>
    </row>
    <row r="198" spans="1:2" x14ac:dyDescent="0.35">
      <c r="A198">
        <v>10</v>
      </c>
      <c r="B198">
        <v>0.5</v>
      </c>
    </row>
    <row r="199" spans="1:2" x14ac:dyDescent="0.35">
      <c r="A199">
        <v>10</v>
      </c>
      <c r="B199">
        <v>-0.5</v>
      </c>
    </row>
    <row r="200" spans="1:2" x14ac:dyDescent="0.35">
      <c r="A200">
        <v>10</v>
      </c>
      <c r="B200">
        <v>0.14285714285714285</v>
      </c>
    </row>
    <row r="201" spans="1:2" x14ac:dyDescent="0.35">
      <c r="A201">
        <v>10</v>
      </c>
      <c r="B201">
        <v>-0.14285714285714285</v>
      </c>
    </row>
    <row r="202" spans="1:2" x14ac:dyDescent="0.35">
      <c r="A202">
        <v>10</v>
      </c>
      <c r="B202">
        <v>0.25</v>
      </c>
    </row>
    <row r="203" spans="1:2" x14ac:dyDescent="0.35">
      <c r="A203">
        <v>10</v>
      </c>
      <c r="B203">
        <v>-0.25</v>
      </c>
    </row>
    <row r="204" spans="1:2" x14ac:dyDescent="0.35">
      <c r="A204">
        <v>10</v>
      </c>
      <c r="B204">
        <v>1.5</v>
      </c>
    </row>
    <row r="205" spans="1:2" x14ac:dyDescent="0.35">
      <c r="A205">
        <v>10</v>
      </c>
      <c r="B205">
        <v>-1.5</v>
      </c>
    </row>
    <row r="206" spans="1:2" x14ac:dyDescent="0.35">
      <c r="A206">
        <v>10</v>
      </c>
      <c r="B206">
        <v>2.5</v>
      </c>
    </row>
    <row r="207" spans="1:2" x14ac:dyDescent="0.35">
      <c r="A207">
        <v>10</v>
      </c>
      <c r="B207">
        <v>0.1</v>
      </c>
    </row>
    <row r="208" spans="1:2" x14ac:dyDescent="0.35">
      <c r="A208">
        <v>10</v>
      </c>
      <c r="B208">
        <v>-0.1</v>
      </c>
    </row>
    <row r="209" spans="1:2" x14ac:dyDescent="0.35">
      <c r="A209">
        <v>10</v>
      </c>
      <c r="B209">
        <v>0.66666666666666663</v>
      </c>
    </row>
    <row r="210" spans="1:2" x14ac:dyDescent="0.35">
      <c r="A210">
        <v>10</v>
      </c>
      <c r="B210">
        <v>0.1111111111111111</v>
      </c>
    </row>
    <row r="211" spans="1:2" x14ac:dyDescent="0.35">
      <c r="A211">
        <v>27</v>
      </c>
      <c r="B211">
        <v>0.33333333333333331</v>
      </c>
    </row>
    <row r="212" spans="1:2" x14ac:dyDescent="0.35">
      <c r="A212">
        <v>27</v>
      </c>
      <c r="B212">
        <v>-0.33333333333333331</v>
      </c>
    </row>
    <row r="213" spans="1:2" x14ac:dyDescent="0.35">
      <c r="A213">
        <v>27</v>
      </c>
      <c r="B213">
        <v>0.5</v>
      </c>
    </row>
    <row r="214" spans="1:2" x14ac:dyDescent="0.35">
      <c r="A214">
        <v>27</v>
      </c>
      <c r="B214">
        <v>-0.5</v>
      </c>
    </row>
    <row r="215" spans="1:2" x14ac:dyDescent="0.35">
      <c r="A215">
        <v>27</v>
      </c>
      <c r="B215">
        <v>0.14285714285714285</v>
      </c>
    </row>
    <row r="216" spans="1:2" x14ac:dyDescent="0.35">
      <c r="A216">
        <v>27</v>
      </c>
      <c r="B216">
        <v>-0.14285714285714285</v>
      </c>
    </row>
    <row r="217" spans="1:2" x14ac:dyDescent="0.35">
      <c r="A217">
        <v>27</v>
      </c>
      <c r="B217">
        <v>0.25</v>
      </c>
    </row>
    <row r="218" spans="1:2" x14ac:dyDescent="0.35">
      <c r="A218">
        <v>27</v>
      </c>
      <c r="B218">
        <v>-0.25</v>
      </c>
    </row>
    <row r="219" spans="1:2" x14ac:dyDescent="0.35">
      <c r="A219">
        <v>27</v>
      </c>
      <c r="B219">
        <v>1.5</v>
      </c>
    </row>
    <row r="220" spans="1:2" x14ac:dyDescent="0.35">
      <c r="A220">
        <v>27</v>
      </c>
      <c r="B220">
        <v>-1.5</v>
      </c>
    </row>
    <row r="221" spans="1:2" x14ac:dyDescent="0.35">
      <c r="A221">
        <v>27</v>
      </c>
      <c r="B221">
        <v>2.5</v>
      </c>
    </row>
    <row r="222" spans="1:2" x14ac:dyDescent="0.35">
      <c r="A222">
        <v>27</v>
      </c>
      <c r="B222">
        <v>0.1</v>
      </c>
    </row>
    <row r="223" spans="1:2" x14ac:dyDescent="0.35">
      <c r="A223">
        <v>27</v>
      </c>
      <c r="B223">
        <v>-0.1</v>
      </c>
    </row>
    <row r="224" spans="1:2" x14ac:dyDescent="0.35">
      <c r="A224">
        <v>27</v>
      </c>
      <c r="B224">
        <v>0.66666666666666663</v>
      </c>
    </row>
    <row r="225" spans="1:2" x14ac:dyDescent="0.35">
      <c r="A225">
        <v>27</v>
      </c>
      <c r="B225">
        <v>0.1111111111111111</v>
      </c>
    </row>
    <row r="226" spans="1:2" x14ac:dyDescent="0.35">
      <c r="A226">
        <v>64</v>
      </c>
      <c r="B226">
        <v>0.33333333333333331</v>
      </c>
    </row>
    <row r="227" spans="1:2" x14ac:dyDescent="0.35">
      <c r="A227">
        <v>64</v>
      </c>
      <c r="B227">
        <v>-0.33333333333333331</v>
      </c>
    </row>
    <row r="228" spans="1:2" x14ac:dyDescent="0.35">
      <c r="A228">
        <v>64</v>
      </c>
      <c r="B228">
        <v>0.5</v>
      </c>
    </row>
    <row r="229" spans="1:2" x14ac:dyDescent="0.35">
      <c r="A229">
        <v>64</v>
      </c>
      <c r="B229">
        <v>-0.5</v>
      </c>
    </row>
    <row r="230" spans="1:2" x14ac:dyDescent="0.35">
      <c r="A230">
        <v>64</v>
      </c>
      <c r="B230">
        <v>0.14285714285714285</v>
      </c>
    </row>
    <row r="231" spans="1:2" x14ac:dyDescent="0.35">
      <c r="A231">
        <v>64</v>
      </c>
      <c r="B231">
        <v>-0.14285714285714285</v>
      </c>
    </row>
    <row r="232" spans="1:2" x14ac:dyDescent="0.35">
      <c r="A232">
        <v>64</v>
      </c>
      <c r="B232">
        <v>0.25</v>
      </c>
    </row>
    <row r="233" spans="1:2" x14ac:dyDescent="0.35">
      <c r="A233">
        <v>64</v>
      </c>
      <c r="B233">
        <v>-0.25</v>
      </c>
    </row>
    <row r="234" spans="1:2" x14ac:dyDescent="0.35">
      <c r="A234">
        <v>64</v>
      </c>
      <c r="B234">
        <v>1.5</v>
      </c>
    </row>
    <row r="235" spans="1:2" x14ac:dyDescent="0.35">
      <c r="A235">
        <v>64</v>
      </c>
      <c r="B235">
        <v>-1.5</v>
      </c>
    </row>
    <row r="236" spans="1:2" x14ac:dyDescent="0.35">
      <c r="A236">
        <v>64</v>
      </c>
      <c r="B236">
        <v>2.5</v>
      </c>
    </row>
    <row r="237" spans="1:2" x14ac:dyDescent="0.35">
      <c r="A237">
        <v>64</v>
      </c>
      <c r="B237">
        <v>0.1</v>
      </c>
    </row>
    <row r="238" spans="1:2" x14ac:dyDescent="0.35">
      <c r="A238">
        <v>64</v>
      </c>
      <c r="B238">
        <v>-0.1</v>
      </c>
    </row>
    <row r="239" spans="1:2" x14ac:dyDescent="0.35">
      <c r="A239">
        <v>64</v>
      </c>
      <c r="B239">
        <v>0.66666666666666663</v>
      </c>
    </row>
    <row r="240" spans="1:2" x14ac:dyDescent="0.35">
      <c r="A240">
        <v>64</v>
      </c>
      <c r="B240">
        <v>0.1111111111111111</v>
      </c>
    </row>
    <row r="241" spans="1:2" x14ac:dyDescent="0.35">
      <c r="A241">
        <v>100</v>
      </c>
      <c r="B241">
        <v>0.33333333333333331</v>
      </c>
    </row>
    <row r="242" spans="1:2" x14ac:dyDescent="0.35">
      <c r="A242">
        <v>100</v>
      </c>
      <c r="B242">
        <v>-0.33333333333333331</v>
      </c>
    </row>
    <row r="243" spans="1:2" x14ac:dyDescent="0.35">
      <c r="A243">
        <v>100</v>
      </c>
      <c r="B243">
        <v>0.5</v>
      </c>
    </row>
    <row r="244" spans="1:2" x14ac:dyDescent="0.35">
      <c r="A244">
        <v>100</v>
      </c>
      <c r="B244">
        <v>-0.5</v>
      </c>
    </row>
    <row r="245" spans="1:2" x14ac:dyDescent="0.35">
      <c r="A245">
        <v>100</v>
      </c>
      <c r="B245">
        <v>0.14285714285714285</v>
      </c>
    </row>
    <row r="246" spans="1:2" x14ac:dyDescent="0.35">
      <c r="A246">
        <v>100</v>
      </c>
      <c r="B246">
        <v>-0.14285714285714285</v>
      </c>
    </row>
    <row r="247" spans="1:2" x14ac:dyDescent="0.35">
      <c r="A247">
        <v>100</v>
      </c>
      <c r="B247">
        <v>0.25</v>
      </c>
    </row>
    <row r="248" spans="1:2" x14ac:dyDescent="0.35">
      <c r="A248">
        <v>100</v>
      </c>
      <c r="B248">
        <v>-0.25</v>
      </c>
    </row>
    <row r="249" spans="1:2" x14ac:dyDescent="0.35">
      <c r="A249">
        <v>100</v>
      </c>
      <c r="B249">
        <v>1.5</v>
      </c>
    </row>
    <row r="250" spans="1:2" x14ac:dyDescent="0.35">
      <c r="A250">
        <v>100</v>
      </c>
      <c r="B250">
        <v>-1.5</v>
      </c>
    </row>
    <row r="251" spans="1:2" x14ac:dyDescent="0.35">
      <c r="A251">
        <v>100</v>
      </c>
      <c r="B251">
        <v>2.5</v>
      </c>
    </row>
    <row r="252" spans="1:2" x14ac:dyDescent="0.35">
      <c r="A252">
        <v>100</v>
      </c>
      <c r="B252">
        <v>0.1</v>
      </c>
    </row>
    <row r="253" spans="1:2" x14ac:dyDescent="0.35">
      <c r="A253">
        <v>100</v>
      </c>
      <c r="B253">
        <v>-0.1</v>
      </c>
    </row>
    <row r="254" spans="1:2" x14ac:dyDescent="0.35">
      <c r="A254">
        <v>100</v>
      </c>
      <c r="B254">
        <v>0.66666666666666663</v>
      </c>
    </row>
    <row r="255" spans="1:2" x14ac:dyDescent="0.35">
      <c r="A255">
        <v>100</v>
      </c>
      <c r="B255">
        <v>0.1111111111111111</v>
      </c>
    </row>
    <row r="256" spans="1:2" x14ac:dyDescent="0.35">
      <c r="A256">
        <v>1000</v>
      </c>
      <c r="B256">
        <v>0.33333333333333331</v>
      </c>
    </row>
    <row r="257" spans="1:2" x14ac:dyDescent="0.35">
      <c r="A257">
        <v>1000</v>
      </c>
      <c r="B257">
        <v>-0.33333333333333331</v>
      </c>
    </row>
    <row r="258" spans="1:2" x14ac:dyDescent="0.35">
      <c r="A258">
        <v>1000</v>
      </c>
      <c r="B258">
        <v>0.5</v>
      </c>
    </row>
    <row r="259" spans="1:2" x14ac:dyDescent="0.35">
      <c r="A259">
        <v>1000</v>
      </c>
      <c r="B259">
        <v>-0.5</v>
      </c>
    </row>
    <row r="260" spans="1:2" x14ac:dyDescent="0.35">
      <c r="A260">
        <v>1000</v>
      </c>
      <c r="B260">
        <v>0.14285714285714285</v>
      </c>
    </row>
    <row r="261" spans="1:2" x14ac:dyDescent="0.35">
      <c r="A261">
        <v>1000</v>
      </c>
      <c r="B261">
        <v>-0.14285714285714285</v>
      </c>
    </row>
    <row r="262" spans="1:2" x14ac:dyDescent="0.35">
      <c r="A262">
        <v>1000</v>
      </c>
      <c r="B262">
        <v>0.25</v>
      </c>
    </row>
    <row r="263" spans="1:2" x14ac:dyDescent="0.35">
      <c r="A263">
        <v>1000</v>
      </c>
      <c r="B263">
        <v>-0.25</v>
      </c>
    </row>
    <row r="264" spans="1:2" x14ac:dyDescent="0.35">
      <c r="A264">
        <v>1000</v>
      </c>
      <c r="B264">
        <v>1.5</v>
      </c>
    </row>
    <row r="265" spans="1:2" x14ac:dyDescent="0.35">
      <c r="A265">
        <v>1000</v>
      </c>
      <c r="B265">
        <v>-1.5</v>
      </c>
    </row>
    <row r="266" spans="1:2" x14ac:dyDescent="0.35">
      <c r="A266">
        <v>1000</v>
      </c>
      <c r="B266">
        <v>2.5</v>
      </c>
    </row>
    <row r="267" spans="1:2" x14ac:dyDescent="0.35">
      <c r="A267">
        <v>1000</v>
      </c>
      <c r="B267">
        <v>0.1</v>
      </c>
    </row>
    <row r="268" spans="1:2" x14ac:dyDescent="0.35">
      <c r="A268">
        <v>1000</v>
      </c>
      <c r="B268">
        <v>-0.1</v>
      </c>
    </row>
    <row r="269" spans="1:2" x14ac:dyDescent="0.35">
      <c r="A269">
        <v>1000</v>
      </c>
      <c r="B269">
        <v>0.66666666666666663</v>
      </c>
    </row>
    <row r="270" spans="1:2" x14ac:dyDescent="0.35">
      <c r="A270">
        <v>1000</v>
      </c>
      <c r="B270">
        <v>0.1111111111111111</v>
      </c>
    </row>
    <row r="271" spans="1:2" x14ac:dyDescent="0.35">
      <c r="A271">
        <v>0.5</v>
      </c>
      <c r="B271">
        <v>0.33333333333333331</v>
      </c>
    </row>
    <row r="272" spans="1:2" x14ac:dyDescent="0.35">
      <c r="A272">
        <v>0.5</v>
      </c>
      <c r="B272">
        <v>-0.33333333333333331</v>
      </c>
    </row>
    <row r="273" spans="1:2" x14ac:dyDescent="0.35">
      <c r="A273">
        <v>0.5</v>
      </c>
      <c r="B273">
        <v>0.5</v>
      </c>
    </row>
    <row r="274" spans="1:2" x14ac:dyDescent="0.35">
      <c r="A274">
        <v>0.5</v>
      </c>
      <c r="B274">
        <v>-0.5</v>
      </c>
    </row>
    <row r="275" spans="1:2" x14ac:dyDescent="0.35">
      <c r="A275">
        <v>0.5</v>
      </c>
      <c r="B275">
        <v>0.14285714285714285</v>
      </c>
    </row>
    <row r="276" spans="1:2" x14ac:dyDescent="0.35">
      <c r="A276">
        <v>0.5</v>
      </c>
      <c r="B276">
        <v>-0.14285714285714285</v>
      </c>
    </row>
    <row r="277" spans="1:2" x14ac:dyDescent="0.35">
      <c r="A277">
        <v>0.5</v>
      </c>
      <c r="B277">
        <v>0.25</v>
      </c>
    </row>
    <row r="278" spans="1:2" x14ac:dyDescent="0.35">
      <c r="A278">
        <v>0.5</v>
      </c>
      <c r="B278">
        <v>-0.25</v>
      </c>
    </row>
    <row r="279" spans="1:2" x14ac:dyDescent="0.35">
      <c r="A279">
        <v>0.5</v>
      </c>
      <c r="B279">
        <v>1.5</v>
      </c>
    </row>
    <row r="280" spans="1:2" x14ac:dyDescent="0.35">
      <c r="A280">
        <v>0.5</v>
      </c>
      <c r="B280">
        <v>-1.5</v>
      </c>
    </row>
    <row r="281" spans="1:2" x14ac:dyDescent="0.35">
      <c r="A281">
        <v>0.5</v>
      </c>
      <c r="B281">
        <v>2.5</v>
      </c>
    </row>
    <row r="282" spans="1:2" x14ac:dyDescent="0.35">
      <c r="A282">
        <v>0.5</v>
      </c>
      <c r="B282">
        <v>0.1</v>
      </c>
    </row>
    <row r="283" spans="1:2" x14ac:dyDescent="0.35">
      <c r="A283">
        <v>0.5</v>
      </c>
      <c r="B283">
        <v>-0.1</v>
      </c>
    </row>
    <row r="284" spans="1:2" x14ac:dyDescent="0.35">
      <c r="A284">
        <v>0.5</v>
      </c>
      <c r="B284">
        <v>0.66666666666666663</v>
      </c>
    </row>
    <row r="285" spans="1:2" x14ac:dyDescent="0.35">
      <c r="A285">
        <v>0.5</v>
      </c>
      <c r="B285">
        <v>0.1111111111111111</v>
      </c>
    </row>
    <row r="286" spans="1:2" x14ac:dyDescent="0.35">
      <c r="A286">
        <v>0.1</v>
      </c>
      <c r="B286">
        <v>0.33333333333333331</v>
      </c>
    </row>
    <row r="287" spans="1:2" x14ac:dyDescent="0.35">
      <c r="A287">
        <v>0.1</v>
      </c>
      <c r="B287">
        <v>-0.33333333333333331</v>
      </c>
    </row>
    <row r="288" spans="1:2" x14ac:dyDescent="0.35">
      <c r="A288">
        <v>0.1</v>
      </c>
      <c r="B288">
        <v>0.5</v>
      </c>
    </row>
    <row r="289" spans="1:2" x14ac:dyDescent="0.35">
      <c r="A289">
        <v>0.1</v>
      </c>
      <c r="B289">
        <v>-0.5</v>
      </c>
    </row>
    <row r="290" spans="1:2" x14ac:dyDescent="0.35">
      <c r="A290">
        <v>0.1</v>
      </c>
      <c r="B290">
        <v>0.14285714285714285</v>
      </c>
    </row>
    <row r="291" spans="1:2" x14ac:dyDescent="0.35">
      <c r="A291">
        <v>0.1</v>
      </c>
      <c r="B291">
        <v>-0.14285714285714285</v>
      </c>
    </row>
    <row r="292" spans="1:2" x14ac:dyDescent="0.35">
      <c r="A292">
        <v>0.1</v>
      </c>
      <c r="B292">
        <v>0.25</v>
      </c>
    </row>
    <row r="293" spans="1:2" x14ac:dyDescent="0.35">
      <c r="A293">
        <v>0.1</v>
      </c>
      <c r="B293">
        <v>-0.25</v>
      </c>
    </row>
    <row r="294" spans="1:2" x14ac:dyDescent="0.35">
      <c r="A294">
        <v>0.1</v>
      </c>
      <c r="B294">
        <v>1.5</v>
      </c>
    </row>
    <row r="295" spans="1:2" x14ac:dyDescent="0.35">
      <c r="A295">
        <v>0.1</v>
      </c>
      <c r="B295">
        <v>-1.5</v>
      </c>
    </row>
    <row r="296" spans="1:2" x14ac:dyDescent="0.35">
      <c r="A296">
        <v>0.1</v>
      </c>
      <c r="B296">
        <v>2.5</v>
      </c>
    </row>
    <row r="297" spans="1:2" x14ac:dyDescent="0.35">
      <c r="A297">
        <v>0.1</v>
      </c>
      <c r="B297">
        <v>0.1</v>
      </c>
    </row>
    <row r="298" spans="1:2" x14ac:dyDescent="0.35">
      <c r="A298">
        <v>0.1</v>
      </c>
      <c r="B298">
        <v>-0.1</v>
      </c>
    </row>
    <row r="299" spans="1:2" x14ac:dyDescent="0.35">
      <c r="A299">
        <v>0.1</v>
      </c>
      <c r="B299">
        <v>0.66666666666666663</v>
      </c>
    </row>
    <row r="300" spans="1:2" x14ac:dyDescent="0.35">
      <c r="A300">
        <v>0.1</v>
      </c>
      <c r="B300">
        <v>0.1111111111111111</v>
      </c>
    </row>
    <row r="301" spans="1:2" x14ac:dyDescent="0.35">
      <c r="A301">
        <v>-8</v>
      </c>
      <c r="B301">
        <v>0.33333333333333331</v>
      </c>
    </row>
    <row r="302" spans="1:2" x14ac:dyDescent="0.35">
      <c r="A302">
        <v>-8</v>
      </c>
      <c r="B302">
        <v>-0.33333333333333331</v>
      </c>
    </row>
    <row r="303" spans="1:2" x14ac:dyDescent="0.35">
      <c r="A303">
        <v>-8</v>
      </c>
      <c r="B303">
        <v>0.2</v>
      </c>
    </row>
    <row r="304" spans="1:2" x14ac:dyDescent="0.35">
      <c r="A304">
        <v>-8</v>
      </c>
      <c r="B304">
        <v>-0.2</v>
      </c>
    </row>
    <row r="305" spans="1:2" x14ac:dyDescent="0.35">
      <c r="A305">
        <v>-8</v>
      </c>
      <c r="B305">
        <v>0.66666666666666663</v>
      </c>
    </row>
    <row r="306" spans="1:2" x14ac:dyDescent="0.35">
      <c r="A306">
        <v>-8</v>
      </c>
      <c r="B306">
        <v>1.6666666666666667</v>
      </c>
    </row>
    <row r="307" spans="1:2" x14ac:dyDescent="0.35">
      <c r="A307">
        <v>-8</v>
      </c>
      <c r="B307">
        <v>-1.6666666666666667</v>
      </c>
    </row>
    <row r="308" spans="1:2" x14ac:dyDescent="0.35">
      <c r="A308">
        <v>-8</v>
      </c>
      <c r="B308">
        <v>0.6</v>
      </c>
    </row>
    <row r="309" spans="1:2" x14ac:dyDescent="0.35">
      <c r="A309">
        <v>-8</v>
      </c>
      <c r="B309">
        <v>0.14285714285714285</v>
      </c>
    </row>
    <row r="310" spans="1:2" x14ac:dyDescent="0.35">
      <c r="A310">
        <v>-8</v>
      </c>
      <c r="B310">
        <v>2.3333333333333335</v>
      </c>
    </row>
    <row r="311" spans="1:2" x14ac:dyDescent="0.35">
      <c r="A311">
        <v>-8</v>
      </c>
      <c r="B311">
        <v>-2.3333333333333335</v>
      </c>
    </row>
    <row r="312" spans="1:2" x14ac:dyDescent="0.35">
      <c r="A312">
        <v>-8</v>
      </c>
      <c r="B312">
        <v>0.2</v>
      </c>
    </row>
    <row r="313" spans="1:2" x14ac:dyDescent="0.35">
      <c r="A313">
        <v>-8</v>
      </c>
      <c r="B313">
        <v>-0.2</v>
      </c>
    </row>
    <row r="314" spans="1:2" x14ac:dyDescent="0.35">
      <c r="A314">
        <v>-8</v>
      </c>
      <c r="B314">
        <v>0.1111111111111111</v>
      </c>
    </row>
    <row r="315" spans="1:2" x14ac:dyDescent="0.35">
      <c r="A315">
        <v>-27</v>
      </c>
      <c r="B315">
        <v>0.33333333333333331</v>
      </c>
    </row>
    <row r="316" spans="1:2" x14ac:dyDescent="0.35">
      <c r="A316">
        <v>-27</v>
      </c>
      <c r="B316">
        <v>-0.33333333333333331</v>
      </c>
    </row>
    <row r="317" spans="1:2" x14ac:dyDescent="0.35">
      <c r="A317">
        <v>-27</v>
      </c>
      <c r="B317">
        <v>0.2</v>
      </c>
    </row>
    <row r="318" spans="1:2" x14ac:dyDescent="0.35">
      <c r="A318">
        <v>-27</v>
      </c>
      <c r="B318">
        <v>-0.2</v>
      </c>
    </row>
    <row r="319" spans="1:2" x14ac:dyDescent="0.35">
      <c r="A319">
        <v>-27</v>
      </c>
      <c r="B319">
        <v>0.66666666666666663</v>
      </c>
    </row>
    <row r="320" spans="1:2" x14ac:dyDescent="0.35">
      <c r="A320">
        <v>-27</v>
      </c>
      <c r="B320">
        <v>1.6666666666666667</v>
      </c>
    </row>
    <row r="321" spans="1:2" x14ac:dyDescent="0.35">
      <c r="A321">
        <v>-27</v>
      </c>
      <c r="B321">
        <v>-1.6666666666666667</v>
      </c>
    </row>
    <row r="322" spans="1:2" x14ac:dyDescent="0.35">
      <c r="A322">
        <v>-27</v>
      </c>
      <c r="B322">
        <v>0.6</v>
      </c>
    </row>
    <row r="323" spans="1:2" x14ac:dyDescent="0.35">
      <c r="A323">
        <v>-27</v>
      </c>
      <c r="B323">
        <v>0.14285714285714285</v>
      </c>
    </row>
    <row r="324" spans="1:2" x14ac:dyDescent="0.35">
      <c r="A324">
        <v>-27</v>
      </c>
      <c r="B324">
        <v>2.3333333333333335</v>
      </c>
    </row>
    <row r="325" spans="1:2" x14ac:dyDescent="0.35">
      <c r="A325">
        <v>-27</v>
      </c>
      <c r="B325">
        <v>-2.3333333333333335</v>
      </c>
    </row>
    <row r="326" spans="1:2" x14ac:dyDescent="0.35">
      <c r="A326">
        <v>-27</v>
      </c>
      <c r="B326">
        <v>0.2</v>
      </c>
    </row>
    <row r="327" spans="1:2" x14ac:dyDescent="0.35">
      <c r="A327">
        <v>-27</v>
      </c>
      <c r="B327">
        <v>-0.2</v>
      </c>
    </row>
    <row r="328" spans="1:2" x14ac:dyDescent="0.35">
      <c r="A328">
        <v>-27</v>
      </c>
      <c r="B328">
        <v>0.1111111111111111</v>
      </c>
    </row>
    <row r="329" spans="1:2" x14ac:dyDescent="0.35">
      <c r="A329">
        <v>-2</v>
      </c>
      <c r="B329">
        <v>0.33333333333333331</v>
      </c>
    </row>
    <row r="330" spans="1:2" x14ac:dyDescent="0.35">
      <c r="A330">
        <v>-2</v>
      </c>
      <c r="B330">
        <v>-0.33333333333333331</v>
      </c>
    </row>
    <row r="331" spans="1:2" x14ac:dyDescent="0.35">
      <c r="A331">
        <v>-2</v>
      </c>
      <c r="B331">
        <v>0.2</v>
      </c>
    </row>
    <row r="332" spans="1:2" x14ac:dyDescent="0.35">
      <c r="A332">
        <v>-2</v>
      </c>
      <c r="B332">
        <v>-0.2</v>
      </c>
    </row>
    <row r="333" spans="1:2" x14ac:dyDescent="0.35">
      <c r="A333">
        <v>-2</v>
      </c>
      <c r="B333">
        <v>0.66666666666666663</v>
      </c>
    </row>
    <row r="334" spans="1:2" x14ac:dyDescent="0.35">
      <c r="A334">
        <v>-2</v>
      </c>
      <c r="B334">
        <v>1.6666666666666667</v>
      </c>
    </row>
    <row r="335" spans="1:2" x14ac:dyDescent="0.35">
      <c r="A335">
        <v>-2</v>
      </c>
      <c r="B335">
        <v>-1.6666666666666667</v>
      </c>
    </row>
    <row r="336" spans="1:2" x14ac:dyDescent="0.35">
      <c r="A336">
        <v>-2</v>
      </c>
      <c r="B336">
        <v>0.6</v>
      </c>
    </row>
    <row r="337" spans="1:2" x14ac:dyDescent="0.35">
      <c r="A337">
        <v>-2</v>
      </c>
      <c r="B337">
        <v>0.14285714285714285</v>
      </c>
    </row>
    <row r="338" spans="1:2" x14ac:dyDescent="0.35">
      <c r="A338">
        <v>-2</v>
      </c>
      <c r="B338">
        <v>2.3333333333333335</v>
      </c>
    </row>
    <row r="339" spans="1:2" x14ac:dyDescent="0.35">
      <c r="A339">
        <v>-2</v>
      </c>
      <c r="B339">
        <v>-2.3333333333333335</v>
      </c>
    </row>
    <row r="340" spans="1:2" x14ac:dyDescent="0.35">
      <c r="A340">
        <v>-2</v>
      </c>
      <c r="B340">
        <v>0.2</v>
      </c>
    </row>
    <row r="341" spans="1:2" x14ac:dyDescent="0.35">
      <c r="A341">
        <v>-2</v>
      </c>
      <c r="B341">
        <v>-0.2</v>
      </c>
    </row>
    <row r="342" spans="1:2" x14ac:dyDescent="0.35">
      <c r="A342">
        <v>-2</v>
      </c>
      <c r="B342">
        <v>0.1111111111111111</v>
      </c>
    </row>
    <row r="343" spans="1:2" x14ac:dyDescent="0.35">
      <c r="A343">
        <v>-32</v>
      </c>
      <c r="B343">
        <v>0.33333333333333331</v>
      </c>
    </row>
    <row r="344" spans="1:2" x14ac:dyDescent="0.35">
      <c r="A344">
        <v>-32</v>
      </c>
      <c r="B344">
        <v>-0.33333333333333331</v>
      </c>
    </row>
    <row r="345" spans="1:2" x14ac:dyDescent="0.35">
      <c r="A345">
        <v>-32</v>
      </c>
      <c r="B345">
        <v>0.2</v>
      </c>
    </row>
    <row r="346" spans="1:2" x14ac:dyDescent="0.35">
      <c r="A346">
        <v>-32</v>
      </c>
      <c r="B346">
        <v>-0.2</v>
      </c>
    </row>
    <row r="347" spans="1:2" x14ac:dyDescent="0.35">
      <c r="A347">
        <v>-32</v>
      </c>
      <c r="B347">
        <v>0.66666666666666663</v>
      </c>
    </row>
    <row r="348" spans="1:2" x14ac:dyDescent="0.35">
      <c r="A348">
        <v>-32</v>
      </c>
      <c r="B348">
        <v>1.6666666666666667</v>
      </c>
    </row>
    <row r="349" spans="1:2" x14ac:dyDescent="0.35">
      <c r="A349">
        <v>-32</v>
      </c>
      <c r="B349">
        <v>-1.6666666666666667</v>
      </c>
    </row>
    <row r="350" spans="1:2" x14ac:dyDescent="0.35">
      <c r="A350">
        <v>-32</v>
      </c>
      <c r="B350">
        <v>0.6</v>
      </c>
    </row>
    <row r="351" spans="1:2" x14ac:dyDescent="0.35">
      <c r="A351">
        <v>-32</v>
      </c>
      <c r="B351">
        <v>0.14285714285714285</v>
      </c>
    </row>
    <row r="352" spans="1:2" x14ac:dyDescent="0.35">
      <c r="A352">
        <v>-32</v>
      </c>
      <c r="B352">
        <v>2.3333333333333335</v>
      </c>
    </row>
    <row r="353" spans="1:2" x14ac:dyDescent="0.35">
      <c r="A353">
        <v>-32</v>
      </c>
      <c r="B353">
        <v>-2.3333333333333335</v>
      </c>
    </row>
    <row r="354" spans="1:2" x14ac:dyDescent="0.35">
      <c r="A354">
        <v>-32</v>
      </c>
      <c r="B354">
        <v>0.2</v>
      </c>
    </row>
    <row r="355" spans="1:2" x14ac:dyDescent="0.35">
      <c r="A355">
        <v>-32</v>
      </c>
      <c r="B355">
        <v>-0.2</v>
      </c>
    </row>
    <row r="356" spans="1:2" x14ac:dyDescent="0.35">
      <c r="A356">
        <v>-32</v>
      </c>
      <c r="B356">
        <v>0.1111111111111111</v>
      </c>
    </row>
    <row r="357" spans="1:2" x14ac:dyDescent="0.35">
      <c r="A357">
        <v>-64</v>
      </c>
      <c r="B357">
        <v>0.33333333333333331</v>
      </c>
    </row>
    <row r="358" spans="1:2" x14ac:dyDescent="0.35">
      <c r="A358">
        <v>-64</v>
      </c>
      <c r="B358">
        <v>-0.33333333333333331</v>
      </c>
    </row>
    <row r="359" spans="1:2" x14ac:dyDescent="0.35">
      <c r="A359">
        <v>-64</v>
      </c>
      <c r="B359">
        <v>0.2</v>
      </c>
    </row>
    <row r="360" spans="1:2" x14ac:dyDescent="0.35">
      <c r="A360">
        <v>-64</v>
      </c>
      <c r="B360">
        <v>-0.2</v>
      </c>
    </row>
    <row r="361" spans="1:2" x14ac:dyDescent="0.35">
      <c r="A361">
        <v>-64</v>
      </c>
      <c r="B361">
        <v>0.66666666666666663</v>
      </c>
    </row>
    <row r="362" spans="1:2" x14ac:dyDescent="0.35">
      <c r="A362">
        <v>-64</v>
      </c>
      <c r="B362">
        <v>1.6666666666666667</v>
      </c>
    </row>
    <row r="363" spans="1:2" x14ac:dyDescent="0.35">
      <c r="A363">
        <v>-64</v>
      </c>
      <c r="B363">
        <v>-1.6666666666666667</v>
      </c>
    </row>
    <row r="364" spans="1:2" x14ac:dyDescent="0.35">
      <c r="A364">
        <v>-64</v>
      </c>
      <c r="B364">
        <v>0.6</v>
      </c>
    </row>
    <row r="365" spans="1:2" x14ac:dyDescent="0.35">
      <c r="A365">
        <v>-64</v>
      </c>
      <c r="B365">
        <v>0.14285714285714285</v>
      </c>
    </row>
    <row r="366" spans="1:2" x14ac:dyDescent="0.35">
      <c r="A366">
        <v>-64</v>
      </c>
      <c r="B366">
        <v>2.3333333333333335</v>
      </c>
    </row>
    <row r="367" spans="1:2" x14ac:dyDescent="0.35">
      <c r="A367">
        <v>-64</v>
      </c>
      <c r="B367">
        <v>-2.3333333333333335</v>
      </c>
    </row>
    <row r="368" spans="1:2" x14ac:dyDescent="0.35">
      <c r="A368">
        <v>-64</v>
      </c>
      <c r="B368">
        <v>0.2</v>
      </c>
    </row>
    <row r="369" spans="1:2" x14ac:dyDescent="0.35">
      <c r="A369">
        <v>-64</v>
      </c>
      <c r="B369">
        <v>-0.2</v>
      </c>
    </row>
    <row r="370" spans="1:2" x14ac:dyDescent="0.35">
      <c r="A370">
        <v>-64</v>
      </c>
      <c r="B370">
        <v>0.1111111111111111</v>
      </c>
    </row>
    <row r="371" spans="1:2" x14ac:dyDescent="0.35">
      <c r="A371">
        <v>-1000</v>
      </c>
      <c r="B371">
        <v>0.33333333333333331</v>
      </c>
    </row>
    <row r="372" spans="1:2" x14ac:dyDescent="0.35">
      <c r="A372">
        <v>-1000</v>
      </c>
      <c r="B372">
        <v>-0.33333333333333331</v>
      </c>
    </row>
    <row r="373" spans="1:2" x14ac:dyDescent="0.35">
      <c r="A373">
        <v>-1000</v>
      </c>
      <c r="B373">
        <v>0.2</v>
      </c>
    </row>
    <row r="374" spans="1:2" x14ac:dyDescent="0.35">
      <c r="A374">
        <v>-1000</v>
      </c>
      <c r="B374">
        <v>-0.2</v>
      </c>
    </row>
    <row r="375" spans="1:2" x14ac:dyDescent="0.35">
      <c r="A375">
        <v>-1000</v>
      </c>
      <c r="B375">
        <v>0.66666666666666663</v>
      </c>
    </row>
    <row r="376" spans="1:2" x14ac:dyDescent="0.35">
      <c r="A376">
        <v>-1000</v>
      </c>
      <c r="B376">
        <v>1.6666666666666667</v>
      </c>
    </row>
    <row r="377" spans="1:2" x14ac:dyDescent="0.35">
      <c r="A377">
        <v>-1000</v>
      </c>
      <c r="B377">
        <v>-1.6666666666666667</v>
      </c>
    </row>
    <row r="378" spans="1:2" x14ac:dyDescent="0.35">
      <c r="A378">
        <v>-1000</v>
      </c>
      <c r="B378">
        <v>0.6</v>
      </c>
    </row>
    <row r="379" spans="1:2" x14ac:dyDescent="0.35">
      <c r="A379">
        <v>-1000</v>
      </c>
      <c r="B379">
        <v>0.14285714285714285</v>
      </c>
    </row>
    <row r="380" spans="1:2" x14ac:dyDescent="0.35">
      <c r="A380">
        <v>-1000</v>
      </c>
      <c r="B380">
        <v>2.3333333333333335</v>
      </c>
    </row>
    <row r="381" spans="1:2" x14ac:dyDescent="0.35">
      <c r="A381">
        <v>-1000</v>
      </c>
      <c r="B381">
        <v>-2.3333333333333335</v>
      </c>
    </row>
    <row r="382" spans="1:2" x14ac:dyDescent="0.35">
      <c r="A382">
        <v>-1000</v>
      </c>
      <c r="B382">
        <v>0.2</v>
      </c>
    </row>
    <row r="383" spans="1:2" x14ac:dyDescent="0.35">
      <c r="A383">
        <v>-1000</v>
      </c>
      <c r="B383">
        <v>-0.2</v>
      </c>
    </row>
    <row r="384" spans="1:2" x14ac:dyDescent="0.35">
      <c r="A384">
        <v>-1000</v>
      </c>
      <c r="B384">
        <v>0.1111111111111111</v>
      </c>
    </row>
    <row r="385" spans="1:2" x14ac:dyDescent="0.35">
      <c r="A385">
        <v>-0.125</v>
      </c>
      <c r="B385">
        <v>0.33333333333333331</v>
      </c>
    </row>
    <row r="386" spans="1:2" x14ac:dyDescent="0.35">
      <c r="A386">
        <v>-0.125</v>
      </c>
      <c r="B386">
        <v>-0.33333333333333331</v>
      </c>
    </row>
    <row r="387" spans="1:2" x14ac:dyDescent="0.35">
      <c r="A387">
        <v>-0.125</v>
      </c>
      <c r="B387">
        <v>0.2</v>
      </c>
    </row>
    <row r="388" spans="1:2" x14ac:dyDescent="0.35">
      <c r="A388">
        <v>-0.125</v>
      </c>
      <c r="B388">
        <v>-0.2</v>
      </c>
    </row>
    <row r="389" spans="1:2" x14ac:dyDescent="0.35">
      <c r="A389">
        <v>-0.125</v>
      </c>
      <c r="B389">
        <v>0.66666666666666663</v>
      </c>
    </row>
    <row r="390" spans="1:2" x14ac:dyDescent="0.35">
      <c r="A390">
        <v>-0.125</v>
      </c>
      <c r="B390">
        <v>1.6666666666666667</v>
      </c>
    </row>
    <row r="391" spans="1:2" x14ac:dyDescent="0.35">
      <c r="A391">
        <v>-0.125</v>
      </c>
      <c r="B391">
        <v>-1.6666666666666667</v>
      </c>
    </row>
    <row r="392" spans="1:2" x14ac:dyDescent="0.35">
      <c r="A392">
        <v>-0.125</v>
      </c>
      <c r="B392">
        <v>0.6</v>
      </c>
    </row>
    <row r="393" spans="1:2" x14ac:dyDescent="0.35">
      <c r="A393">
        <v>-0.125</v>
      </c>
      <c r="B393">
        <v>0.14285714285714285</v>
      </c>
    </row>
    <row r="394" spans="1:2" x14ac:dyDescent="0.35">
      <c r="A394">
        <v>-0.125</v>
      </c>
      <c r="B394">
        <v>2.3333333333333335</v>
      </c>
    </row>
    <row r="395" spans="1:2" x14ac:dyDescent="0.35">
      <c r="A395">
        <v>-0.125</v>
      </c>
      <c r="B395">
        <v>-2.3333333333333335</v>
      </c>
    </row>
    <row r="396" spans="1:2" x14ac:dyDescent="0.35">
      <c r="A396">
        <v>-0.125</v>
      </c>
      <c r="B396">
        <v>0.2</v>
      </c>
    </row>
    <row r="397" spans="1:2" x14ac:dyDescent="0.35">
      <c r="A397">
        <v>-0.125</v>
      </c>
      <c r="B397">
        <v>-0.2</v>
      </c>
    </row>
    <row r="398" spans="1:2" x14ac:dyDescent="0.35">
      <c r="A398">
        <v>-0.125</v>
      </c>
      <c r="B398">
        <v>0.1111111111111111</v>
      </c>
    </row>
    <row r="399" spans="1:2" x14ac:dyDescent="0.35">
      <c r="A399">
        <v>-3</v>
      </c>
      <c r="B399">
        <v>0.33333333333333331</v>
      </c>
    </row>
    <row r="400" spans="1:2" x14ac:dyDescent="0.35">
      <c r="A400">
        <v>-3</v>
      </c>
      <c r="B400">
        <v>-0.33333333333333331</v>
      </c>
    </row>
    <row r="401" spans="1:2" x14ac:dyDescent="0.35">
      <c r="A401">
        <v>-3</v>
      </c>
      <c r="B401">
        <v>0.2</v>
      </c>
    </row>
    <row r="402" spans="1:2" x14ac:dyDescent="0.35">
      <c r="A402">
        <v>-3</v>
      </c>
      <c r="B402">
        <v>-0.2</v>
      </c>
    </row>
    <row r="403" spans="1:2" x14ac:dyDescent="0.35">
      <c r="A403">
        <v>-3</v>
      </c>
      <c r="B403">
        <v>0.66666666666666663</v>
      </c>
    </row>
    <row r="404" spans="1:2" x14ac:dyDescent="0.35">
      <c r="A404">
        <v>-3</v>
      </c>
      <c r="B404">
        <v>1.6666666666666667</v>
      </c>
    </row>
    <row r="405" spans="1:2" x14ac:dyDescent="0.35">
      <c r="A405">
        <v>-3</v>
      </c>
      <c r="B405">
        <v>-1.6666666666666667</v>
      </c>
    </row>
    <row r="406" spans="1:2" x14ac:dyDescent="0.35">
      <c r="A406">
        <v>-3</v>
      </c>
      <c r="B406">
        <v>0.6</v>
      </c>
    </row>
    <row r="407" spans="1:2" x14ac:dyDescent="0.35">
      <c r="A407">
        <v>-3</v>
      </c>
      <c r="B407">
        <v>0.14285714285714285</v>
      </c>
    </row>
    <row r="408" spans="1:2" x14ac:dyDescent="0.35">
      <c r="A408">
        <v>-3</v>
      </c>
      <c r="B408">
        <v>2.3333333333333335</v>
      </c>
    </row>
    <row r="409" spans="1:2" x14ac:dyDescent="0.35">
      <c r="A409">
        <v>-3</v>
      </c>
      <c r="B409">
        <v>-2.3333333333333335</v>
      </c>
    </row>
    <row r="410" spans="1:2" x14ac:dyDescent="0.35">
      <c r="A410">
        <v>-3</v>
      </c>
      <c r="B410">
        <v>0.2</v>
      </c>
    </row>
    <row r="411" spans="1:2" x14ac:dyDescent="0.35">
      <c r="A411">
        <v>-3</v>
      </c>
      <c r="B411">
        <v>-0.2</v>
      </c>
    </row>
    <row r="412" spans="1:2" x14ac:dyDescent="0.35">
      <c r="A412">
        <v>-3</v>
      </c>
      <c r="B412">
        <v>0.1111111111111111</v>
      </c>
    </row>
    <row r="413" spans="1:2" x14ac:dyDescent="0.35">
      <c r="A413">
        <v>1.3437056264683842</v>
      </c>
      <c r="B413">
        <v>-30</v>
      </c>
    </row>
    <row r="414" spans="1:2" x14ac:dyDescent="0.35">
      <c r="A414">
        <v>1.3437056264683842</v>
      </c>
      <c r="B414">
        <v>-24</v>
      </c>
    </row>
    <row r="415" spans="1:2" x14ac:dyDescent="0.35">
      <c r="A415">
        <v>1.3437056264683842</v>
      </c>
      <c r="B415">
        <v>-18</v>
      </c>
    </row>
    <row r="416" spans="1:2" x14ac:dyDescent="0.35">
      <c r="A416">
        <v>1.3437056264683842</v>
      </c>
      <c r="B416">
        <v>-12</v>
      </c>
    </row>
    <row r="417" spans="1:2" x14ac:dyDescent="0.35">
      <c r="A417">
        <v>1.3437056264683842</v>
      </c>
      <c r="B417">
        <v>-6</v>
      </c>
    </row>
    <row r="418" spans="1:2" x14ac:dyDescent="0.35">
      <c r="A418">
        <v>1.3437056264683842</v>
      </c>
      <c r="B418">
        <v>0</v>
      </c>
    </row>
    <row r="419" spans="1:2" x14ac:dyDescent="0.35">
      <c r="A419">
        <v>1.3437056264683842</v>
      </c>
      <c r="B419">
        <v>6</v>
      </c>
    </row>
    <row r="420" spans="1:2" x14ac:dyDescent="0.35">
      <c r="A420">
        <v>1.3437056264683842</v>
      </c>
      <c r="B420">
        <v>12</v>
      </c>
    </row>
    <row r="421" spans="1:2" x14ac:dyDescent="0.35">
      <c r="A421">
        <v>1.3437056264683842</v>
      </c>
      <c r="B421">
        <v>18</v>
      </c>
    </row>
    <row r="422" spans="1:2" x14ac:dyDescent="0.35">
      <c r="A422">
        <v>1.3437056264683842</v>
      </c>
      <c r="B422">
        <v>24</v>
      </c>
    </row>
    <row r="423" spans="1:2" x14ac:dyDescent="0.35">
      <c r="A423">
        <v>1.3437056264683842</v>
      </c>
      <c r="B423">
        <v>30</v>
      </c>
    </row>
    <row r="424" spans="1:2" x14ac:dyDescent="0.35">
      <c r="A424">
        <v>1.5081255927840904</v>
      </c>
      <c r="B424">
        <v>-30</v>
      </c>
    </row>
    <row r="425" spans="1:2" x14ac:dyDescent="0.35">
      <c r="A425">
        <v>1.5081255927840904</v>
      </c>
      <c r="B425">
        <v>-24</v>
      </c>
    </row>
    <row r="426" spans="1:2" x14ac:dyDescent="0.35">
      <c r="A426">
        <v>1.5081255927840904</v>
      </c>
      <c r="B426">
        <v>-18</v>
      </c>
    </row>
    <row r="427" spans="1:2" x14ac:dyDescent="0.35">
      <c r="A427">
        <v>1.5081255927840904</v>
      </c>
      <c r="B427">
        <v>-12</v>
      </c>
    </row>
    <row r="428" spans="1:2" x14ac:dyDescent="0.35">
      <c r="A428">
        <v>1.5081255927840904</v>
      </c>
      <c r="B428">
        <v>-6</v>
      </c>
    </row>
    <row r="429" spans="1:2" x14ac:dyDescent="0.35">
      <c r="A429">
        <v>1.5081255927840904</v>
      </c>
      <c r="B429">
        <v>0</v>
      </c>
    </row>
    <row r="430" spans="1:2" x14ac:dyDescent="0.35">
      <c r="A430">
        <v>1.5081255927840904</v>
      </c>
      <c r="B430">
        <v>6</v>
      </c>
    </row>
    <row r="431" spans="1:2" x14ac:dyDescent="0.35">
      <c r="A431">
        <v>1.5081255927840904</v>
      </c>
      <c r="B431">
        <v>12</v>
      </c>
    </row>
    <row r="432" spans="1:2" x14ac:dyDescent="0.35">
      <c r="A432">
        <v>1.5081255927840904</v>
      </c>
      <c r="B432">
        <v>18</v>
      </c>
    </row>
    <row r="433" spans="1:2" x14ac:dyDescent="0.35">
      <c r="A433">
        <v>1.5081255927840904</v>
      </c>
      <c r="B433">
        <v>24</v>
      </c>
    </row>
    <row r="434" spans="1:2" x14ac:dyDescent="0.35">
      <c r="A434">
        <v>1.5081255927840904</v>
      </c>
      <c r="B434">
        <v>30</v>
      </c>
    </row>
    <row r="435" spans="1:2" x14ac:dyDescent="0.35">
      <c r="A435">
        <v>1.7785683532496959</v>
      </c>
      <c r="B435">
        <v>-30</v>
      </c>
    </row>
    <row r="436" spans="1:2" x14ac:dyDescent="0.35">
      <c r="A436">
        <v>1.7785683532496959</v>
      </c>
      <c r="B436">
        <v>-24</v>
      </c>
    </row>
    <row r="437" spans="1:2" x14ac:dyDescent="0.35">
      <c r="A437">
        <v>1.7785683532496959</v>
      </c>
      <c r="B437">
        <v>-18</v>
      </c>
    </row>
    <row r="438" spans="1:2" x14ac:dyDescent="0.35">
      <c r="A438">
        <v>1.7785683532496959</v>
      </c>
      <c r="B438">
        <v>-12</v>
      </c>
    </row>
    <row r="439" spans="1:2" x14ac:dyDescent="0.35">
      <c r="A439">
        <v>1.7785683532496959</v>
      </c>
      <c r="B439">
        <v>-6</v>
      </c>
    </row>
    <row r="440" spans="1:2" x14ac:dyDescent="0.35">
      <c r="A440">
        <v>1.7785683532496959</v>
      </c>
      <c r="B440">
        <v>0</v>
      </c>
    </row>
    <row r="441" spans="1:2" x14ac:dyDescent="0.35">
      <c r="A441">
        <v>1.7785683532496959</v>
      </c>
      <c r="B441">
        <v>6</v>
      </c>
    </row>
    <row r="442" spans="1:2" x14ac:dyDescent="0.35">
      <c r="A442">
        <v>1.7785683532496959</v>
      </c>
      <c r="B442">
        <v>12</v>
      </c>
    </row>
    <row r="443" spans="1:2" x14ac:dyDescent="0.35">
      <c r="A443">
        <v>1.7785683532496959</v>
      </c>
      <c r="B443">
        <v>18</v>
      </c>
    </row>
    <row r="444" spans="1:2" x14ac:dyDescent="0.35">
      <c r="A444">
        <v>1.7785683532496959</v>
      </c>
      <c r="B444">
        <v>24</v>
      </c>
    </row>
    <row r="445" spans="1:2" x14ac:dyDescent="0.35">
      <c r="A445">
        <v>1.7785683532496959</v>
      </c>
      <c r="B445">
        <v>30</v>
      </c>
    </row>
    <row r="446" spans="1:2" x14ac:dyDescent="0.35">
      <c r="A446">
        <v>0.71247612636862989</v>
      </c>
      <c r="B446">
        <v>-30</v>
      </c>
    </row>
    <row r="447" spans="1:2" x14ac:dyDescent="0.35">
      <c r="A447">
        <v>0.71247612636862989</v>
      </c>
      <c r="B447">
        <v>-24</v>
      </c>
    </row>
    <row r="448" spans="1:2" x14ac:dyDescent="0.35">
      <c r="A448">
        <v>0.71247612636862989</v>
      </c>
      <c r="B448">
        <v>-18</v>
      </c>
    </row>
    <row r="449" spans="1:2" x14ac:dyDescent="0.35">
      <c r="A449">
        <v>0.71247612636862989</v>
      </c>
      <c r="B449">
        <v>-12</v>
      </c>
    </row>
    <row r="450" spans="1:2" x14ac:dyDescent="0.35">
      <c r="A450">
        <v>0.71247612636862989</v>
      </c>
      <c r="B450">
        <v>-6</v>
      </c>
    </row>
    <row r="451" spans="1:2" x14ac:dyDescent="0.35">
      <c r="A451">
        <v>0.71247612636862989</v>
      </c>
      <c r="B451">
        <v>0</v>
      </c>
    </row>
    <row r="452" spans="1:2" x14ac:dyDescent="0.35">
      <c r="A452">
        <v>0.71247612636862989</v>
      </c>
      <c r="B452">
        <v>6</v>
      </c>
    </row>
    <row r="453" spans="1:2" x14ac:dyDescent="0.35">
      <c r="A453">
        <v>0.71247612636862989</v>
      </c>
      <c r="B453">
        <v>12</v>
      </c>
    </row>
    <row r="454" spans="1:2" x14ac:dyDescent="0.35">
      <c r="A454">
        <v>0.71247612636862989</v>
      </c>
      <c r="B454">
        <v>18</v>
      </c>
    </row>
    <row r="455" spans="1:2" x14ac:dyDescent="0.35">
      <c r="A455">
        <v>0.71247612636862989</v>
      </c>
      <c r="B455">
        <v>24</v>
      </c>
    </row>
    <row r="456" spans="1:2" x14ac:dyDescent="0.35">
      <c r="A456">
        <v>0.71247612636862989</v>
      </c>
      <c r="B456">
        <v>30</v>
      </c>
    </row>
    <row r="457" spans="1:2" x14ac:dyDescent="0.35">
      <c r="A457">
        <v>1.570832032759377</v>
      </c>
      <c r="B457">
        <v>-30</v>
      </c>
    </row>
    <row r="458" spans="1:2" x14ac:dyDescent="0.35">
      <c r="A458">
        <v>1.570832032759377</v>
      </c>
      <c r="B458">
        <v>-24</v>
      </c>
    </row>
    <row r="459" spans="1:2" x14ac:dyDescent="0.35">
      <c r="A459">
        <v>1.570832032759377</v>
      </c>
      <c r="B459">
        <v>-18</v>
      </c>
    </row>
    <row r="460" spans="1:2" x14ac:dyDescent="0.35">
      <c r="A460">
        <v>1.570832032759377</v>
      </c>
      <c r="B460">
        <v>-12</v>
      </c>
    </row>
    <row r="461" spans="1:2" x14ac:dyDescent="0.35">
      <c r="A461">
        <v>1.570832032759377</v>
      </c>
      <c r="B461">
        <v>-6</v>
      </c>
    </row>
    <row r="462" spans="1:2" x14ac:dyDescent="0.35">
      <c r="A462">
        <v>1.570832032759377</v>
      </c>
      <c r="B462">
        <v>0</v>
      </c>
    </row>
    <row r="463" spans="1:2" x14ac:dyDescent="0.35">
      <c r="A463">
        <v>1.570832032759377</v>
      </c>
      <c r="B463">
        <v>6</v>
      </c>
    </row>
    <row r="464" spans="1:2" x14ac:dyDescent="0.35">
      <c r="A464">
        <v>1.570832032759377</v>
      </c>
      <c r="B464">
        <v>12</v>
      </c>
    </row>
    <row r="465" spans="1:2" x14ac:dyDescent="0.35">
      <c r="A465">
        <v>1.570832032759377</v>
      </c>
      <c r="B465">
        <v>18</v>
      </c>
    </row>
    <row r="466" spans="1:2" x14ac:dyDescent="0.35">
      <c r="A466">
        <v>1.570832032759377</v>
      </c>
      <c r="B466">
        <v>24</v>
      </c>
    </row>
    <row r="467" spans="1:2" x14ac:dyDescent="0.35">
      <c r="A467">
        <v>1.570832032759377</v>
      </c>
      <c r="B467">
        <v>30</v>
      </c>
    </row>
    <row r="468" spans="1:2" x14ac:dyDescent="0.35">
      <c r="A468">
        <v>1.5052046098428129</v>
      </c>
      <c r="B468">
        <v>-30</v>
      </c>
    </row>
    <row r="469" spans="1:2" x14ac:dyDescent="0.35">
      <c r="A469">
        <v>1.5052046098428129</v>
      </c>
      <c r="B469">
        <v>-24</v>
      </c>
    </row>
    <row r="470" spans="1:2" x14ac:dyDescent="0.35">
      <c r="A470">
        <v>1.5052046098428129</v>
      </c>
      <c r="B470">
        <v>-18</v>
      </c>
    </row>
    <row r="471" spans="1:2" x14ac:dyDescent="0.35">
      <c r="A471">
        <v>1.5052046098428129</v>
      </c>
      <c r="B471">
        <v>-12</v>
      </c>
    </row>
    <row r="472" spans="1:2" x14ac:dyDescent="0.35">
      <c r="A472">
        <v>1.5052046098428129</v>
      </c>
      <c r="B472">
        <v>-6</v>
      </c>
    </row>
    <row r="473" spans="1:2" x14ac:dyDescent="0.35">
      <c r="A473">
        <v>1.5052046098428129</v>
      </c>
      <c r="B473">
        <v>0</v>
      </c>
    </row>
    <row r="474" spans="1:2" x14ac:dyDescent="0.35">
      <c r="A474">
        <v>1.5052046098428129</v>
      </c>
      <c r="B474">
        <v>6</v>
      </c>
    </row>
    <row r="475" spans="1:2" x14ac:dyDescent="0.35">
      <c r="A475">
        <v>1.5052046098428129</v>
      </c>
      <c r="B475">
        <v>12</v>
      </c>
    </row>
    <row r="476" spans="1:2" x14ac:dyDescent="0.35">
      <c r="A476">
        <v>1.5052046098428129</v>
      </c>
      <c r="B476">
        <v>18</v>
      </c>
    </row>
    <row r="477" spans="1:2" x14ac:dyDescent="0.35">
      <c r="A477">
        <v>1.5052046098428129</v>
      </c>
      <c r="B477">
        <v>24</v>
      </c>
    </row>
    <row r="478" spans="1:2" x14ac:dyDescent="0.35">
      <c r="A478">
        <v>1.5052046098428129</v>
      </c>
      <c r="B478">
        <v>30</v>
      </c>
    </row>
    <row r="479" spans="1:2" x14ac:dyDescent="0.35">
      <c r="A479">
        <v>1.0902068700561085</v>
      </c>
      <c r="B479">
        <v>-30</v>
      </c>
    </row>
    <row r="480" spans="1:2" x14ac:dyDescent="0.35">
      <c r="A480">
        <v>1.0902068700561085</v>
      </c>
      <c r="B480">
        <v>-24</v>
      </c>
    </row>
    <row r="481" spans="1:2" x14ac:dyDescent="0.35">
      <c r="A481">
        <v>1.0902068700561085</v>
      </c>
      <c r="B481">
        <v>-18</v>
      </c>
    </row>
    <row r="482" spans="1:2" x14ac:dyDescent="0.35">
      <c r="A482">
        <v>1.0902068700561085</v>
      </c>
      <c r="B482">
        <v>-12</v>
      </c>
    </row>
    <row r="483" spans="1:2" x14ac:dyDescent="0.35">
      <c r="A483">
        <v>1.0902068700561085</v>
      </c>
      <c r="B483">
        <v>-6</v>
      </c>
    </row>
    <row r="484" spans="1:2" x14ac:dyDescent="0.35">
      <c r="A484">
        <v>1.0902068700561085</v>
      </c>
      <c r="B484">
        <v>0</v>
      </c>
    </row>
    <row r="485" spans="1:2" x14ac:dyDescent="0.35">
      <c r="A485">
        <v>1.0902068700561085</v>
      </c>
      <c r="B485">
        <v>6</v>
      </c>
    </row>
    <row r="486" spans="1:2" x14ac:dyDescent="0.35">
      <c r="A486">
        <v>1.0902068700561085</v>
      </c>
      <c r="B486">
        <v>12</v>
      </c>
    </row>
    <row r="487" spans="1:2" x14ac:dyDescent="0.35">
      <c r="A487">
        <v>1.0902068700561085</v>
      </c>
      <c r="B487">
        <v>18</v>
      </c>
    </row>
    <row r="488" spans="1:2" x14ac:dyDescent="0.35">
      <c r="A488">
        <v>1.0902068700561085</v>
      </c>
      <c r="B488">
        <v>24</v>
      </c>
    </row>
    <row r="489" spans="1:2" x14ac:dyDescent="0.35">
      <c r="A489">
        <v>1.0902068700561085</v>
      </c>
      <c r="B489">
        <v>30</v>
      </c>
    </row>
    <row r="490" spans="1:2" x14ac:dyDescent="0.35">
      <c r="A490">
        <v>0.94585695497063627</v>
      </c>
      <c r="B490">
        <v>-30</v>
      </c>
    </row>
    <row r="491" spans="1:2" x14ac:dyDescent="0.35">
      <c r="A491">
        <v>0.94585695497063627</v>
      </c>
      <c r="B491">
        <v>-24</v>
      </c>
    </row>
    <row r="492" spans="1:2" x14ac:dyDescent="0.35">
      <c r="A492">
        <v>0.94585695497063627</v>
      </c>
      <c r="B492">
        <v>-18</v>
      </c>
    </row>
    <row r="493" spans="1:2" x14ac:dyDescent="0.35">
      <c r="A493">
        <v>0.94585695497063627</v>
      </c>
      <c r="B493">
        <v>-12</v>
      </c>
    </row>
    <row r="494" spans="1:2" x14ac:dyDescent="0.35">
      <c r="A494">
        <v>0.94585695497063627</v>
      </c>
      <c r="B494">
        <v>-6</v>
      </c>
    </row>
    <row r="495" spans="1:2" x14ac:dyDescent="0.35">
      <c r="A495">
        <v>0.94585695497063627</v>
      </c>
      <c r="B495">
        <v>0</v>
      </c>
    </row>
    <row r="496" spans="1:2" x14ac:dyDescent="0.35">
      <c r="A496">
        <v>0.94585695497063627</v>
      </c>
      <c r="B496">
        <v>6</v>
      </c>
    </row>
    <row r="497" spans="1:2" x14ac:dyDescent="0.35">
      <c r="A497">
        <v>0.94585695497063627</v>
      </c>
      <c r="B497">
        <v>12</v>
      </c>
    </row>
    <row r="498" spans="1:2" x14ac:dyDescent="0.35">
      <c r="A498">
        <v>0.94585695497063627</v>
      </c>
      <c r="B498">
        <v>18</v>
      </c>
    </row>
    <row r="499" spans="1:2" x14ac:dyDescent="0.35">
      <c r="A499">
        <v>0.94585695497063627</v>
      </c>
      <c r="B499">
        <v>24</v>
      </c>
    </row>
    <row r="500" spans="1:2" x14ac:dyDescent="0.35">
      <c r="A500">
        <v>0.94585695497063627</v>
      </c>
      <c r="B500">
        <v>30</v>
      </c>
    </row>
    <row r="501" spans="1:2" x14ac:dyDescent="0.35">
      <c r="A501">
        <v>1.9487481601564764</v>
      </c>
      <c r="B501">
        <v>-30</v>
      </c>
    </row>
    <row r="502" spans="1:2" x14ac:dyDescent="0.35">
      <c r="A502">
        <v>1.9487481601564764</v>
      </c>
      <c r="B502">
        <v>-24</v>
      </c>
    </row>
    <row r="503" spans="1:2" x14ac:dyDescent="0.35">
      <c r="A503">
        <v>1.9487481601564764</v>
      </c>
      <c r="B503">
        <v>-18</v>
      </c>
    </row>
    <row r="504" spans="1:2" x14ac:dyDescent="0.35">
      <c r="A504">
        <v>1.9487481601564764</v>
      </c>
      <c r="B504">
        <v>-12</v>
      </c>
    </row>
    <row r="505" spans="1:2" x14ac:dyDescent="0.35">
      <c r="A505">
        <v>1.9487481601564764</v>
      </c>
      <c r="B505">
        <v>-6</v>
      </c>
    </row>
    <row r="506" spans="1:2" x14ac:dyDescent="0.35">
      <c r="A506">
        <v>1.9487481601564764</v>
      </c>
      <c r="B506">
        <v>0</v>
      </c>
    </row>
    <row r="507" spans="1:2" x14ac:dyDescent="0.35">
      <c r="A507">
        <v>1.9487481601564764</v>
      </c>
      <c r="B507">
        <v>6</v>
      </c>
    </row>
    <row r="508" spans="1:2" x14ac:dyDescent="0.35">
      <c r="A508">
        <v>1.9487481601564764</v>
      </c>
      <c r="B508">
        <v>12</v>
      </c>
    </row>
    <row r="509" spans="1:2" x14ac:dyDescent="0.35">
      <c r="A509">
        <v>1.9487481601564764</v>
      </c>
      <c r="B509">
        <v>18</v>
      </c>
    </row>
    <row r="510" spans="1:2" x14ac:dyDescent="0.35">
      <c r="A510">
        <v>1.9487481601564764</v>
      </c>
      <c r="B510">
        <v>24</v>
      </c>
    </row>
    <row r="511" spans="1:2" x14ac:dyDescent="0.35">
      <c r="A511">
        <v>1.9487481601564764</v>
      </c>
      <c r="B511">
        <v>30</v>
      </c>
    </row>
    <row r="512" spans="1:2" x14ac:dyDescent="0.35">
      <c r="A512">
        <v>1.9354475146085783</v>
      </c>
      <c r="B512">
        <v>-30</v>
      </c>
    </row>
    <row r="513" spans="1:2" x14ac:dyDescent="0.35">
      <c r="A513">
        <v>1.9354475146085783</v>
      </c>
      <c r="B513">
        <v>-24</v>
      </c>
    </row>
    <row r="514" spans="1:2" x14ac:dyDescent="0.35">
      <c r="A514">
        <v>1.9354475146085783</v>
      </c>
      <c r="B514">
        <v>-18</v>
      </c>
    </row>
    <row r="515" spans="1:2" x14ac:dyDescent="0.35">
      <c r="A515">
        <v>1.9354475146085783</v>
      </c>
      <c r="B515">
        <v>-12</v>
      </c>
    </row>
    <row r="516" spans="1:2" x14ac:dyDescent="0.35">
      <c r="A516">
        <v>1.9354475146085783</v>
      </c>
      <c r="B516">
        <v>-6</v>
      </c>
    </row>
    <row r="517" spans="1:2" x14ac:dyDescent="0.35">
      <c r="A517">
        <v>1.9354475146085783</v>
      </c>
      <c r="B517">
        <v>0</v>
      </c>
    </row>
    <row r="518" spans="1:2" x14ac:dyDescent="0.35">
      <c r="A518">
        <v>1.9354475146085783</v>
      </c>
      <c r="B518">
        <v>6</v>
      </c>
    </row>
    <row r="519" spans="1:2" x14ac:dyDescent="0.35">
      <c r="A519">
        <v>1.9354475146085783</v>
      </c>
      <c r="B519">
        <v>12</v>
      </c>
    </row>
    <row r="520" spans="1:2" x14ac:dyDescent="0.35">
      <c r="A520">
        <v>1.9354475146085783</v>
      </c>
      <c r="B520">
        <v>18</v>
      </c>
    </row>
    <row r="521" spans="1:2" x14ac:dyDescent="0.35">
      <c r="A521">
        <v>1.9354475146085783</v>
      </c>
      <c r="B521">
        <v>24</v>
      </c>
    </row>
    <row r="522" spans="1:2" x14ac:dyDescent="0.35">
      <c r="A522">
        <v>1.9354475146085783</v>
      </c>
      <c r="B522">
        <v>30</v>
      </c>
    </row>
    <row r="523" spans="1:2" x14ac:dyDescent="0.35">
      <c r="A523">
        <v>0.89243530760963785</v>
      </c>
      <c r="B523">
        <v>-30</v>
      </c>
    </row>
    <row r="524" spans="1:2" x14ac:dyDescent="0.35">
      <c r="A524">
        <v>0.89243530760963785</v>
      </c>
      <c r="B524">
        <v>-24</v>
      </c>
    </row>
    <row r="525" spans="1:2" x14ac:dyDescent="0.35">
      <c r="A525">
        <v>0.89243530760963785</v>
      </c>
      <c r="B525">
        <v>-18</v>
      </c>
    </row>
    <row r="526" spans="1:2" x14ac:dyDescent="0.35">
      <c r="A526">
        <v>0.89243530760963785</v>
      </c>
      <c r="B526">
        <v>-12</v>
      </c>
    </row>
    <row r="527" spans="1:2" x14ac:dyDescent="0.35">
      <c r="A527">
        <v>0.89243530760963785</v>
      </c>
      <c r="B527">
        <v>-6</v>
      </c>
    </row>
    <row r="528" spans="1:2" x14ac:dyDescent="0.35">
      <c r="A528">
        <v>0.89243530760963785</v>
      </c>
      <c r="B528">
        <v>0</v>
      </c>
    </row>
    <row r="529" spans="1:2" x14ac:dyDescent="0.35">
      <c r="A529">
        <v>0.89243530760963785</v>
      </c>
      <c r="B529">
        <v>6</v>
      </c>
    </row>
    <row r="530" spans="1:2" x14ac:dyDescent="0.35">
      <c r="A530">
        <v>0.89243530760963785</v>
      </c>
      <c r="B530">
        <v>12</v>
      </c>
    </row>
    <row r="531" spans="1:2" x14ac:dyDescent="0.35">
      <c r="A531">
        <v>0.89243530760963785</v>
      </c>
      <c r="B531">
        <v>18</v>
      </c>
    </row>
    <row r="532" spans="1:2" x14ac:dyDescent="0.35">
      <c r="A532">
        <v>0.89243530760963785</v>
      </c>
      <c r="B532">
        <v>24</v>
      </c>
    </row>
    <row r="533" spans="1:2" x14ac:dyDescent="0.35">
      <c r="A533">
        <v>0.89243530760963785</v>
      </c>
      <c r="B533">
        <v>30</v>
      </c>
    </row>
    <row r="534" spans="1:2" x14ac:dyDescent="0.35">
      <c r="A534">
        <v>1.7724245601394273</v>
      </c>
      <c r="B534">
        <v>-30</v>
      </c>
    </row>
    <row r="535" spans="1:2" x14ac:dyDescent="0.35">
      <c r="A535">
        <v>1.7724245601394273</v>
      </c>
      <c r="B535">
        <v>-24</v>
      </c>
    </row>
    <row r="536" spans="1:2" x14ac:dyDescent="0.35">
      <c r="A536">
        <v>1.7724245601394273</v>
      </c>
      <c r="B536">
        <v>-18</v>
      </c>
    </row>
    <row r="537" spans="1:2" x14ac:dyDescent="0.35">
      <c r="A537">
        <v>1.7724245601394273</v>
      </c>
      <c r="B537">
        <v>-12</v>
      </c>
    </row>
    <row r="538" spans="1:2" x14ac:dyDescent="0.35">
      <c r="A538">
        <v>1.7724245601394273</v>
      </c>
      <c r="B538">
        <v>-6</v>
      </c>
    </row>
    <row r="539" spans="1:2" x14ac:dyDescent="0.35">
      <c r="A539">
        <v>1.7724245601394273</v>
      </c>
      <c r="B539">
        <v>0</v>
      </c>
    </row>
    <row r="540" spans="1:2" x14ac:dyDescent="0.35">
      <c r="A540">
        <v>1.7724245601394273</v>
      </c>
      <c r="B540">
        <v>6</v>
      </c>
    </row>
    <row r="541" spans="1:2" x14ac:dyDescent="0.35">
      <c r="A541">
        <v>1.7724245601394273</v>
      </c>
      <c r="B541">
        <v>12</v>
      </c>
    </row>
    <row r="542" spans="1:2" x14ac:dyDescent="0.35">
      <c r="A542">
        <v>1.7724245601394273</v>
      </c>
      <c r="B542">
        <v>18</v>
      </c>
    </row>
    <row r="543" spans="1:2" x14ac:dyDescent="0.35">
      <c r="A543">
        <v>1.7724245601394273</v>
      </c>
      <c r="B543">
        <v>24</v>
      </c>
    </row>
    <row r="544" spans="1:2" x14ac:dyDescent="0.35">
      <c r="A544">
        <v>1.7724245601394273</v>
      </c>
      <c r="B544">
        <v>30</v>
      </c>
    </row>
    <row r="545" spans="1:2" x14ac:dyDescent="0.35">
      <c r="A545">
        <v>1.2453722708576027</v>
      </c>
      <c r="B545">
        <v>-30</v>
      </c>
    </row>
    <row r="546" spans="1:2" x14ac:dyDescent="0.35">
      <c r="A546">
        <v>1.2453722708576027</v>
      </c>
      <c r="B546">
        <v>-24</v>
      </c>
    </row>
    <row r="547" spans="1:2" x14ac:dyDescent="0.35">
      <c r="A547">
        <v>1.2453722708576027</v>
      </c>
      <c r="B547">
        <v>-18</v>
      </c>
    </row>
    <row r="548" spans="1:2" x14ac:dyDescent="0.35">
      <c r="A548">
        <v>1.2453722708576027</v>
      </c>
      <c r="B548">
        <v>-12</v>
      </c>
    </row>
    <row r="549" spans="1:2" x14ac:dyDescent="0.35">
      <c r="A549">
        <v>1.2453722708576027</v>
      </c>
      <c r="B549">
        <v>-6</v>
      </c>
    </row>
    <row r="550" spans="1:2" x14ac:dyDescent="0.35">
      <c r="A550">
        <v>1.2453722708576027</v>
      </c>
      <c r="B550">
        <v>0</v>
      </c>
    </row>
    <row r="551" spans="1:2" x14ac:dyDescent="0.35">
      <c r="A551">
        <v>1.2453722708576027</v>
      </c>
      <c r="B551">
        <v>6</v>
      </c>
    </row>
    <row r="552" spans="1:2" x14ac:dyDescent="0.35">
      <c r="A552">
        <v>1.2453722708576027</v>
      </c>
      <c r="B552">
        <v>12</v>
      </c>
    </row>
    <row r="553" spans="1:2" x14ac:dyDescent="0.35">
      <c r="A553">
        <v>1.2453722708576027</v>
      </c>
      <c r="B553">
        <v>18</v>
      </c>
    </row>
    <row r="554" spans="1:2" x14ac:dyDescent="0.35">
      <c r="A554">
        <v>1.2453722708576027</v>
      </c>
      <c r="B554">
        <v>24</v>
      </c>
    </row>
    <row r="555" spans="1:2" x14ac:dyDescent="0.35">
      <c r="A555">
        <v>1.2453722708576027</v>
      </c>
      <c r="B555">
        <v>30</v>
      </c>
    </row>
    <row r="556" spans="1:2" x14ac:dyDescent="0.35">
      <c r="A556">
        <v>1.7983902573254809</v>
      </c>
      <c r="B556">
        <v>-30</v>
      </c>
    </row>
    <row r="557" spans="1:2" x14ac:dyDescent="0.35">
      <c r="A557">
        <v>1.7983902573254809</v>
      </c>
      <c r="B557">
        <v>-24</v>
      </c>
    </row>
    <row r="558" spans="1:2" x14ac:dyDescent="0.35">
      <c r="A558">
        <v>1.7983902573254809</v>
      </c>
      <c r="B558">
        <v>-18</v>
      </c>
    </row>
    <row r="559" spans="1:2" x14ac:dyDescent="0.35">
      <c r="A559">
        <v>1.7983902573254809</v>
      </c>
      <c r="B559">
        <v>-12</v>
      </c>
    </row>
    <row r="560" spans="1:2" x14ac:dyDescent="0.35">
      <c r="A560">
        <v>1.7983902573254809</v>
      </c>
      <c r="B560">
        <v>-6</v>
      </c>
    </row>
    <row r="561" spans="1:2" x14ac:dyDescent="0.35">
      <c r="A561">
        <v>1.7983902573254809</v>
      </c>
      <c r="B561">
        <v>0</v>
      </c>
    </row>
    <row r="562" spans="1:2" x14ac:dyDescent="0.35">
      <c r="A562">
        <v>1.7983902573254809</v>
      </c>
      <c r="B562">
        <v>6</v>
      </c>
    </row>
    <row r="563" spans="1:2" x14ac:dyDescent="0.35">
      <c r="A563">
        <v>1.7983902573254809</v>
      </c>
      <c r="B563">
        <v>12</v>
      </c>
    </row>
    <row r="564" spans="1:2" x14ac:dyDescent="0.35">
      <c r="A564">
        <v>1.7983902573254809</v>
      </c>
      <c r="B564">
        <v>18</v>
      </c>
    </row>
    <row r="565" spans="1:2" x14ac:dyDescent="0.35">
      <c r="A565">
        <v>1.7983902573254809</v>
      </c>
      <c r="B565">
        <v>24</v>
      </c>
    </row>
    <row r="566" spans="1:2" x14ac:dyDescent="0.35">
      <c r="A566">
        <v>1.7983902573254809</v>
      </c>
      <c r="B566">
        <v>30</v>
      </c>
    </row>
    <row r="567" spans="1:2" x14ac:dyDescent="0.35">
      <c r="A567">
        <v>0.80244728193416837</v>
      </c>
      <c r="B567">
        <v>-30</v>
      </c>
    </row>
    <row r="568" spans="1:2" x14ac:dyDescent="0.35">
      <c r="A568">
        <v>0.80244728193416837</v>
      </c>
      <c r="B568">
        <v>-24</v>
      </c>
    </row>
    <row r="569" spans="1:2" x14ac:dyDescent="0.35">
      <c r="A569">
        <v>0.80244728193416837</v>
      </c>
      <c r="B569">
        <v>-18</v>
      </c>
    </row>
    <row r="570" spans="1:2" x14ac:dyDescent="0.35">
      <c r="A570">
        <v>0.80244728193416837</v>
      </c>
      <c r="B570">
        <v>-12</v>
      </c>
    </row>
    <row r="571" spans="1:2" x14ac:dyDescent="0.35">
      <c r="A571">
        <v>0.80244728193416837</v>
      </c>
      <c r="B571">
        <v>-6</v>
      </c>
    </row>
    <row r="572" spans="1:2" x14ac:dyDescent="0.35">
      <c r="A572">
        <v>0.80244728193416837</v>
      </c>
      <c r="B572">
        <v>0</v>
      </c>
    </row>
    <row r="573" spans="1:2" x14ac:dyDescent="0.35">
      <c r="A573">
        <v>0.80244728193416837</v>
      </c>
      <c r="B573">
        <v>6</v>
      </c>
    </row>
    <row r="574" spans="1:2" x14ac:dyDescent="0.35">
      <c r="A574">
        <v>0.80244728193416837</v>
      </c>
      <c r="B574">
        <v>12</v>
      </c>
    </row>
    <row r="575" spans="1:2" x14ac:dyDescent="0.35">
      <c r="A575">
        <v>0.80244728193416837</v>
      </c>
      <c r="B575">
        <v>18</v>
      </c>
    </row>
    <row r="576" spans="1:2" x14ac:dyDescent="0.35">
      <c r="A576">
        <v>0.80244728193416837</v>
      </c>
      <c r="B576">
        <v>24</v>
      </c>
    </row>
    <row r="577" spans="1:2" x14ac:dyDescent="0.35">
      <c r="A577">
        <v>0.80244728193416837</v>
      </c>
      <c r="B577">
        <v>30</v>
      </c>
    </row>
    <row r="578" spans="1:2" x14ac:dyDescent="0.35">
      <c r="A578">
        <v>1.8478066549529071</v>
      </c>
      <c r="B578">
        <v>-30</v>
      </c>
    </row>
    <row r="579" spans="1:2" x14ac:dyDescent="0.35">
      <c r="A579">
        <v>1.8478066549529071</v>
      </c>
      <c r="B579">
        <v>-24</v>
      </c>
    </row>
    <row r="580" spans="1:2" x14ac:dyDescent="0.35">
      <c r="A580">
        <v>1.8478066549529071</v>
      </c>
      <c r="B580">
        <v>-18</v>
      </c>
    </row>
    <row r="581" spans="1:2" x14ac:dyDescent="0.35">
      <c r="A581">
        <v>1.8478066549529071</v>
      </c>
      <c r="B581">
        <v>-12</v>
      </c>
    </row>
    <row r="582" spans="1:2" x14ac:dyDescent="0.35">
      <c r="A582">
        <v>1.8478066549529071</v>
      </c>
      <c r="B582">
        <v>-6</v>
      </c>
    </row>
    <row r="583" spans="1:2" x14ac:dyDescent="0.35">
      <c r="A583">
        <v>1.8478066549529071</v>
      </c>
      <c r="B583">
        <v>0</v>
      </c>
    </row>
    <row r="584" spans="1:2" x14ac:dyDescent="0.35">
      <c r="A584">
        <v>1.8478066549529071</v>
      </c>
      <c r="B584">
        <v>6</v>
      </c>
    </row>
    <row r="585" spans="1:2" x14ac:dyDescent="0.35">
      <c r="A585">
        <v>1.8478066549529071</v>
      </c>
      <c r="B585">
        <v>12</v>
      </c>
    </row>
    <row r="586" spans="1:2" x14ac:dyDescent="0.35">
      <c r="A586">
        <v>1.8478066549529071</v>
      </c>
      <c r="B586">
        <v>18</v>
      </c>
    </row>
    <row r="587" spans="1:2" x14ac:dyDescent="0.35">
      <c r="A587">
        <v>1.8478066549529071</v>
      </c>
      <c r="B587">
        <v>24</v>
      </c>
    </row>
    <row r="588" spans="1:2" x14ac:dyDescent="0.35">
      <c r="A588">
        <v>1.8478066549529071</v>
      </c>
      <c r="B588">
        <v>30</v>
      </c>
    </row>
    <row r="589" spans="1:2" x14ac:dyDescent="0.35">
      <c r="A589">
        <v>1.9693764388046682</v>
      </c>
      <c r="B589">
        <v>-30</v>
      </c>
    </row>
    <row r="590" spans="1:2" x14ac:dyDescent="0.35">
      <c r="A590">
        <v>1.9693764388046682</v>
      </c>
      <c r="B590">
        <v>-24</v>
      </c>
    </row>
    <row r="591" spans="1:2" x14ac:dyDescent="0.35">
      <c r="A591">
        <v>1.9693764388046682</v>
      </c>
      <c r="B591">
        <v>-18</v>
      </c>
    </row>
    <row r="592" spans="1:2" x14ac:dyDescent="0.35">
      <c r="A592">
        <v>1.9693764388046682</v>
      </c>
      <c r="B592">
        <v>-12</v>
      </c>
    </row>
    <row r="593" spans="1:2" x14ac:dyDescent="0.35">
      <c r="A593">
        <v>1.9693764388046682</v>
      </c>
      <c r="B593">
        <v>-6</v>
      </c>
    </row>
    <row r="594" spans="1:2" x14ac:dyDescent="0.35">
      <c r="A594">
        <v>1.9693764388046682</v>
      </c>
      <c r="B594">
        <v>0</v>
      </c>
    </row>
    <row r="595" spans="1:2" x14ac:dyDescent="0.35">
      <c r="A595">
        <v>1.9693764388046682</v>
      </c>
      <c r="B595">
        <v>6</v>
      </c>
    </row>
    <row r="596" spans="1:2" x14ac:dyDescent="0.35">
      <c r="A596">
        <v>1.9693764388046682</v>
      </c>
      <c r="B596">
        <v>12</v>
      </c>
    </row>
    <row r="597" spans="1:2" x14ac:dyDescent="0.35">
      <c r="A597">
        <v>1.9693764388046682</v>
      </c>
      <c r="B597">
        <v>18</v>
      </c>
    </row>
    <row r="598" spans="1:2" x14ac:dyDescent="0.35">
      <c r="A598">
        <v>1.9693764388046682</v>
      </c>
      <c r="B598">
        <v>24</v>
      </c>
    </row>
    <row r="599" spans="1:2" x14ac:dyDescent="0.35">
      <c r="A599">
        <v>1.9693764388046682</v>
      </c>
      <c r="B599">
        <v>30</v>
      </c>
    </row>
    <row r="600" spans="1:2" x14ac:dyDescent="0.35">
      <c r="A600">
        <v>0.64292295380052034</v>
      </c>
      <c r="B600">
        <v>-30</v>
      </c>
    </row>
    <row r="601" spans="1:2" x14ac:dyDescent="0.35">
      <c r="A601">
        <v>0.64292295380052034</v>
      </c>
      <c r="B601">
        <v>-24</v>
      </c>
    </row>
    <row r="602" spans="1:2" x14ac:dyDescent="0.35">
      <c r="A602">
        <v>0.64292295380052034</v>
      </c>
      <c r="B602">
        <v>-18</v>
      </c>
    </row>
    <row r="603" spans="1:2" x14ac:dyDescent="0.35">
      <c r="A603">
        <v>0.64292295380052034</v>
      </c>
      <c r="B603">
        <v>-12</v>
      </c>
    </row>
    <row r="604" spans="1:2" x14ac:dyDescent="0.35">
      <c r="A604">
        <v>0.64292295380052034</v>
      </c>
      <c r="B604">
        <v>-6</v>
      </c>
    </row>
    <row r="605" spans="1:2" x14ac:dyDescent="0.35">
      <c r="A605">
        <v>0.64292295380052034</v>
      </c>
      <c r="B605">
        <v>0</v>
      </c>
    </row>
    <row r="606" spans="1:2" x14ac:dyDescent="0.35">
      <c r="A606">
        <v>0.64292295380052034</v>
      </c>
      <c r="B606">
        <v>6</v>
      </c>
    </row>
    <row r="607" spans="1:2" x14ac:dyDescent="0.35">
      <c r="A607">
        <v>0.64292295380052034</v>
      </c>
      <c r="B607">
        <v>12</v>
      </c>
    </row>
    <row r="608" spans="1:2" x14ac:dyDescent="0.35">
      <c r="A608">
        <v>0.64292295380052034</v>
      </c>
      <c r="B608">
        <v>18</v>
      </c>
    </row>
    <row r="609" spans="1:2" x14ac:dyDescent="0.35">
      <c r="A609">
        <v>0.64292295380052034</v>
      </c>
      <c r="B609">
        <v>24</v>
      </c>
    </row>
    <row r="610" spans="1:2" x14ac:dyDescent="0.35">
      <c r="A610">
        <v>0.64292295380052034</v>
      </c>
      <c r="B610">
        <v>30</v>
      </c>
    </row>
    <row r="611" spans="1:2" x14ac:dyDescent="0.35">
      <c r="A611">
        <v>1.8823152144031396</v>
      </c>
      <c r="B611">
        <v>-30</v>
      </c>
    </row>
    <row r="612" spans="1:2" x14ac:dyDescent="0.35">
      <c r="A612">
        <v>1.8823152144031396</v>
      </c>
      <c r="B612">
        <v>-24</v>
      </c>
    </row>
    <row r="613" spans="1:2" x14ac:dyDescent="0.35">
      <c r="A613">
        <v>1.8823152144031396</v>
      </c>
      <c r="B613">
        <v>-18</v>
      </c>
    </row>
    <row r="614" spans="1:2" x14ac:dyDescent="0.35">
      <c r="A614">
        <v>1.8823152144031396</v>
      </c>
      <c r="B614">
        <v>-12</v>
      </c>
    </row>
    <row r="615" spans="1:2" x14ac:dyDescent="0.35">
      <c r="A615">
        <v>1.8823152144031396</v>
      </c>
      <c r="B615">
        <v>-6</v>
      </c>
    </row>
    <row r="616" spans="1:2" x14ac:dyDescent="0.35">
      <c r="A616">
        <v>1.8823152144031396</v>
      </c>
      <c r="B616">
        <v>0</v>
      </c>
    </row>
    <row r="617" spans="1:2" x14ac:dyDescent="0.35">
      <c r="A617">
        <v>1.8823152144031396</v>
      </c>
      <c r="B617">
        <v>6</v>
      </c>
    </row>
    <row r="618" spans="1:2" x14ac:dyDescent="0.35">
      <c r="A618">
        <v>1.8823152144031396</v>
      </c>
      <c r="B618">
        <v>12</v>
      </c>
    </row>
    <row r="619" spans="1:2" x14ac:dyDescent="0.35">
      <c r="A619">
        <v>1.8823152144031396</v>
      </c>
      <c r="B619">
        <v>18</v>
      </c>
    </row>
    <row r="620" spans="1:2" x14ac:dyDescent="0.35">
      <c r="A620">
        <v>1.8823152144031396</v>
      </c>
      <c r="B620">
        <v>24</v>
      </c>
    </row>
    <row r="621" spans="1:2" x14ac:dyDescent="0.35">
      <c r="A621">
        <v>1.8823152144031396</v>
      </c>
      <c r="B621">
        <v>30</v>
      </c>
    </row>
    <row r="622" spans="1:2" x14ac:dyDescent="0.35">
      <c r="A622">
        <v>0.60226878204045819</v>
      </c>
      <c r="B622">
        <v>-30</v>
      </c>
    </row>
    <row r="623" spans="1:2" x14ac:dyDescent="0.35">
      <c r="A623">
        <v>0.60226878204045819</v>
      </c>
      <c r="B623">
        <v>-24</v>
      </c>
    </row>
    <row r="624" spans="1:2" x14ac:dyDescent="0.35">
      <c r="A624">
        <v>0.60226878204045819</v>
      </c>
      <c r="B624">
        <v>-18</v>
      </c>
    </row>
    <row r="625" spans="1:2" x14ac:dyDescent="0.35">
      <c r="A625">
        <v>0.60226878204045819</v>
      </c>
      <c r="B625">
        <v>-12</v>
      </c>
    </row>
    <row r="626" spans="1:2" x14ac:dyDescent="0.35">
      <c r="A626">
        <v>0.60226878204045819</v>
      </c>
      <c r="B626">
        <v>-6</v>
      </c>
    </row>
    <row r="627" spans="1:2" x14ac:dyDescent="0.35">
      <c r="A627">
        <v>0.60226878204045819</v>
      </c>
      <c r="B627">
        <v>0</v>
      </c>
    </row>
    <row r="628" spans="1:2" x14ac:dyDescent="0.35">
      <c r="A628">
        <v>0.60226878204045819</v>
      </c>
      <c r="B628">
        <v>6</v>
      </c>
    </row>
    <row r="629" spans="1:2" x14ac:dyDescent="0.35">
      <c r="A629">
        <v>0.60226878204045819</v>
      </c>
      <c r="B629">
        <v>12</v>
      </c>
    </row>
    <row r="630" spans="1:2" x14ac:dyDescent="0.35">
      <c r="A630">
        <v>0.60226878204045819</v>
      </c>
      <c r="B630">
        <v>18</v>
      </c>
    </row>
    <row r="631" spans="1:2" x14ac:dyDescent="0.35">
      <c r="A631">
        <v>0.60226878204045819</v>
      </c>
      <c r="B631">
        <v>24</v>
      </c>
    </row>
    <row r="632" spans="1:2" x14ac:dyDescent="0.35">
      <c r="A632">
        <v>0.60226878204045819</v>
      </c>
      <c r="B632">
        <v>30</v>
      </c>
    </row>
    <row r="633" spans="1:2" x14ac:dyDescent="0.35">
      <c r="A633">
        <v>1.0000001000000001</v>
      </c>
      <c r="B633">
        <v>10000000</v>
      </c>
    </row>
    <row r="634" spans="1:2" x14ac:dyDescent="0.35">
      <c r="A634">
        <v>0.99999990000000005</v>
      </c>
      <c r="B634">
        <v>10000000</v>
      </c>
    </row>
    <row r="635" spans="1:2" x14ac:dyDescent="0.35">
      <c r="A635">
        <v>1.0000000010000001</v>
      </c>
      <c r="B635">
        <v>2147483648</v>
      </c>
    </row>
    <row r="636" spans="1:2" x14ac:dyDescent="0.35">
      <c r="A636">
        <v>1.0000000010000001</v>
      </c>
      <c r="B636">
        <v>2147483649</v>
      </c>
    </row>
    <row r="637" spans="1:2" x14ac:dyDescent="0.35">
      <c r="A637">
        <v>0.99999999900000003</v>
      </c>
      <c r="B637">
        <v>1000000000</v>
      </c>
    </row>
    <row r="638" spans="1:2" x14ac:dyDescent="0.35">
      <c r="A638">
        <v>2</v>
      </c>
      <c r="B638">
        <v>1023</v>
      </c>
    </row>
    <row r="639" spans="1:2" x14ac:dyDescent="0.35">
      <c r="A639">
        <v>2</v>
      </c>
      <c r="B639">
        <v>-1022</v>
      </c>
    </row>
    <row r="640" spans="1:2" x14ac:dyDescent="0.35">
      <c r="A640">
        <v>-2</v>
      </c>
      <c r="B640">
        <v>3</v>
      </c>
    </row>
    <row r="641" spans="1:2" x14ac:dyDescent="0.35">
      <c r="A641">
        <v>-0.5</v>
      </c>
      <c r="B641">
        <v>-3</v>
      </c>
    </row>
    <row r="642" spans="1:2" x14ac:dyDescent="0.35">
      <c r="A642">
        <v>10</v>
      </c>
      <c r="B642">
        <v>22</v>
      </c>
    </row>
    <row r="643" spans="1:2" x14ac:dyDescent="0.35">
      <c r="A643">
        <v>10</v>
      </c>
      <c r="B643">
        <v>-22</v>
      </c>
    </row>
    <row r="644" spans="1:2" x14ac:dyDescent="0.35">
      <c r="A644">
        <v>3</v>
      </c>
      <c r="B644">
        <v>40</v>
      </c>
    </row>
    <row r="645" spans="1:2" x14ac:dyDescent="0.35">
      <c r="A645">
        <v>7</v>
      </c>
      <c r="B645">
        <v>20</v>
      </c>
    </row>
    <row r="646" spans="1:2" x14ac:dyDescent="0.35">
      <c r="A646">
        <v>1.1000000000000001</v>
      </c>
      <c r="B646">
        <v>1000</v>
      </c>
    </row>
    <row r="647" spans="1:2" x14ac:dyDescent="0.35">
      <c r="A647">
        <v>-1.1000000000000001</v>
      </c>
      <c r="B647">
        <v>99</v>
      </c>
    </row>
    <row r="648" spans="1:2" x14ac:dyDescent="0.35">
      <c r="A648">
        <v>1.0001</v>
      </c>
      <c r="B648">
        <v>1099511627776</v>
      </c>
    </row>
    <row r="649" spans="1:2" x14ac:dyDescent="0.35">
      <c r="A649">
        <v>2</v>
      </c>
      <c r="B649">
        <v>1.5</v>
      </c>
    </row>
    <row r="650" spans="1:2" x14ac:dyDescent="0.35">
      <c r="A650">
        <v>9</v>
      </c>
      <c r="B650">
        <v>1.5</v>
      </c>
    </row>
    <row r="651" spans="1:2" x14ac:dyDescent="0.35">
      <c r="A651">
        <v>16</v>
      </c>
      <c r="B651">
        <v>0.75</v>
      </c>
    </row>
    <row r="652" spans="1:2" x14ac:dyDescent="0.35">
      <c r="A652">
        <v>10000000000</v>
      </c>
      <c r="B652">
        <v>0.5</v>
      </c>
    </row>
    <row r="653" spans="1:2" x14ac:dyDescent="0.35">
      <c r="A653">
        <v>1E-10</v>
      </c>
      <c r="B653">
        <v>0.5</v>
      </c>
    </row>
    <row r="654" spans="1:2" x14ac:dyDescent="0.35">
      <c r="A654">
        <v>2</v>
      </c>
      <c r="B654">
        <v>10.5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0"/>
  <sheetViews>
    <sheetView workbookViewId="0"/>
  </sheetViews>
  <sheetFormatPr defaultRowHeight="14.5" x14ac:dyDescent="0.35"/>
  <sheetData>
    <row r="1" spans="1:2" x14ac:dyDescent="0.35">
      <c r="A1">
        <v>2.6749999999999989</v>
      </c>
      <c r="B1">
        <v>2</v>
      </c>
    </row>
    <row r="2" spans="1:2" x14ac:dyDescent="0.35">
      <c r="A2">
        <v>2.6749999999999994</v>
      </c>
      <c r="B2">
        <v>2</v>
      </c>
    </row>
    <row r="3" spans="1:2" x14ac:dyDescent="0.35">
      <c r="A3">
        <v>2.6749999999999998</v>
      </c>
      <c r="B3">
        <v>2</v>
      </c>
    </row>
    <row r="4" spans="1:2" x14ac:dyDescent="0.35">
      <c r="A4">
        <v>2.6750000000000003</v>
      </c>
      <c r="B4">
        <v>2</v>
      </c>
    </row>
    <row r="5" spans="1:2" x14ac:dyDescent="0.35">
      <c r="A5">
        <v>2.6750000000000007</v>
      </c>
      <c r="B5">
        <v>2</v>
      </c>
    </row>
    <row r="6" spans="1:2" x14ac:dyDescent="0.35">
      <c r="A6">
        <v>1.0049999999999994</v>
      </c>
      <c r="B6">
        <v>2</v>
      </c>
    </row>
    <row r="7" spans="1:2" x14ac:dyDescent="0.35">
      <c r="A7">
        <v>1.0049999999999997</v>
      </c>
      <c r="B7">
        <v>2</v>
      </c>
    </row>
    <row r="8" spans="1:2" x14ac:dyDescent="0.35">
      <c r="A8">
        <v>1.0049999999999999</v>
      </c>
      <c r="B8">
        <v>2</v>
      </c>
    </row>
    <row r="9" spans="1:2" x14ac:dyDescent="0.35">
      <c r="A9">
        <v>1.0050000000000001</v>
      </c>
      <c r="B9">
        <v>2</v>
      </c>
    </row>
    <row r="10" spans="1:2" x14ac:dyDescent="0.35">
      <c r="A10">
        <v>1.0050000000000003</v>
      </c>
      <c r="B10">
        <v>2</v>
      </c>
    </row>
    <row r="11" spans="1:2" x14ac:dyDescent="0.35">
      <c r="A11">
        <v>0.28499999999999986</v>
      </c>
      <c r="B11">
        <v>2</v>
      </c>
    </row>
    <row r="12" spans="1:2" x14ac:dyDescent="0.35">
      <c r="A12">
        <v>0.28499999999999992</v>
      </c>
      <c r="B12">
        <v>2</v>
      </c>
    </row>
    <row r="13" spans="1:2" x14ac:dyDescent="0.35">
      <c r="A13">
        <v>0.28499999999999998</v>
      </c>
      <c r="B13">
        <v>2</v>
      </c>
    </row>
    <row r="14" spans="1:2" x14ac:dyDescent="0.35">
      <c r="A14">
        <v>0.28500000000000003</v>
      </c>
      <c r="B14">
        <v>2</v>
      </c>
    </row>
    <row r="15" spans="1:2" x14ac:dyDescent="0.35">
      <c r="A15">
        <v>0.28500000000000009</v>
      </c>
      <c r="B15">
        <v>2</v>
      </c>
    </row>
    <row r="16" spans="1:2" x14ac:dyDescent="0.35">
      <c r="A16">
        <v>1234.4999999999995</v>
      </c>
      <c r="B16">
        <v>0</v>
      </c>
    </row>
    <row r="17" spans="1:2" x14ac:dyDescent="0.35">
      <c r="A17">
        <v>1234.4999999999998</v>
      </c>
      <c r="B17">
        <v>0</v>
      </c>
    </row>
    <row r="18" spans="1:2" x14ac:dyDescent="0.35">
      <c r="A18">
        <v>1234.5</v>
      </c>
      <c r="B18">
        <v>0</v>
      </c>
    </row>
    <row r="19" spans="1:2" x14ac:dyDescent="0.35">
      <c r="A19">
        <v>1234.5000000000002</v>
      </c>
      <c r="B19">
        <v>0</v>
      </c>
    </row>
    <row r="20" spans="1:2" x14ac:dyDescent="0.35">
      <c r="A20">
        <v>1234.5000000000005</v>
      </c>
      <c r="B20">
        <v>0</v>
      </c>
    </row>
    <row r="21" spans="1:2" x14ac:dyDescent="0.35">
      <c r="A21">
        <v>0.49999999999999989</v>
      </c>
      <c r="B21">
        <v>0</v>
      </c>
    </row>
    <row r="22" spans="1:2" x14ac:dyDescent="0.35">
      <c r="A22">
        <v>0.49999999999999994</v>
      </c>
      <c r="B22">
        <v>0</v>
      </c>
    </row>
    <row r="23" spans="1:2" x14ac:dyDescent="0.35">
      <c r="A23">
        <v>0.5</v>
      </c>
      <c r="B23">
        <v>0</v>
      </c>
    </row>
    <row r="24" spans="1:2" x14ac:dyDescent="0.35">
      <c r="A24">
        <v>0.50000000000000011</v>
      </c>
      <c r="B24">
        <v>0</v>
      </c>
    </row>
    <row r="25" spans="1:2" x14ac:dyDescent="0.35">
      <c r="A25">
        <v>0.50000000000000022</v>
      </c>
      <c r="B25">
        <v>0</v>
      </c>
    </row>
    <row r="26" spans="1:2" x14ac:dyDescent="0.35">
      <c r="A26">
        <v>2.4999999999999991</v>
      </c>
      <c r="B26">
        <v>0</v>
      </c>
    </row>
    <row r="27" spans="1:2" x14ac:dyDescent="0.35">
      <c r="A27">
        <v>2.4999999999999996</v>
      </c>
      <c r="B27">
        <v>0</v>
      </c>
    </row>
    <row r="28" spans="1:2" x14ac:dyDescent="0.35">
      <c r="A28">
        <v>2.5</v>
      </c>
      <c r="B28">
        <v>0</v>
      </c>
    </row>
    <row r="29" spans="1:2" x14ac:dyDescent="0.35">
      <c r="A29">
        <v>2.5000000000000004</v>
      </c>
      <c r="B29">
        <v>0</v>
      </c>
    </row>
    <row r="30" spans="1:2" x14ac:dyDescent="0.35">
      <c r="A30">
        <v>2.5000000000000009</v>
      </c>
      <c r="B30">
        <v>0</v>
      </c>
    </row>
    <row r="31" spans="1:2" x14ac:dyDescent="0.35">
      <c r="A31">
        <v>-2.5000000000000009</v>
      </c>
      <c r="B31">
        <v>0</v>
      </c>
    </row>
    <row r="32" spans="1:2" x14ac:dyDescent="0.35">
      <c r="A32">
        <v>-2.5000000000000004</v>
      </c>
      <c r="B32">
        <v>0</v>
      </c>
    </row>
    <row r="33" spans="1:2" x14ac:dyDescent="0.35">
      <c r="A33">
        <v>-2.5</v>
      </c>
      <c r="B33">
        <v>0</v>
      </c>
    </row>
    <row r="34" spans="1:2" x14ac:dyDescent="0.35">
      <c r="A34">
        <v>-2.4999999999999996</v>
      </c>
      <c r="B34">
        <v>0</v>
      </c>
    </row>
    <row r="35" spans="1:2" x14ac:dyDescent="0.35">
      <c r="A35">
        <v>-2.4999999999999991</v>
      </c>
      <c r="B35">
        <v>0</v>
      </c>
    </row>
    <row r="36" spans="1:2" x14ac:dyDescent="0.35">
      <c r="A36">
        <v>4.3499999999999979</v>
      </c>
      <c r="B36">
        <v>1</v>
      </c>
    </row>
    <row r="37" spans="1:2" x14ac:dyDescent="0.35">
      <c r="A37">
        <v>4.3499999999999988</v>
      </c>
      <c r="B37">
        <v>1</v>
      </c>
    </row>
    <row r="38" spans="1:2" x14ac:dyDescent="0.35">
      <c r="A38">
        <v>4.3499999999999996</v>
      </c>
      <c r="B38">
        <v>1</v>
      </c>
    </row>
    <row r="39" spans="1:2" x14ac:dyDescent="0.35">
      <c r="A39">
        <v>4.3500000000000005</v>
      </c>
      <c r="B39">
        <v>1</v>
      </c>
    </row>
    <row r="40" spans="1:2" x14ac:dyDescent="0.35">
      <c r="A40">
        <v>4.3500000000000014</v>
      </c>
      <c r="B40">
        <v>1</v>
      </c>
    </row>
    <row r="41" spans="1:2" x14ac:dyDescent="0.35">
      <c r="A41">
        <v>8.3449999999999971</v>
      </c>
      <c r="B41">
        <v>2</v>
      </c>
    </row>
    <row r="42" spans="1:2" x14ac:dyDescent="0.35">
      <c r="A42">
        <v>8.3449999999999989</v>
      </c>
      <c r="B42">
        <v>2</v>
      </c>
    </row>
    <row r="43" spans="1:2" x14ac:dyDescent="0.35">
      <c r="A43">
        <v>8.3450000000000006</v>
      </c>
      <c r="B43">
        <v>2</v>
      </c>
    </row>
    <row r="44" spans="1:2" x14ac:dyDescent="0.35">
      <c r="A44">
        <v>8.3450000000000024</v>
      </c>
      <c r="B44">
        <v>2</v>
      </c>
    </row>
    <row r="45" spans="1:2" x14ac:dyDescent="0.35">
      <c r="A45">
        <v>8.3450000000000042</v>
      </c>
      <c r="B45">
        <v>2</v>
      </c>
    </row>
    <row r="46" spans="1:2" x14ac:dyDescent="0.35">
      <c r="A46">
        <v>4.4999999999999984E-2</v>
      </c>
      <c r="B46">
        <v>2</v>
      </c>
    </row>
    <row r="47" spans="1:2" x14ac:dyDescent="0.35">
      <c r="A47">
        <v>4.4999999999999991E-2</v>
      </c>
      <c r="B47">
        <v>2</v>
      </c>
    </row>
    <row r="48" spans="1:2" x14ac:dyDescent="0.35">
      <c r="A48">
        <v>4.4999999999999998E-2</v>
      </c>
      <c r="B48">
        <v>2</v>
      </c>
    </row>
    <row r="49" spans="1:2" x14ac:dyDescent="0.35">
      <c r="A49">
        <v>4.5000000000000005E-2</v>
      </c>
      <c r="B49">
        <v>2</v>
      </c>
    </row>
    <row r="50" spans="1:2" x14ac:dyDescent="0.35">
      <c r="A50">
        <v>4.5000000000000012E-2</v>
      </c>
      <c r="B50">
        <v>2</v>
      </c>
    </row>
    <row r="51" spans="1:2" x14ac:dyDescent="0.35">
      <c r="A51">
        <v>1.0049999999999994</v>
      </c>
      <c r="B51">
        <v>2</v>
      </c>
    </row>
    <row r="52" spans="1:2" x14ac:dyDescent="0.35">
      <c r="A52">
        <v>1.0049999999999997</v>
      </c>
      <c r="B52">
        <v>2</v>
      </c>
    </row>
    <row r="53" spans="1:2" x14ac:dyDescent="0.35">
      <c r="A53">
        <v>1.0049999999999999</v>
      </c>
      <c r="B53">
        <v>2</v>
      </c>
    </row>
    <row r="54" spans="1:2" x14ac:dyDescent="0.35">
      <c r="A54">
        <v>1.0050000000000001</v>
      </c>
      <c r="B54">
        <v>2</v>
      </c>
    </row>
    <row r="55" spans="1:2" x14ac:dyDescent="0.35">
      <c r="A55">
        <v>1.0050000000000003</v>
      </c>
      <c r="B55">
        <v>2</v>
      </c>
    </row>
    <row r="56" spans="1:2" x14ac:dyDescent="0.35">
      <c r="A56">
        <v>2.3449999999999993</v>
      </c>
      <c r="B56">
        <v>2</v>
      </c>
    </row>
    <row r="57" spans="1:2" x14ac:dyDescent="0.35">
      <c r="A57">
        <v>2.3449999999999998</v>
      </c>
      <c r="B57">
        <v>2</v>
      </c>
    </row>
    <row r="58" spans="1:2" x14ac:dyDescent="0.35">
      <c r="A58">
        <v>2.3450000000000002</v>
      </c>
      <c r="B58">
        <v>2</v>
      </c>
    </row>
    <row r="59" spans="1:2" x14ac:dyDescent="0.35">
      <c r="A59">
        <v>2.3450000000000006</v>
      </c>
      <c r="B59">
        <v>2</v>
      </c>
    </row>
    <row r="60" spans="1:2" x14ac:dyDescent="0.35">
      <c r="A60">
        <v>2.3450000000000011</v>
      </c>
      <c r="B60">
        <v>2</v>
      </c>
    </row>
    <row r="61" spans="1:2" x14ac:dyDescent="0.35">
      <c r="A61">
        <v>5.0149999999999979</v>
      </c>
      <c r="B61">
        <v>2</v>
      </c>
    </row>
    <row r="62" spans="1:2" x14ac:dyDescent="0.35">
      <c r="A62">
        <v>5.0149999999999988</v>
      </c>
      <c r="B62">
        <v>2</v>
      </c>
    </row>
    <row r="63" spans="1:2" x14ac:dyDescent="0.35">
      <c r="A63">
        <v>5.0149999999999997</v>
      </c>
      <c r="B63">
        <v>2</v>
      </c>
    </row>
    <row r="64" spans="1:2" x14ac:dyDescent="0.35">
      <c r="A64">
        <v>5.0150000000000006</v>
      </c>
      <c r="B64">
        <v>2</v>
      </c>
    </row>
    <row r="65" spans="1:2" x14ac:dyDescent="0.35">
      <c r="A65">
        <v>5.0150000000000015</v>
      </c>
      <c r="B65">
        <v>2</v>
      </c>
    </row>
    <row r="66" spans="1:2" x14ac:dyDescent="0.35">
      <c r="A66">
        <v>123.45649999999998</v>
      </c>
      <c r="B66">
        <v>3</v>
      </c>
    </row>
    <row r="67" spans="1:2" x14ac:dyDescent="0.35">
      <c r="A67">
        <v>123.45649999999999</v>
      </c>
      <c r="B67">
        <v>3</v>
      </c>
    </row>
    <row r="68" spans="1:2" x14ac:dyDescent="0.35">
      <c r="A68">
        <v>123.45650000000001</v>
      </c>
      <c r="B68">
        <v>3</v>
      </c>
    </row>
    <row r="69" spans="1:2" x14ac:dyDescent="0.35">
      <c r="A69">
        <v>123.45650000000002</v>
      </c>
      <c r="B69">
        <v>3</v>
      </c>
    </row>
    <row r="70" spans="1:2" x14ac:dyDescent="0.35">
      <c r="A70">
        <v>123.45650000000003</v>
      </c>
      <c r="B70">
        <v>3</v>
      </c>
    </row>
    <row r="71" spans="1:2" x14ac:dyDescent="0.35">
      <c r="A71">
        <v>0.14999999999999994</v>
      </c>
      <c r="B71">
        <v>1</v>
      </c>
    </row>
    <row r="72" spans="1:2" x14ac:dyDescent="0.35">
      <c r="A72">
        <v>0.14999999999999997</v>
      </c>
      <c r="B72">
        <v>1</v>
      </c>
    </row>
    <row r="73" spans="1:2" x14ac:dyDescent="0.35">
      <c r="A73">
        <v>0.15</v>
      </c>
      <c r="B73">
        <v>1</v>
      </c>
    </row>
    <row r="74" spans="1:2" x14ac:dyDescent="0.35">
      <c r="A74">
        <v>0.15000000000000002</v>
      </c>
      <c r="B74">
        <v>1</v>
      </c>
    </row>
    <row r="75" spans="1:2" x14ac:dyDescent="0.35">
      <c r="A75">
        <v>0.15000000000000005</v>
      </c>
      <c r="B75">
        <v>1</v>
      </c>
    </row>
    <row r="76" spans="1:2" x14ac:dyDescent="0.35">
      <c r="A76">
        <v>0.24999999999999994</v>
      </c>
      <c r="B76">
        <v>1</v>
      </c>
    </row>
    <row r="77" spans="1:2" x14ac:dyDescent="0.35">
      <c r="A77">
        <v>0.24999999999999997</v>
      </c>
      <c r="B77">
        <v>1</v>
      </c>
    </row>
    <row r="78" spans="1:2" x14ac:dyDescent="0.35">
      <c r="A78">
        <v>0.25</v>
      </c>
      <c r="B78">
        <v>1</v>
      </c>
    </row>
    <row r="79" spans="1:2" x14ac:dyDescent="0.35">
      <c r="A79">
        <v>0.25000000000000006</v>
      </c>
      <c r="B79">
        <v>1</v>
      </c>
    </row>
    <row r="80" spans="1:2" x14ac:dyDescent="0.35">
      <c r="A80">
        <v>0.25000000000000011</v>
      </c>
      <c r="B80">
        <v>1</v>
      </c>
    </row>
    <row r="81" spans="1:2" x14ac:dyDescent="0.35">
      <c r="A81">
        <v>0.34999999999999987</v>
      </c>
      <c r="B81">
        <v>1</v>
      </c>
    </row>
    <row r="82" spans="1:2" x14ac:dyDescent="0.35">
      <c r="A82">
        <v>0.34999999999999992</v>
      </c>
      <c r="B82">
        <v>1</v>
      </c>
    </row>
    <row r="83" spans="1:2" x14ac:dyDescent="0.35">
      <c r="A83">
        <v>0.35</v>
      </c>
      <c r="B83">
        <v>1</v>
      </c>
    </row>
    <row r="84" spans="1:2" x14ac:dyDescent="0.35">
      <c r="A84">
        <v>0.35000000000000003</v>
      </c>
      <c r="B84">
        <v>1</v>
      </c>
    </row>
    <row r="85" spans="1:2" x14ac:dyDescent="0.35">
      <c r="A85">
        <v>0.35000000000000009</v>
      </c>
      <c r="B85">
        <v>1</v>
      </c>
    </row>
    <row r="86" spans="1:2" x14ac:dyDescent="0.35">
      <c r="A86">
        <v>1000000000000000.3</v>
      </c>
      <c r="B86">
        <v>0</v>
      </c>
    </row>
    <row r="87" spans="1:2" x14ac:dyDescent="0.35">
      <c r="A87">
        <v>1000000000000000.4</v>
      </c>
      <c r="B87">
        <v>0</v>
      </c>
    </row>
    <row r="88" spans="1:2" x14ac:dyDescent="0.35">
      <c r="A88">
        <v>1000000000000000.5</v>
      </c>
      <c r="B88">
        <v>0</v>
      </c>
    </row>
    <row r="89" spans="1:2" x14ac:dyDescent="0.35">
      <c r="A89">
        <v>1000000000000000.6</v>
      </c>
      <c r="B89">
        <v>0</v>
      </c>
    </row>
    <row r="90" spans="1:2" x14ac:dyDescent="0.35">
      <c r="A90">
        <v>1000000000000000.8</v>
      </c>
      <c r="B90">
        <v>0</v>
      </c>
    </row>
    <row r="91" spans="1:2" x14ac:dyDescent="0.35">
      <c r="A91">
        <v>4.9999999999999989E-5</v>
      </c>
      <c r="B91">
        <v>4</v>
      </c>
    </row>
    <row r="92" spans="1:2" x14ac:dyDescent="0.35">
      <c r="A92">
        <v>4.9999999999999996E-5</v>
      </c>
      <c r="B92">
        <v>4</v>
      </c>
    </row>
    <row r="93" spans="1:2" x14ac:dyDescent="0.35">
      <c r="A93">
        <v>5.0000000000000002E-5</v>
      </c>
      <c r="B93">
        <v>4</v>
      </c>
    </row>
    <row r="94" spans="1:2" x14ac:dyDescent="0.35">
      <c r="A94">
        <v>5.0000000000000009E-5</v>
      </c>
      <c r="B94">
        <v>4</v>
      </c>
    </row>
    <row r="95" spans="1:2" x14ac:dyDescent="0.35">
      <c r="A95">
        <v>5.0000000000000016E-5</v>
      </c>
      <c r="B95">
        <v>4</v>
      </c>
    </row>
    <row r="96" spans="1:2" x14ac:dyDescent="0.35">
      <c r="A96">
        <v>0.29999999999999993</v>
      </c>
      <c r="B96">
        <v>1</v>
      </c>
    </row>
    <row r="97" spans="1:2" x14ac:dyDescent="0.35">
      <c r="A97">
        <v>0.3</v>
      </c>
      <c r="B97">
        <v>1</v>
      </c>
    </row>
    <row r="98" spans="1:2" x14ac:dyDescent="0.35">
      <c r="A98">
        <v>0.30000000000000004</v>
      </c>
      <c r="B98">
        <v>1</v>
      </c>
    </row>
    <row r="99" spans="1:2" x14ac:dyDescent="0.35">
      <c r="A99">
        <v>0.3000000000000001</v>
      </c>
      <c r="B99">
        <v>1</v>
      </c>
    </row>
    <row r="100" spans="1:2" x14ac:dyDescent="0.35">
      <c r="A100">
        <v>0.30000000000000016</v>
      </c>
      <c r="B100">
        <v>1</v>
      </c>
    </row>
    <row r="101" spans="1:2" x14ac:dyDescent="0.35">
      <c r="A101">
        <v>0.29999999999999993</v>
      </c>
      <c r="B101">
        <v>1</v>
      </c>
    </row>
    <row r="102" spans="1:2" x14ac:dyDescent="0.35">
      <c r="A102">
        <v>0.3</v>
      </c>
      <c r="B102">
        <v>1</v>
      </c>
    </row>
    <row r="103" spans="1:2" x14ac:dyDescent="0.35">
      <c r="A103">
        <v>0.30000000000000004</v>
      </c>
      <c r="B103">
        <v>1</v>
      </c>
    </row>
    <row r="104" spans="1:2" x14ac:dyDescent="0.35">
      <c r="A104">
        <v>0.3000000000000001</v>
      </c>
      <c r="B104">
        <v>1</v>
      </c>
    </row>
    <row r="105" spans="1:2" x14ac:dyDescent="0.35">
      <c r="A105">
        <v>0.30000000000000016</v>
      </c>
      <c r="B105">
        <v>1</v>
      </c>
    </row>
    <row r="106" spans="1:2" x14ac:dyDescent="0.35">
      <c r="A106">
        <v>1234.5677999999996</v>
      </c>
      <c r="B106">
        <v>-2</v>
      </c>
    </row>
    <row r="107" spans="1:2" x14ac:dyDescent="0.35">
      <c r="A107">
        <v>1234.5677999999998</v>
      </c>
      <c r="B107">
        <v>-2</v>
      </c>
    </row>
    <row r="108" spans="1:2" x14ac:dyDescent="0.35">
      <c r="A108">
        <v>1234.5678</v>
      </c>
      <c r="B108">
        <v>-2</v>
      </c>
    </row>
    <row r="109" spans="1:2" x14ac:dyDescent="0.35">
      <c r="A109">
        <v>1234.5678000000003</v>
      </c>
      <c r="B109">
        <v>-2</v>
      </c>
    </row>
    <row r="110" spans="1:2" x14ac:dyDescent="0.35">
      <c r="A110">
        <v>1234.5678000000005</v>
      </c>
      <c r="B110">
        <v>-2</v>
      </c>
    </row>
    <row r="111" spans="1:2" x14ac:dyDescent="0.35">
      <c r="A111">
        <v>1249.9999999999995</v>
      </c>
      <c r="B111">
        <v>-2</v>
      </c>
    </row>
    <row r="112" spans="1:2" x14ac:dyDescent="0.35">
      <c r="A112">
        <v>1249.9999999999998</v>
      </c>
      <c r="B112">
        <v>-2</v>
      </c>
    </row>
    <row r="113" spans="1:2" x14ac:dyDescent="0.35">
      <c r="A113">
        <v>1250</v>
      </c>
      <c r="B113">
        <v>-2</v>
      </c>
    </row>
    <row r="114" spans="1:2" x14ac:dyDescent="0.35">
      <c r="A114">
        <v>1250.0000000000002</v>
      </c>
      <c r="B114">
        <v>-2</v>
      </c>
    </row>
    <row r="115" spans="1:2" x14ac:dyDescent="0.35">
      <c r="A115">
        <v>1250.0000000000005</v>
      </c>
      <c r="B115">
        <v>-2</v>
      </c>
    </row>
    <row r="116" spans="1:2" x14ac:dyDescent="0.35">
      <c r="A116">
        <v>-1250.0000000000005</v>
      </c>
      <c r="B116">
        <v>-2</v>
      </c>
    </row>
    <row r="117" spans="1:2" x14ac:dyDescent="0.35">
      <c r="A117">
        <v>-1250.0000000000002</v>
      </c>
      <c r="B117">
        <v>-2</v>
      </c>
    </row>
    <row r="118" spans="1:2" x14ac:dyDescent="0.35">
      <c r="A118">
        <v>-1250</v>
      </c>
      <c r="B118">
        <v>-2</v>
      </c>
    </row>
    <row r="119" spans="1:2" x14ac:dyDescent="0.35">
      <c r="A119">
        <v>-1249.9999999999998</v>
      </c>
      <c r="B119">
        <v>-2</v>
      </c>
    </row>
    <row r="120" spans="1:2" x14ac:dyDescent="0.35">
      <c r="A120">
        <v>-1249.9999999999995</v>
      </c>
      <c r="B120">
        <v>-2</v>
      </c>
    </row>
    <row r="121" spans="1:2" x14ac:dyDescent="0.35">
      <c r="A121">
        <v>1.2345678901234496</v>
      </c>
      <c r="B121">
        <v>14</v>
      </c>
    </row>
    <row r="122" spans="1:2" x14ac:dyDescent="0.35">
      <c r="A122">
        <v>1.2345678901234498</v>
      </c>
      <c r="B122">
        <v>14</v>
      </c>
    </row>
    <row r="123" spans="1:2" x14ac:dyDescent="0.35">
      <c r="A123">
        <v>1.23456789012345</v>
      </c>
      <c r="B123">
        <v>14</v>
      </c>
    </row>
    <row r="124" spans="1:2" x14ac:dyDescent="0.35">
      <c r="A124">
        <v>1.2345678901234503</v>
      </c>
      <c r="B124">
        <v>14</v>
      </c>
    </row>
    <row r="125" spans="1:2" x14ac:dyDescent="0.35">
      <c r="A125">
        <v>1.2345678901234505</v>
      </c>
      <c r="B125">
        <v>14</v>
      </c>
    </row>
    <row r="126" spans="1:2" x14ac:dyDescent="0.35">
      <c r="A126">
        <v>0.29999999999999988</v>
      </c>
      <c r="B126">
        <v>20</v>
      </c>
    </row>
    <row r="127" spans="1:2" x14ac:dyDescent="0.35">
      <c r="A127">
        <v>0.29999999999999993</v>
      </c>
      <c r="B127">
        <v>20</v>
      </c>
    </row>
    <row r="128" spans="1:2" x14ac:dyDescent="0.35">
      <c r="A128">
        <v>0.3</v>
      </c>
      <c r="B128">
        <v>20</v>
      </c>
    </row>
    <row r="129" spans="1:2" x14ac:dyDescent="0.35">
      <c r="A129">
        <v>0.30000000000000004</v>
      </c>
      <c r="B129">
        <v>20</v>
      </c>
    </row>
    <row r="130" spans="1:2" x14ac:dyDescent="0.35">
      <c r="A130">
        <v>0.3000000000000001</v>
      </c>
      <c r="B130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"/>
  <sheetViews>
    <sheetView workbookViewId="0"/>
  </sheetViews>
  <sheetFormatPr defaultRowHeight="14.5" x14ac:dyDescent="0.35"/>
  <sheetData>
    <row r="1" spans="1:2" x14ac:dyDescent="0.35">
      <c r="A1">
        <v>10</v>
      </c>
      <c r="B1">
        <v>3.3</v>
      </c>
    </row>
    <row r="2" spans="1:2" x14ac:dyDescent="0.35">
      <c r="A2">
        <v>5.5</v>
      </c>
      <c r="B2">
        <v>2</v>
      </c>
    </row>
    <row r="3" spans="1:2" x14ac:dyDescent="0.35">
      <c r="A3">
        <v>10000000000</v>
      </c>
      <c r="B3">
        <v>3</v>
      </c>
    </row>
    <row r="4" spans="1:2" x14ac:dyDescent="0.35">
      <c r="A4">
        <v>134217728</v>
      </c>
      <c r="B4">
        <v>3</v>
      </c>
    </row>
    <row r="5" spans="1:2" x14ac:dyDescent="0.35">
      <c r="A5">
        <v>150000000</v>
      </c>
      <c r="B5">
        <v>7</v>
      </c>
    </row>
    <row r="6" spans="1:2" x14ac:dyDescent="0.35">
      <c r="A6">
        <v>1</v>
      </c>
      <c r="B6">
        <v>0.1</v>
      </c>
    </row>
    <row r="7" spans="1:2" x14ac:dyDescent="0.35">
      <c r="A7">
        <v>0.3</v>
      </c>
      <c r="B7">
        <v>0.1</v>
      </c>
    </row>
    <row r="8" spans="1:2" x14ac:dyDescent="0.35">
      <c r="A8">
        <v>7</v>
      </c>
      <c r="B8">
        <v>0.7</v>
      </c>
    </row>
    <row r="9" spans="1:2" x14ac:dyDescent="0.35">
      <c r="A9">
        <v>-7</v>
      </c>
      <c r="B9">
        <v>0.7</v>
      </c>
    </row>
    <row r="10" spans="1:2" x14ac:dyDescent="0.35">
      <c r="A10">
        <v>7</v>
      </c>
      <c r="B10">
        <v>-0.7</v>
      </c>
    </row>
    <row r="11" spans="1:2" x14ac:dyDescent="0.35">
      <c r="A11">
        <v>1000000000000000</v>
      </c>
      <c r="B11">
        <v>7</v>
      </c>
    </row>
    <row r="12" spans="1:2" x14ac:dyDescent="0.35">
      <c r="A12">
        <v>2500000000000000</v>
      </c>
      <c r="B12">
        <v>3</v>
      </c>
    </row>
    <row r="13" spans="1:2" x14ac:dyDescent="0.35">
      <c r="A13">
        <v>4.3</v>
      </c>
      <c r="B13">
        <v>0.1</v>
      </c>
    </row>
    <row r="14" spans="1:2" x14ac:dyDescent="0.35">
      <c r="A14">
        <v>4.3</v>
      </c>
      <c r="B14">
        <v>0.5</v>
      </c>
    </row>
    <row r="15" spans="1:2" x14ac:dyDescent="0.35">
      <c r="A15">
        <v>-4.3</v>
      </c>
      <c r="B15">
        <v>0.1</v>
      </c>
    </row>
    <row r="16" spans="1:2" x14ac:dyDescent="0.35">
      <c r="A16">
        <v>1099511627776</v>
      </c>
      <c r="B16">
        <v>3</v>
      </c>
    </row>
    <row r="17" spans="1:2" x14ac:dyDescent="0.35">
      <c r="A17">
        <v>123.456</v>
      </c>
      <c r="B17">
        <v>0.01</v>
      </c>
    </row>
    <row r="18" spans="1:2" x14ac:dyDescent="0.35">
      <c r="A18">
        <v>1.25</v>
      </c>
      <c r="B18">
        <v>0.05</v>
      </c>
    </row>
    <row r="19" spans="1:2" x14ac:dyDescent="0.35">
      <c r="A19">
        <v>99.99</v>
      </c>
      <c r="B19">
        <v>0.1</v>
      </c>
    </row>
    <row r="20" spans="1:2" x14ac:dyDescent="0.35">
      <c r="A20">
        <v>0.6</v>
      </c>
      <c r="B20">
        <v>0.2</v>
      </c>
    </row>
    <row r="21" spans="1:2" x14ac:dyDescent="0.35">
      <c r="A21">
        <v>3</v>
      </c>
      <c r="B21">
        <v>1.5</v>
      </c>
    </row>
    <row r="22" spans="1:2" x14ac:dyDescent="0.35">
      <c r="A22">
        <v>1.0000000000000001E+300</v>
      </c>
      <c r="B22">
        <v>7</v>
      </c>
    </row>
    <row r="23" spans="1:2" x14ac:dyDescent="0.35">
      <c r="A23">
        <v>5</v>
      </c>
      <c r="B23">
        <v>1E-300</v>
      </c>
    </row>
    <row r="24" spans="1:2" x14ac:dyDescent="0.35">
      <c r="A24">
        <v>9007199254740992</v>
      </c>
      <c r="B24">
        <v>3</v>
      </c>
    </row>
    <row r="25" spans="1:2" x14ac:dyDescent="0.35">
      <c r="A25">
        <v>9007199254740994</v>
      </c>
      <c r="B25">
        <v>3</v>
      </c>
    </row>
    <row r="26" spans="1:2" x14ac:dyDescent="0.35">
      <c r="A26">
        <v>6</v>
      </c>
      <c r="B26">
        <v>0.3</v>
      </c>
    </row>
    <row r="27" spans="1:2" x14ac:dyDescent="0.35">
      <c r="A27">
        <v>0.7</v>
      </c>
      <c r="B27">
        <v>0.1</v>
      </c>
    </row>
    <row r="28" spans="1:2" x14ac:dyDescent="0.35">
      <c r="A28">
        <v>11</v>
      </c>
      <c r="B28">
        <v>2.2000000000000002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/>
  </sheetViews>
  <sheetFormatPr defaultRowHeight="14.5" x14ac:dyDescent="0.35"/>
  <sheetData>
    <row r="1" spans="1:2" x14ac:dyDescent="0.35">
      <c r="A1" s="1">
        <v>43861</v>
      </c>
      <c r="B1" s="1">
        <v>43890</v>
      </c>
    </row>
    <row r="2" spans="1:2" x14ac:dyDescent="0.35">
      <c r="A2" s="1">
        <v>43890</v>
      </c>
      <c r="B2" s="1">
        <v>43921</v>
      </c>
    </row>
    <row r="3" spans="1:2" x14ac:dyDescent="0.35">
      <c r="A3" s="1">
        <v>43524</v>
      </c>
      <c r="B3" s="1">
        <v>43555</v>
      </c>
    </row>
    <row r="4" spans="1:2" x14ac:dyDescent="0.35">
      <c r="A4" s="1">
        <v>43860</v>
      </c>
      <c r="B4" s="1">
        <v>43921</v>
      </c>
    </row>
    <row r="5" spans="1:2" x14ac:dyDescent="0.35">
      <c r="A5" s="1">
        <v>43921</v>
      </c>
      <c r="B5" s="1">
        <v>44285</v>
      </c>
    </row>
    <row r="6" spans="1:2" x14ac:dyDescent="0.35">
      <c r="A6" s="1">
        <v>43831</v>
      </c>
      <c r="B6" s="1">
        <v>44196</v>
      </c>
    </row>
    <row r="7" spans="1:2" x14ac:dyDescent="0.35">
      <c r="A7" s="1">
        <v>43631</v>
      </c>
      <c r="B7" s="1">
        <v>44255</v>
      </c>
    </row>
    <row r="8" spans="1:2" x14ac:dyDescent="0.35">
      <c r="A8" s="1">
        <v>43524</v>
      </c>
      <c r="B8" s="1">
        <v>43890</v>
      </c>
    </row>
    <row r="9" spans="1:2" x14ac:dyDescent="0.35">
      <c r="A9" s="1">
        <v>43890</v>
      </c>
      <c r="B9" s="1">
        <v>44255</v>
      </c>
    </row>
    <row r="10" spans="1:2" x14ac:dyDescent="0.35">
      <c r="A10" s="1">
        <v>44255</v>
      </c>
      <c r="B10" s="1">
        <v>44286</v>
      </c>
    </row>
    <row r="11" spans="1:2" x14ac:dyDescent="0.35">
      <c r="A11" s="1">
        <v>43982</v>
      </c>
      <c r="B11" s="1">
        <v>44074</v>
      </c>
    </row>
    <row r="12" spans="1:2" x14ac:dyDescent="0.35">
      <c r="A12" s="1">
        <v>43981</v>
      </c>
      <c r="B12" s="1">
        <v>44074</v>
      </c>
    </row>
    <row r="13" spans="1:2" x14ac:dyDescent="0.35">
      <c r="A13" s="1">
        <v>44196</v>
      </c>
      <c r="B13" s="1">
        <v>43831</v>
      </c>
    </row>
    <row r="14" spans="1:2" x14ac:dyDescent="0.35">
      <c r="A14" s="1">
        <v>43466</v>
      </c>
      <c r="B14" s="1">
        <v>44927</v>
      </c>
    </row>
    <row r="15" spans="1:2" x14ac:dyDescent="0.35">
      <c r="A15" s="1">
        <v>44013</v>
      </c>
      <c r="B15" s="1">
        <v>44377</v>
      </c>
    </row>
    <row r="16" spans="1:2" x14ac:dyDescent="0.35">
      <c r="A16" s="1">
        <v>43525</v>
      </c>
      <c r="B16" s="1">
        <v>43890</v>
      </c>
    </row>
    <row r="17" spans="1:2" x14ac:dyDescent="0.35">
      <c r="A17" s="1">
        <v>43889</v>
      </c>
      <c r="B17" s="1">
        <v>43890</v>
      </c>
    </row>
    <row r="18" spans="1:2" x14ac:dyDescent="0.35">
      <c r="A18" s="1">
        <v>43830</v>
      </c>
      <c r="B18" s="1">
        <v>43891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2"/>
  <sheetViews>
    <sheetView workbookViewId="0"/>
  </sheetViews>
  <sheetFormatPr defaultRowHeight="14.5" x14ac:dyDescent="0.35"/>
  <sheetData>
    <row r="1" spans="1:1" x14ac:dyDescent="0.35">
      <c r="A1">
        <v>-6.1527241357036955</v>
      </c>
    </row>
    <row r="2" spans="1:1" x14ac:dyDescent="0.35">
      <c r="A2">
        <v>-4.2631509753041481</v>
      </c>
    </row>
    <row r="3" spans="1:1" x14ac:dyDescent="0.35">
      <c r="A3">
        <v>-7.6368943496657753</v>
      </c>
    </row>
    <row r="4" spans="1:1" x14ac:dyDescent="0.35">
      <c r="A4">
        <v>-3.8741616000586143</v>
      </c>
    </row>
    <row r="5" spans="1:1" x14ac:dyDescent="0.35">
      <c r="A5">
        <v>-3.8131260109556582</v>
      </c>
    </row>
    <row r="6" spans="1:1" x14ac:dyDescent="0.35">
      <c r="A6">
        <v>-6.3111440585047029</v>
      </c>
    </row>
    <row r="7" spans="1:1" x14ac:dyDescent="0.35">
      <c r="A7">
        <v>1.3797279616200413</v>
      </c>
    </row>
    <row r="8" spans="1:1" x14ac:dyDescent="0.35">
      <c r="A8">
        <v>4.7139959088898244</v>
      </c>
    </row>
    <row r="9" spans="1:1" x14ac:dyDescent="0.35">
      <c r="A9">
        <v>-5.891334488488134</v>
      </c>
    </row>
    <row r="10" spans="1:1" x14ac:dyDescent="0.35">
      <c r="A10">
        <v>0.19989827133042759</v>
      </c>
    </row>
    <row r="11" spans="1:1" x14ac:dyDescent="0.35">
      <c r="A11">
        <v>-6.9018988034612105</v>
      </c>
    </row>
    <row r="12" spans="1:1" x14ac:dyDescent="0.35">
      <c r="A12">
        <v>9.5075696410994901</v>
      </c>
    </row>
    <row r="13" spans="1:1" x14ac:dyDescent="0.35">
      <c r="A13">
        <v>-3.5947151476418675</v>
      </c>
    </row>
    <row r="14" spans="1:1" x14ac:dyDescent="0.35">
      <c r="A14">
        <v>9.0272446902666559E-2</v>
      </c>
    </row>
    <row r="15" spans="1:1" x14ac:dyDescent="0.35">
      <c r="A15">
        <v>3.3755349012420481</v>
      </c>
    </row>
    <row r="16" spans="1:1" x14ac:dyDescent="0.35">
      <c r="A16">
        <v>-3.2886734162118048</v>
      </c>
    </row>
    <row r="17" spans="1:1" x14ac:dyDescent="0.35">
      <c r="A17">
        <v>-0.49783969944441075</v>
      </c>
    </row>
    <row r="18" spans="1:1" x14ac:dyDescent="0.35">
      <c r="A18">
        <v>8.0335339454991725</v>
      </c>
    </row>
    <row r="19" spans="1:1" x14ac:dyDescent="0.35">
      <c r="A19">
        <v>1.0027547688137979</v>
      </c>
    </row>
    <row r="20" spans="1:1" x14ac:dyDescent="0.35">
      <c r="A20">
        <v>-5.891386704229447</v>
      </c>
    </row>
    <row r="21" spans="1:1" x14ac:dyDescent="0.35">
      <c r="A21">
        <v>7.8615713304921755</v>
      </c>
    </row>
    <row r="22" spans="1:1" x14ac:dyDescent="0.35">
      <c r="A22">
        <v>-4.3162113683597241</v>
      </c>
    </row>
    <row r="23" spans="1:1" x14ac:dyDescent="0.35">
      <c r="A23">
        <v>-4.7380515101609184</v>
      </c>
    </row>
    <row r="24" spans="1:1" x14ac:dyDescent="0.35">
      <c r="A24">
        <v>0.10240026548612668</v>
      </c>
    </row>
    <row r="25" spans="1:1" x14ac:dyDescent="0.35">
      <c r="A25">
        <v>2.331940417901933</v>
      </c>
    </row>
    <row r="26" spans="1:1" x14ac:dyDescent="0.35">
      <c r="A26">
        <v>4.7448322134958296</v>
      </c>
    </row>
    <row r="27" spans="1:1" x14ac:dyDescent="0.35">
      <c r="A27">
        <v>-5.0027672492785573</v>
      </c>
    </row>
    <row r="28" spans="1:1" x14ac:dyDescent="0.35">
      <c r="A28">
        <v>-9.457382772380825</v>
      </c>
    </row>
    <row r="29" spans="1:1" x14ac:dyDescent="0.35">
      <c r="A29">
        <v>-7.5762825186456944</v>
      </c>
    </row>
    <row r="30" spans="1:1" x14ac:dyDescent="0.35">
      <c r="A30">
        <v>3.2142412155576405</v>
      </c>
    </row>
    <row r="31" spans="1:1" x14ac:dyDescent="0.35">
      <c r="A31">
        <v>-7.9257227051207462</v>
      </c>
    </row>
    <row r="32" spans="1:1" x14ac:dyDescent="0.35">
      <c r="A32">
        <v>-3.9293376077127569</v>
      </c>
    </row>
    <row r="33" spans="1:1" x14ac:dyDescent="0.35">
      <c r="A33">
        <v>-5.2685456616185489</v>
      </c>
    </row>
    <row r="34" spans="1:1" x14ac:dyDescent="0.35">
      <c r="A34">
        <v>9.4485153498143113</v>
      </c>
    </row>
    <row r="35" spans="1:1" x14ac:dyDescent="0.35">
      <c r="A35">
        <v>-7.743666448911708</v>
      </c>
    </row>
    <row r="36" spans="1:1" x14ac:dyDescent="0.35">
      <c r="A36">
        <v>4.7152669774398159</v>
      </c>
    </row>
    <row r="37" spans="1:1" x14ac:dyDescent="0.35">
      <c r="A37">
        <v>9.2394314307131253</v>
      </c>
    </row>
    <row r="38" spans="1:1" x14ac:dyDescent="0.35">
      <c r="A38">
        <v>7.9382362211313939</v>
      </c>
    </row>
    <row r="39" spans="1:1" x14ac:dyDescent="0.35">
      <c r="A39">
        <v>-6.6059476357571985</v>
      </c>
    </row>
    <row r="40" spans="1:1" x14ac:dyDescent="0.35">
      <c r="A40">
        <v>0.89026524077320346</v>
      </c>
    </row>
    <row r="41" spans="1:1" x14ac:dyDescent="0.35">
      <c r="A41">
        <v>-1.4491015614755476</v>
      </c>
    </row>
    <row r="42" spans="1:1" x14ac:dyDescent="0.35">
      <c r="A42">
        <v>9.8141371081887705</v>
      </c>
    </row>
    <row r="43" spans="1:1" x14ac:dyDescent="0.35">
      <c r="A43">
        <v>9.0346091066606995</v>
      </c>
    </row>
    <row r="44" spans="1:1" x14ac:dyDescent="0.35">
      <c r="A44">
        <v>-3.8781249492440999</v>
      </c>
    </row>
    <row r="45" spans="1:1" x14ac:dyDescent="0.35">
      <c r="A45">
        <v>6.3054719159926904</v>
      </c>
    </row>
    <row r="46" spans="1:1" x14ac:dyDescent="0.35">
      <c r="A46">
        <v>-7.6009721188109474</v>
      </c>
    </row>
    <row r="47" spans="1:1" x14ac:dyDescent="0.35">
      <c r="A47">
        <v>-1.8441139019927135</v>
      </c>
    </row>
    <row r="48" spans="1:1" x14ac:dyDescent="0.35">
      <c r="A48">
        <v>0.30473077609903143</v>
      </c>
    </row>
    <row r="49" spans="1:1" x14ac:dyDescent="0.35">
      <c r="A49">
        <v>6.9411666900841311</v>
      </c>
    </row>
    <row r="50" spans="1:1" x14ac:dyDescent="0.35">
      <c r="A50">
        <v>-3.0817296277283956</v>
      </c>
    </row>
    <row r="51" spans="1:1" x14ac:dyDescent="0.35">
      <c r="A51">
        <v>-1.5337426690733267</v>
      </c>
    </row>
    <row r="52" spans="1:1" x14ac:dyDescent="0.35">
      <c r="A52">
        <v>1.6476224835541942</v>
      </c>
    </row>
    <row r="53" spans="1:1" x14ac:dyDescent="0.35">
      <c r="A53">
        <v>9.1194353877089682</v>
      </c>
    </row>
    <row r="54" spans="1:1" x14ac:dyDescent="0.35">
      <c r="A54">
        <v>4.3591937576272262</v>
      </c>
    </row>
    <row r="55" spans="1:1" x14ac:dyDescent="0.35">
      <c r="A55">
        <v>8.6560327216514068</v>
      </c>
    </row>
    <row r="56" spans="1:1" x14ac:dyDescent="0.35">
      <c r="A56">
        <v>5.514087122929606</v>
      </c>
    </row>
    <row r="57" spans="1:1" x14ac:dyDescent="0.35">
      <c r="A57">
        <v>0.70239436363550212</v>
      </c>
    </row>
    <row r="58" spans="1:1" x14ac:dyDescent="0.35">
      <c r="A58">
        <v>-5.063908900120957</v>
      </c>
    </row>
    <row r="59" spans="1:1" x14ac:dyDescent="0.35">
      <c r="A59">
        <v>7.2719836408349465</v>
      </c>
    </row>
    <row r="60" spans="1:1" x14ac:dyDescent="0.35">
      <c r="A60">
        <v>9.2435693576685125</v>
      </c>
    </row>
    <row r="61" spans="1:1" x14ac:dyDescent="0.35">
      <c r="A61">
        <v>0.5</v>
      </c>
    </row>
    <row r="62" spans="1:1" x14ac:dyDescent="0.35">
      <c r="A62">
        <v>1</v>
      </c>
    </row>
    <row r="63" spans="1:1" x14ac:dyDescent="0.35">
      <c r="A63">
        <v>2</v>
      </c>
    </row>
    <row r="64" spans="1:1" x14ac:dyDescent="0.35">
      <c r="A64">
        <v>-0.5</v>
      </c>
    </row>
    <row r="65" spans="1:1" x14ac:dyDescent="0.35">
      <c r="A65">
        <v>1E-8</v>
      </c>
    </row>
    <row r="66" spans="1:1" x14ac:dyDescent="0.35">
      <c r="A66">
        <v>0.78539816339744828</v>
      </c>
    </row>
    <row r="67" spans="1:1" x14ac:dyDescent="0.35">
      <c r="A67">
        <v>1.0471975511965976</v>
      </c>
    </row>
    <row r="68" spans="1:1" x14ac:dyDescent="0.35">
      <c r="A68">
        <v>0.52359877559829882</v>
      </c>
    </row>
    <row r="69" spans="1:1" x14ac:dyDescent="0.35">
      <c r="A69">
        <v>2.3561944901923448</v>
      </c>
    </row>
    <row r="70" spans="1:1" x14ac:dyDescent="0.35">
      <c r="A70">
        <v>100</v>
      </c>
    </row>
    <row r="71" spans="1:1" x14ac:dyDescent="0.35">
      <c r="A71">
        <v>100000</v>
      </c>
    </row>
    <row r="72" spans="1:1" x14ac:dyDescent="0.35">
      <c r="A72">
        <v>10000000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90"/>
  <sheetViews>
    <sheetView workbookViewId="0"/>
  </sheetViews>
  <sheetFormatPr defaultRowHeight="14.5" x14ac:dyDescent="0.35"/>
  <sheetData>
    <row r="1" spans="1:1" x14ac:dyDescent="0.35">
      <c r="A1">
        <v>2.9999999999999982</v>
      </c>
    </row>
    <row r="2" spans="1:1" x14ac:dyDescent="0.35">
      <c r="A2">
        <v>2.9999999999999987</v>
      </c>
    </row>
    <row r="3" spans="1:1" x14ac:dyDescent="0.35">
      <c r="A3">
        <v>2.9999999999999991</v>
      </c>
    </row>
    <row r="4" spans="1:1" x14ac:dyDescent="0.35">
      <c r="A4">
        <v>2.9999999999999996</v>
      </c>
    </row>
    <row r="5" spans="1:1" x14ac:dyDescent="0.35">
      <c r="A5">
        <v>3</v>
      </c>
    </row>
    <row r="6" spans="1:1" x14ac:dyDescent="0.35">
      <c r="A6">
        <v>3.0000000000000004</v>
      </c>
    </row>
    <row r="7" spans="1:1" x14ac:dyDescent="0.35">
      <c r="A7">
        <v>3.0000000000000009</v>
      </c>
    </row>
    <row r="8" spans="1:1" x14ac:dyDescent="0.35">
      <c r="A8">
        <v>3.0000000000000013</v>
      </c>
    </row>
    <row r="9" spans="1:1" x14ac:dyDescent="0.35">
      <c r="A9">
        <v>3.0000000000000018</v>
      </c>
    </row>
    <row r="10" spans="1:1" x14ac:dyDescent="0.35">
      <c r="A10">
        <v>-3.0000000000000018</v>
      </c>
    </row>
    <row r="11" spans="1:1" x14ac:dyDescent="0.35">
      <c r="A11">
        <v>-3.0000000000000013</v>
      </c>
    </row>
    <row r="12" spans="1:1" x14ac:dyDescent="0.35">
      <c r="A12">
        <v>-3.0000000000000009</v>
      </c>
    </row>
    <row r="13" spans="1:1" x14ac:dyDescent="0.35">
      <c r="A13">
        <v>-3.0000000000000004</v>
      </c>
    </row>
    <row r="14" spans="1:1" x14ac:dyDescent="0.35">
      <c r="A14">
        <v>-3</v>
      </c>
    </row>
    <row r="15" spans="1:1" x14ac:dyDescent="0.35">
      <c r="A15">
        <v>-2.9999999999999996</v>
      </c>
    </row>
    <row r="16" spans="1:1" x14ac:dyDescent="0.35">
      <c r="A16">
        <v>-2.9999999999999991</v>
      </c>
    </row>
    <row r="17" spans="1:1" x14ac:dyDescent="0.35">
      <c r="A17">
        <v>-2.9999999999999987</v>
      </c>
    </row>
    <row r="18" spans="1:1" x14ac:dyDescent="0.35">
      <c r="A18">
        <v>-2.9999999999999982</v>
      </c>
    </row>
    <row r="19" spans="1:1" x14ac:dyDescent="0.35">
      <c r="A19">
        <v>0.99999999999999956</v>
      </c>
    </row>
    <row r="20" spans="1:1" x14ac:dyDescent="0.35">
      <c r="A20">
        <v>0.99999999999999967</v>
      </c>
    </row>
    <row r="21" spans="1:1" x14ac:dyDescent="0.35">
      <c r="A21">
        <v>0.99999999999999978</v>
      </c>
    </row>
    <row r="22" spans="1:1" x14ac:dyDescent="0.35">
      <c r="A22">
        <v>0.99999999999999989</v>
      </c>
    </row>
    <row r="23" spans="1:1" x14ac:dyDescent="0.35">
      <c r="A23">
        <v>1</v>
      </c>
    </row>
    <row r="24" spans="1:1" x14ac:dyDescent="0.35">
      <c r="A24">
        <v>1.0000000000000002</v>
      </c>
    </row>
    <row r="25" spans="1:1" x14ac:dyDescent="0.35">
      <c r="A25">
        <v>1.0000000000000004</v>
      </c>
    </row>
    <row r="26" spans="1:1" x14ac:dyDescent="0.35">
      <c r="A26">
        <v>1.0000000000000007</v>
      </c>
    </row>
    <row r="27" spans="1:1" x14ac:dyDescent="0.35">
      <c r="A27">
        <v>1.0000000000000009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99.999999999999943</v>
      </c>
    </row>
    <row r="38" spans="1:1" x14ac:dyDescent="0.35">
      <c r="A38">
        <v>99.999999999999957</v>
      </c>
    </row>
    <row r="39" spans="1:1" x14ac:dyDescent="0.35">
      <c r="A39">
        <v>99.999999999999972</v>
      </c>
    </row>
    <row r="40" spans="1:1" x14ac:dyDescent="0.35">
      <c r="A40">
        <v>99.999999999999986</v>
      </c>
    </row>
    <row r="41" spans="1:1" x14ac:dyDescent="0.35">
      <c r="A41">
        <v>100</v>
      </c>
    </row>
    <row r="42" spans="1:1" x14ac:dyDescent="0.35">
      <c r="A42">
        <v>100.00000000000001</v>
      </c>
    </row>
    <row r="43" spans="1:1" x14ac:dyDescent="0.35">
      <c r="A43">
        <v>100.00000000000003</v>
      </c>
    </row>
    <row r="44" spans="1:1" x14ac:dyDescent="0.35">
      <c r="A44">
        <v>100.00000000000004</v>
      </c>
    </row>
    <row r="45" spans="1:1" x14ac:dyDescent="0.35">
      <c r="A45">
        <v>100.00000000000006</v>
      </c>
    </row>
    <row r="46" spans="1:1" x14ac:dyDescent="0.35">
      <c r="A46">
        <v>999999999999999.5</v>
      </c>
    </row>
    <row r="47" spans="1:1" x14ac:dyDescent="0.35">
      <c r="A47">
        <v>999999999999999.63</v>
      </c>
    </row>
    <row r="48" spans="1:1" x14ac:dyDescent="0.35">
      <c r="A48">
        <v>999999999999999.75</v>
      </c>
    </row>
    <row r="49" spans="1:1" x14ac:dyDescent="0.35">
      <c r="A49">
        <v>999999999999999.88</v>
      </c>
    </row>
    <row r="50" spans="1:1" x14ac:dyDescent="0.35">
      <c r="A50">
        <v>1000000000000000</v>
      </c>
    </row>
    <row r="51" spans="1:1" x14ac:dyDescent="0.35">
      <c r="A51">
        <v>1000000000000000.1</v>
      </c>
    </row>
    <row r="52" spans="1:1" x14ac:dyDescent="0.35">
      <c r="A52">
        <v>1000000000000000.3</v>
      </c>
    </row>
    <row r="53" spans="1:1" x14ac:dyDescent="0.35">
      <c r="A53">
        <v>1000000000000000.4</v>
      </c>
    </row>
    <row r="54" spans="1:1" x14ac:dyDescent="0.35">
      <c r="A54">
        <v>1000000000000000.5</v>
      </c>
    </row>
    <row r="55" spans="1:1" x14ac:dyDescent="0.35">
      <c r="A55">
        <v>4503599627370494</v>
      </c>
    </row>
    <row r="56" spans="1:1" x14ac:dyDescent="0.35">
      <c r="A56">
        <v>4503599627370494.5</v>
      </c>
    </row>
    <row r="57" spans="1:1" x14ac:dyDescent="0.35">
      <c r="A57">
        <v>4503599627370495</v>
      </c>
    </row>
    <row r="58" spans="1:1" x14ac:dyDescent="0.35">
      <c r="A58">
        <v>4503599627370495.5</v>
      </c>
    </row>
    <row r="59" spans="1:1" x14ac:dyDescent="0.35">
      <c r="A59">
        <v>4503599627370496</v>
      </c>
    </row>
    <row r="60" spans="1:1" x14ac:dyDescent="0.35">
      <c r="A60">
        <v>4503599627370497</v>
      </c>
    </row>
    <row r="61" spans="1:1" x14ac:dyDescent="0.35">
      <c r="A61">
        <v>4503599627370498</v>
      </c>
    </row>
    <row r="62" spans="1:1" x14ac:dyDescent="0.35">
      <c r="A62">
        <v>4503599627370499</v>
      </c>
    </row>
    <row r="63" spans="1:1" x14ac:dyDescent="0.35">
      <c r="A63">
        <v>4503599627370500</v>
      </c>
    </row>
    <row r="64" spans="1:1" x14ac:dyDescent="0.35">
      <c r="A64">
        <v>2.9999999999999987</v>
      </c>
    </row>
    <row r="65" spans="1:1" x14ac:dyDescent="0.35">
      <c r="A65">
        <v>2.9999999999999991</v>
      </c>
    </row>
    <row r="66" spans="1:1" x14ac:dyDescent="0.35">
      <c r="A66">
        <v>2.9999999999999996</v>
      </c>
    </row>
    <row r="67" spans="1:1" x14ac:dyDescent="0.35">
      <c r="A67">
        <v>3</v>
      </c>
    </row>
    <row r="68" spans="1:1" x14ac:dyDescent="0.35">
      <c r="A68">
        <v>3.0000000000000004</v>
      </c>
    </row>
    <row r="69" spans="1:1" x14ac:dyDescent="0.35">
      <c r="A69">
        <v>3.0000000000000009</v>
      </c>
    </row>
    <row r="70" spans="1:1" x14ac:dyDescent="0.35">
      <c r="A70">
        <v>3.0000000000000013</v>
      </c>
    </row>
    <row r="71" spans="1:1" x14ac:dyDescent="0.35">
      <c r="A71">
        <v>3.0000000000000018</v>
      </c>
    </row>
    <row r="72" spans="1:1" x14ac:dyDescent="0.35">
      <c r="A72">
        <v>3.0000000000000022</v>
      </c>
    </row>
    <row r="73" spans="1:1" x14ac:dyDescent="0.35">
      <c r="A73">
        <v>434.99999999999972</v>
      </c>
    </row>
    <row r="74" spans="1:1" x14ac:dyDescent="0.35">
      <c r="A74">
        <v>434.99999999999977</v>
      </c>
    </row>
    <row r="75" spans="1:1" x14ac:dyDescent="0.35">
      <c r="A75">
        <v>434.99999999999983</v>
      </c>
    </row>
    <row r="76" spans="1:1" x14ac:dyDescent="0.35">
      <c r="A76">
        <v>434.99999999999989</v>
      </c>
    </row>
    <row r="77" spans="1:1" x14ac:dyDescent="0.35">
      <c r="A77">
        <v>434.99999999999994</v>
      </c>
    </row>
    <row r="78" spans="1:1" x14ac:dyDescent="0.35">
      <c r="A78">
        <v>435</v>
      </c>
    </row>
    <row r="79" spans="1:1" x14ac:dyDescent="0.35">
      <c r="A79">
        <v>435.00000000000006</v>
      </c>
    </row>
    <row r="80" spans="1:1" x14ac:dyDescent="0.35">
      <c r="A80">
        <v>435.00000000000011</v>
      </c>
    </row>
    <row r="81" spans="1:1" x14ac:dyDescent="0.35">
      <c r="A81">
        <v>435.00000000000017</v>
      </c>
    </row>
    <row r="82" spans="1:1" x14ac:dyDescent="0.35">
      <c r="A82">
        <v>3.2999999999999985</v>
      </c>
    </row>
    <row r="83" spans="1:1" x14ac:dyDescent="0.35">
      <c r="A83">
        <v>3.2999999999999989</v>
      </c>
    </row>
    <row r="84" spans="1:1" x14ac:dyDescent="0.35">
      <c r="A84">
        <v>3.2999999999999994</v>
      </c>
    </row>
    <row r="85" spans="1:1" x14ac:dyDescent="0.35">
      <c r="A85">
        <v>3.3</v>
      </c>
    </row>
    <row r="86" spans="1:1" x14ac:dyDescent="0.35">
      <c r="A86">
        <v>3.3000000000000003</v>
      </c>
    </row>
    <row r="87" spans="1:1" x14ac:dyDescent="0.35">
      <c r="A87">
        <v>3.3000000000000007</v>
      </c>
    </row>
    <row r="88" spans="1:1" x14ac:dyDescent="0.35">
      <c r="A88">
        <v>3.3000000000000012</v>
      </c>
    </row>
    <row r="89" spans="1:1" x14ac:dyDescent="0.35">
      <c r="A89">
        <v>3.3000000000000016</v>
      </c>
    </row>
    <row r="90" spans="1:1" x14ac:dyDescent="0.35">
      <c r="A90">
        <v>3.300000000000002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4"/>
  <sheetViews>
    <sheetView workbookViewId="0"/>
  </sheetViews>
  <sheetFormatPr defaultRowHeight="14.5" x14ac:dyDescent="0.35"/>
  <sheetData>
    <row r="1" spans="1:1" x14ac:dyDescent="0.35">
      <c r="A1">
        <v>0.5</v>
      </c>
    </row>
    <row r="2" spans="1:1" x14ac:dyDescent="0.35">
      <c r="A2">
        <v>0.4999953703703704</v>
      </c>
    </row>
    <row r="3" spans="1:1" x14ac:dyDescent="0.35">
      <c r="A3">
        <v>0.49999421296296298</v>
      </c>
    </row>
    <row r="4" spans="1:1" x14ac:dyDescent="0.35">
      <c r="A4">
        <v>0.49999305555555557</v>
      </c>
    </row>
    <row r="5" spans="1:1" x14ac:dyDescent="0.35">
      <c r="A5">
        <v>0.50000462962962966</v>
      </c>
    </row>
    <row r="6" spans="1:1" x14ac:dyDescent="0.35">
      <c r="A6">
        <v>0.50000578703703702</v>
      </c>
    </row>
    <row r="7" spans="1:1" x14ac:dyDescent="0.35">
      <c r="A7">
        <v>0.75</v>
      </c>
    </row>
    <row r="8" spans="1:1" x14ac:dyDescent="0.35">
      <c r="A8">
        <v>0.74999537037037034</v>
      </c>
    </row>
    <row r="9" spans="1:1" x14ac:dyDescent="0.35">
      <c r="A9">
        <v>0.74999421296296298</v>
      </c>
    </row>
    <row r="10" spans="1:1" x14ac:dyDescent="0.35">
      <c r="A10">
        <v>0.74999305555555551</v>
      </c>
    </row>
    <row r="11" spans="1:1" x14ac:dyDescent="0.35">
      <c r="A11">
        <v>0.75000462962962966</v>
      </c>
    </row>
    <row r="12" spans="1:1" x14ac:dyDescent="0.35">
      <c r="A12">
        <v>0.75000578703703702</v>
      </c>
    </row>
    <row r="13" spans="1:1" x14ac:dyDescent="0.35">
      <c r="A13">
        <v>0.52083333333333337</v>
      </c>
    </row>
    <row r="14" spans="1:1" x14ac:dyDescent="0.35">
      <c r="A14">
        <v>0.52082870370370371</v>
      </c>
    </row>
    <row r="15" spans="1:1" x14ac:dyDescent="0.35">
      <c r="A15">
        <v>0.52082754629629635</v>
      </c>
    </row>
    <row r="16" spans="1:1" x14ac:dyDescent="0.35">
      <c r="A16">
        <v>0.52082638888888888</v>
      </c>
    </row>
    <row r="17" spans="1:1" x14ac:dyDescent="0.35">
      <c r="A17">
        <v>0.52083796296296303</v>
      </c>
    </row>
    <row r="18" spans="1:1" x14ac:dyDescent="0.35">
      <c r="A18">
        <v>0.52083912037037039</v>
      </c>
    </row>
    <row r="19" spans="1:1" x14ac:dyDescent="0.35">
      <c r="A19">
        <v>1.1574074074074073E-5</v>
      </c>
    </row>
    <row r="20" spans="1:1" x14ac:dyDescent="0.35">
      <c r="A20">
        <v>6.9444444444444439E-6</v>
      </c>
    </row>
    <row r="21" spans="1:1" x14ac:dyDescent="0.35">
      <c r="A21">
        <v>5.7870370370370367E-6</v>
      </c>
    </row>
    <row r="22" spans="1:1" x14ac:dyDescent="0.35">
      <c r="A22">
        <v>4.6296296296296296E-6</v>
      </c>
    </row>
    <row r="23" spans="1:1" x14ac:dyDescent="0.35">
      <c r="A23">
        <v>1.6203703703703704E-5</v>
      </c>
    </row>
    <row r="24" spans="1:1" x14ac:dyDescent="0.35">
      <c r="A24">
        <v>1.7361111111111111E-5</v>
      </c>
    </row>
    <row r="25" spans="1:1" x14ac:dyDescent="0.35">
      <c r="A25">
        <v>6.8287037037037036E-4</v>
      </c>
    </row>
    <row r="26" spans="1:1" x14ac:dyDescent="0.35">
      <c r="A26">
        <v>6.7824074074074076E-4</v>
      </c>
    </row>
    <row r="27" spans="1:1" x14ac:dyDescent="0.35">
      <c r="A27">
        <v>6.7708333333333336E-4</v>
      </c>
    </row>
    <row r="28" spans="1:1" x14ac:dyDescent="0.35">
      <c r="A28">
        <v>6.7592592592592596E-4</v>
      </c>
    </row>
    <row r="29" spans="1:1" x14ac:dyDescent="0.35">
      <c r="A29">
        <v>6.8749999999999996E-4</v>
      </c>
    </row>
    <row r="30" spans="1:1" x14ac:dyDescent="0.35">
      <c r="A30">
        <v>6.8865740740740736E-4</v>
      </c>
    </row>
    <row r="31" spans="1:1" x14ac:dyDescent="0.35">
      <c r="A31">
        <v>4.1655092592592591E-2</v>
      </c>
    </row>
    <row r="32" spans="1:1" x14ac:dyDescent="0.35">
      <c r="A32">
        <v>4.1650462962962959E-2</v>
      </c>
    </row>
    <row r="33" spans="1:1" x14ac:dyDescent="0.35">
      <c r="A33">
        <v>4.1649305555555551E-2</v>
      </c>
    </row>
    <row r="34" spans="1:1" x14ac:dyDescent="0.35">
      <c r="A34">
        <v>4.1648148148148149E-2</v>
      </c>
    </row>
    <row r="35" spans="1:1" x14ac:dyDescent="0.35">
      <c r="A35">
        <v>4.1659722222222223E-2</v>
      </c>
    </row>
    <row r="36" spans="1:1" x14ac:dyDescent="0.35">
      <c r="A36">
        <v>4.1660879629629631E-2</v>
      </c>
    </row>
    <row r="37" spans="1:1" x14ac:dyDescent="0.35">
      <c r="A37">
        <v>0.99998842592592596</v>
      </c>
    </row>
    <row r="38" spans="1:1" x14ac:dyDescent="0.35">
      <c r="A38">
        <v>0.9999837962962963</v>
      </c>
    </row>
    <row r="39" spans="1:1" x14ac:dyDescent="0.35">
      <c r="A39">
        <v>0.99998263888888894</v>
      </c>
    </row>
    <row r="40" spans="1:1" x14ac:dyDescent="0.35">
      <c r="A40">
        <v>0.99998148148148147</v>
      </c>
    </row>
    <row r="41" spans="1:1" x14ac:dyDescent="0.35">
      <c r="A41">
        <v>0.99999305555555562</v>
      </c>
    </row>
    <row r="42" spans="1:1" x14ac:dyDescent="0.35">
      <c r="A42">
        <v>0.99999421296296298</v>
      </c>
    </row>
    <row r="43" spans="1:1" x14ac:dyDescent="0.35">
      <c r="A43">
        <v>0.99999999900000003</v>
      </c>
    </row>
    <row r="44" spans="1:1" x14ac:dyDescent="0.35">
      <c r="A44">
        <v>0.99999536937037037</v>
      </c>
    </row>
    <row r="45" spans="1:1" x14ac:dyDescent="0.35">
      <c r="A45">
        <v>0.99999421196296301</v>
      </c>
    </row>
    <row r="46" spans="1:1" x14ac:dyDescent="0.35">
      <c r="A46">
        <v>0.99999305455555554</v>
      </c>
    </row>
    <row r="47" spans="1:1" x14ac:dyDescent="0.35">
      <c r="A47">
        <v>1.0000046286296296</v>
      </c>
    </row>
    <row r="48" spans="1:1" x14ac:dyDescent="0.35">
      <c r="A48">
        <v>1.000005786037037</v>
      </c>
    </row>
    <row r="49" spans="1:1" x14ac:dyDescent="0.35">
      <c r="A49">
        <v>1.5</v>
      </c>
    </row>
    <row r="50" spans="1:1" x14ac:dyDescent="0.35">
      <c r="A50">
        <v>1.4999953703703703</v>
      </c>
    </row>
    <row r="51" spans="1:1" x14ac:dyDescent="0.35">
      <c r="A51">
        <v>1.4999942129629629</v>
      </c>
    </row>
    <row r="52" spans="1:1" x14ac:dyDescent="0.35">
      <c r="A52">
        <v>1.4999930555555556</v>
      </c>
    </row>
    <row r="53" spans="1:1" x14ac:dyDescent="0.35">
      <c r="A53">
        <v>1.5000046296296297</v>
      </c>
    </row>
    <row r="54" spans="1:1" x14ac:dyDescent="0.35">
      <c r="A54">
        <v>1.5000057870370371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8"/>
  <sheetViews>
    <sheetView workbookViewId="0"/>
  </sheetViews>
  <sheetFormatPr defaultRowHeight="14.5" x14ac:dyDescent="0.35"/>
  <sheetData>
    <row r="1" spans="1:1" x14ac:dyDescent="0.35">
      <c r="A1">
        <v>1234567890123445</v>
      </c>
    </row>
    <row r="2" spans="1:1" x14ac:dyDescent="0.35">
      <c r="A2">
        <v>1234567890123455</v>
      </c>
    </row>
    <row r="3" spans="1:1" x14ac:dyDescent="0.35">
      <c r="A3">
        <v>1234567890123465</v>
      </c>
    </row>
    <row r="4" spans="1:1" x14ac:dyDescent="0.35">
      <c r="A4">
        <v>1234567890123475</v>
      </c>
    </row>
    <row r="5" spans="1:1" x14ac:dyDescent="0.35">
      <c r="A5">
        <v>1000000000000005</v>
      </c>
    </row>
    <row r="6" spans="1:1" x14ac:dyDescent="0.35">
      <c r="A6">
        <v>9999999999999996</v>
      </c>
    </row>
    <row r="7" spans="1:1" x14ac:dyDescent="0.35">
      <c r="A7">
        <v>9007199254740991</v>
      </c>
    </row>
    <row r="8" spans="1:1" x14ac:dyDescent="0.35">
      <c r="A8">
        <v>1125899906842624.5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0"/>
  <sheetViews>
    <sheetView workbookViewId="0"/>
  </sheetViews>
  <sheetFormatPr defaultRowHeight="14.5" x14ac:dyDescent="0.35"/>
  <sheetData>
    <row r="1" spans="1:2" x14ac:dyDescent="0.35">
      <c r="A1">
        <v>10</v>
      </c>
      <c r="B1">
        <v>1</v>
      </c>
    </row>
    <row r="2" spans="1:2" x14ac:dyDescent="0.35">
      <c r="A2" t="s">
        <v>1</v>
      </c>
      <c r="B2">
        <v>2</v>
      </c>
    </row>
    <row r="3" spans="1:2" x14ac:dyDescent="0.35">
      <c r="A3" t="s">
        <v>14</v>
      </c>
      <c r="B3">
        <v>3</v>
      </c>
    </row>
    <row r="4" spans="1:2" x14ac:dyDescent="0.35">
      <c r="A4" t="s">
        <v>0</v>
      </c>
      <c r="B4">
        <v>4</v>
      </c>
    </row>
    <row r="5" spans="1:2" x14ac:dyDescent="0.35">
      <c r="A5" t="s">
        <v>2</v>
      </c>
      <c r="B5">
        <v>5</v>
      </c>
    </row>
    <row r="6" spans="1:2" x14ac:dyDescent="0.35">
      <c r="A6" t="s">
        <v>3</v>
      </c>
      <c r="B6">
        <v>6</v>
      </c>
    </row>
    <row r="7" spans="1:2" x14ac:dyDescent="0.35">
      <c r="A7" t="s">
        <v>15</v>
      </c>
      <c r="B7">
        <v>7</v>
      </c>
    </row>
    <row r="8" spans="1:2" x14ac:dyDescent="0.35">
      <c r="A8" t="s">
        <v>16</v>
      </c>
      <c r="B8">
        <v>8</v>
      </c>
    </row>
    <row r="9" spans="1:2" x14ac:dyDescent="0.35">
      <c r="A9" t="s">
        <v>17</v>
      </c>
      <c r="B9">
        <v>9</v>
      </c>
    </row>
    <row r="10" spans="1:2" x14ac:dyDescent="0.35">
      <c r="A10" t="s">
        <v>18</v>
      </c>
      <c r="B10">
        <v>10</v>
      </c>
    </row>
    <row r="11" spans="1:2" x14ac:dyDescent="0.35">
      <c r="A11" t="s">
        <v>19</v>
      </c>
      <c r="B11">
        <v>11</v>
      </c>
    </row>
    <row r="12" spans="1:2" x14ac:dyDescent="0.35">
      <c r="A12" t="s">
        <v>20</v>
      </c>
      <c r="B12">
        <v>12</v>
      </c>
    </row>
    <row r="13" spans="1:2" x14ac:dyDescent="0.35">
      <c r="A13" t="s">
        <v>21</v>
      </c>
      <c r="B13">
        <v>13</v>
      </c>
    </row>
    <row r="14" spans="1:2" x14ac:dyDescent="0.35">
      <c r="A14" t="b">
        <v>1</v>
      </c>
      <c r="B14">
        <v>14</v>
      </c>
    </row>
    <row r="15" spans="1:2" x14ac:dyDescent="0.35">
      <c r="A15" t="b">
        <v>0</v>
      </c>
      <c r="B15">
        <v>15</v>
      </c>
    </row>
    <row r="16" spans="1:2" x14ac:dyDescent="0.35">
      <c r="A16" t="s">
        <v>22</v>
      </c>
      <c r="B16">
        <v>16</v>
      </c>
    </row>
    <row r="17" spans="1:2" x14ac:dyDescent="0.35">
      <c r="A17" t="e">
        <f>NA()</f>
        <v>#N/A</v>
      </c>
      <c r="B17">
        <v>17</v>
      </c>
    </row>
    <row r="18" spans="1:2" x14ac:dyDescent="0.35">
      <c r="A18" t="str">
        <f>""</f>
        <v/>
      </c>
      <c r="B18">
        <v>18</v>
      </c>
    </row>
    <row r="19" spans="1:2" x14ac:dyDescent="0.35">
      <c r="B19">
        <v>19</v>
      </c>
    </row>
    <row r="20" spans="1:2" x14ac:dyDescent="0.35">
      <c r="A20">
        <v>5</v>
      </c>
      <c r="B20">
        <v>20</v>
      </c>
    </row>
    <row r="21" spans="1:2" x14ac:dyDescent="0.35">
      <c r="A21" t="s">
        <v>23</v>
      </c>
      <c r="B21">
        <v>21</v>
      </c>
    </row>
    <row r="22" spans="1:2" x14ac:dyDescent="0.35">
      <c r="A22" s="1">
        <v>43832</v>
      </c>
      <c r="B22">
        <v>22</v>
      </c>
    </row>
    <row r="23" spans="1:2" x14ac:dyDescent="0.35">
      <c r="A23">
        <v>43832</v>
      </c>
      <c r="B23">
        <v>23</v>
      </c>
    </row>
    <row r="24" spans="1:2" x14ac:dyDescent="0.35">
      <c r="A24" t="s">
        <v>24</v>
      </c>
      <c r="B24">
        <v>24</v>
      </c>
    </row>
    <row r="25" spans="1:2" x14ac:dyDescent="0.35">
      <c r="A25" t="s">
        <v>25</v>
      </c>
      <c r="B25">
        <v>25</v>
      </c>
    </row>
    <row r="26" spans="1:2" x14ac:dyDescent="0.35">
      <c r="A26" t="s">
        <v>26</v>
      </c>
      <c r="B26">
        <v>26</v>
      </c>
    </row>
    <row r="27" spans="1:2" x14ac:dyDescent="0.35">
      <c r="A27">
        <v>0</v>
      </c>
      <c r="B27">
        <v>27</v>
      </c>
    </row>
    <row r="28" spans="1:2" x14ac:dyDescent="0.35">
      <c r="A28">
        <v>-1</v>
      </c>
      <c r="B28">
        <v>28</v>
      </c>
    </row>
    <row r="29" spans="1:2" x14ac:dyDescent="0.35">
      <c r="A29">
        <v>0.5</v>
      </c>
      <c r="B29">
        <v>29</v>
      </c>
    </row>
    <row r="30" spans="1:2" x14ac:dyDescent="0.35">
      <c r="A30" t="s">
        <v>27</v>
      </c>
      <c r="B30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/>
  </sheetViews>
  <sheetFormatPr defaultRowHeight="14.5" x14ac:dyDescent="0.35"/>
  <sheetData>
    <row r="1" spans="1:6" x14ac:dyDescent="0.35">
      <c r="A1">
        <v>0.77400000000000002</v>
      </c>
      <c r="B1">
        <v>4.194</v>
      </c>
      <c r="C1">
        <v>1.3342000000000001</v>
      </c>
      <c r="D1">
        <v>20</v>
      </c>
      <c r="E1">
        <v>5</v>
      </c>
      <c r="F1">
        <v>1</v>
      </c>
    </row>
    <row r="2" spans="1:6" x14ac:dyDescent="0.35">
      <c r="A2">
        <v>1.7669999999999999</v>
      </c>
      <c r="B2">
        <v>5.4409999999999998</v>
      </c>
      <c r="C2">
        <v>1.7517</v>
      </c>
      <c r="D2">
        <v>40</v>
      </c>
      <c r="E2">
        <v>7</v>
      </c>
      <c r="F2" t="e">
        <f>1/0</f>
        <v>#DIV/0!</v>
      </c>
    </row>
    <row r="3" spans="1:6" x14ac:dyDescent="0.35">
      <c r="A3">
        <v>2.8660000000000001</v>
      </c>
      <c r="B3">
        <v>10.794</v>
      </c>
      <c r="C3">
        <v>2.1294</v>
      </c>
      <c r="D3">
        <v>60</v>
      </c>
      <c r="E3">
        <f>SUBTOTAL(9,E1:E2)</f>
        <v>12</v>
      </c>
      <c r="F3">
        <v>3</v>
      </c>
    </row>
    <row r="4" spans="1:6" x14ac:dyDescent="0.35">
      <c r="A4">
        <v>3.6029999999999998</v>
      </c>
      <c r="B4">
        <v>13.045</v>
      </c>
      <c r="C4">
        <v>2.7646999999999999</v>
      </c>
      <c r="E4">
        <v>11</v>
      </c>
      <c r="F4" t="s">
        <v>4</v>
      </c>
    </row>
    <row r="5" spans="1:6" hidden="1" x14ac:dyDescent="0.35">
      <c r="A5">
        <v>4.8259999999999996</v>
      </c>
      <c r="B5">
        <v>13.776</v>
      </c>
      <c r="C5">
        <v>3.6061000000000001</v>
      </c>
      <c r="F5">
        <v>5</v>
      </c>
    </row>
    <row r="6" spans="1:6" hidden="1" x14ac:dyDescent="0.35">
      <c r="A6">
        <v>5.71</v>
      </c>
      <c r="B6">
        <v>15.821999999999999</v>
      </c>
      <c r="C6">
        <v>4.7191000000000001</v>
      </c>
    </row>
    <row r="7" spans="1:6" x14ac:dyDescent="0.35">
      <c r="A7">
        <v>7.335</v>
      </c>
      <c r="B7">
        <v>22.329000000000001</v>
      </c>
      <c r="C7">
        <v>6.0412999999999997</v>
      </c>
    </row>
    <row r="8" spans="1:6" x14ac:dyDescent="0.35">
      <c r="A8">
        <v>7.6749999999999998</v>
      </c>
      <c r="B8">
        <v>23.196000000000002</v>
      </c>
      <c r="C8">
        <v>7.8057999999999996</v>
      </c>
    </row>
    <row r="9" spans="1:6" x14ac:dyDescent="0.35">
      <c r="A9">
        <v>9.2929999999999993</v>
      </c>
      <c r="B9">
        <v>24.59</v>
      </c>
      <c r="C9">
        <v>10.299099999999999</v>
      </c>
    </row>
    <row r="10" spans="1:6" x14ac:dyDescent="0.35">
      <c r="A10">
        <v>9.6839999999999993</v>
      </c>
      <c r="B10">
        <v>26.568000000000001</v>
      </c>
      <c r="C10">
        <v>13.168200000000001</v>
      </c>
    </row>
    <row r="11" spans="1:6" x14ac:dyDescent="0.35">
      <c r="A11">
        <v>10.792</v>
      </c>
      <c r="B11">
        <v>30.664000000000001</v>
      </c>
      <c r="E11">
        <v>30</v>
      </c>
    </row>
    <row r="12" spans="1:6" x14ac:dyDescent="0.35">
      <c r="A12">
        <v>11.894</v>
      </c>
      <c r="B12">
        <v>34.612000000000002</v>
      </c>
      <c r="E12">
        <v>50</v>
      </c>
    </row>
    <row r="13" spans="1:6" x14ac:dyDescent="0.35">
      <c r="A13">
        <v>12.837999999999999</v>
      </c>
      <c r="B13">
        <v>33.265000000000001</v>
      </c>
      <c r="E13">
        <v>70</v>
      </c>
    </row>
    <row r="14" spans="1:6" x14ac:dyDescent="0.35">
      <c r="A14">
        <v>13.849</v>
      </c>
      <c r="B14">
        <v>38.817</v>
      </c>
    </row>
    <row r="15" spans="1:6" x14ac:dyDescent="0.35">
      <c r="A15">
        <v>14.631</v>
      </c>
      <c r="B15">
        <v>39.9</v>
      </c>
    </row>
    <row r="16" spans="1:6" x14ac:dyDescent="0.35">
      <c r="A16">
        <v>15.619</v>
      </c>
      <c r="B16">
        <v>43.917000000000002</v>
      </c>
    </row>
    <row r="17" spans="1:2" x14ac:dyDescent="0.35">
      <c r="A17">
        <v>17.379000000000001</v>
      </c>
      <c r="B17">
        <v>45.847999999999999</v>
      </c>
    </row>
    <row r="18" spans="1:2" x14ac:dyDescent="0.35">
      <c r="A18">
        <v>17.712</v>
      </c>
      <c r="B18">
        <v>48.838000000000001</v>
      </c>
    </row>
    <row r="19" spans="1:2" x14ac:dyDescent="0.35">
      <c r="A19">
        <v>18.867999999999999</v>
      </c>
      <c r="B19">
        <v>49.287999999999997</v>
      </c>
    </row>
    <row r="20" spans="1:2" x14ac:dyDescent="0.35">
      <c r="A20">
        <v>19.963999999999999</v>
      </c>
      <c r="B20">
        <v>54.442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G1" t="s">
        <v>28</v>
      </c>
      <c r="H1" t="s">
        <v>29</v>
      </c>
      <c r="J1" t="s">
        <v>29</v>
      </c>
      <c r="L1" t="s">
        <v>38</v>
      </c>
      <c r="M1" t="s">
        <v>28</v>
      </c>
      <c r="O1" t="s">
        <v>28</v>
      </c>
    </row>
    <row r="2" spans="1:15" x14ac:dyDescent="0.35">
      <c r="A2" t="s">
        <v>2</v>
      </c>
      <c r="B2">
        <v>18</v>
      </c>
      <c r="C2">
        <v>20</v>
      </c>
      <c r="D2">
        <v>14</v>
      </c>
      <c r="E2">
        <v>105</v>
      </c>
      <c r="G2" t="s">
        <v>2</v>
      </c>
      <c r="H2" t="s">
        <v>36</v>
      </c>
      <c r="J2" t="s">
        <v>37</v>
      </c>
      <c r="L2" t="b">
        <f>E2&gt;80</f>
        <v>1</v>
      </c>
      <c r="M2" t="s">
        <v>39</v>
      </c>
      <c r="O2" t="s">
        <v>40</v>
      </c>
    </row>
    <row r="3" spans="1:15" x14ac:dyDescent="0.35">
      <c r="A3" t="s">
        <v>33</v>
      </c>
      <c r="B3">
        <v>12</v>
      </c>
      <c r="C3">
        <v>12</v>
      </c>
      <c r="D3">
        <v>10</v>
      </c>
      <c r="E3">
        <v>96</v>
      </c>
      <c r="G3" t="s">
        <v>33</v>
      </c>
    </row>
    <row r="4" spans="1:15" x14ac:dyDescent="0.35">
      <c r="A4" t="s">
        <v>34</v>
      </c>
      <c r="B4">
        <v>13</v>
      </c>
      <c r="C4">
        <v>14</v>
      </c>
      <c r="D4">
        <v>9</v>
      </c>
      <c r="E4">
        <v>105</v>
      </c>
    </row>
    <row r="5" spans="1:15" x14ac:dyDescent="0.35">
      <c r="A5" t="s">
        <v>2</v>
      </c>
      <c r="B5">
        <v>14</v>
      </c>
      <c r="C5">
        <v>15</v>
      </c>
      <c r="D5">
        <v>10</v>
      </c>
      <c r="E5">
        <v>75</v>
      </c>
    </row>
    <row r="6" spans="1:15" x14ac:dyDescent="0.35">
      <c r="A6" t="s">
        <v>33</v>
      </c>
      <c r="B6">
        <v>9</v>
      </c>
      <c r="C6">
        <v>8</v>
      </c>
      <c r="D6">
        <v>8</v>
      </c>
      <c r="E6">
        <v>76.8</v>
      </c>
    </row>
    <row r="7" spans="1:15" x14ac:dyDescent="0.35">
      <c r="A7" t="s">
        <v>2</v>
      </c>
      <c r="B7">
        <v>8</v>
      </c>
      <c r="C7">
        <v>9</v>
      </c>
      <c r="D7">
        <v>6</v>
      </c>
      <c r="E7">
        <v>45</v>
      </c>
    </row>
    <row r="8" spans="1:15" x14ac:dyDescent="0.35">
      <c r="A8" t="s">
        <v>34</v>
      </c>
      <c r="B8">
        <v>10</v>
      </c>
      <c r="C8">
        <v>10</v>
      </c>
      <c r="D8">
        <v>7</v>
      </c>
      <c r="E8">
        <v>60</v>
      </c>
    </row>
    <row r="9" spans="1:15" x14ac:dyDescent="0.35">
      <c r="A9" t="s">
        <v>2</v>
      </c>
      <c r="B9">
        <v>11</v>
      </c>
      <c r="C9">
        <v>13</v>
      </c>
      <c r="D9">
        <v>9</v>
      </c>
      <c r="E9">
        <v>66</v>
      </c>
    </row>
    <row r="10" spans="1:15" x14ac:dyDescent="0.35">
      <c r="A10" t="s">
        <v>33</v>
      </c>
      <c r="B10">
        <v>7</v>
      </c>
      <c r="C10">
        <v>6</v>
      </c>
      <c r="D10">
        <v>5</v>
      </c>
      <c r="E10">
        <v>40</v>
      </c>
    </row>
    <row r="11" spans="1:15" x14ac:dyDescent="0.35">
      <c r="A11" t="s">
        <v>35</v>
      </c>
      <c r="B11">
        <v>15</v>
      </c>
      <c r="C11">
        <v>11</v>
      </c>
      <c r="D11">
        <v>12</v>
      </c>
      <c r="E11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3"/>
  <sheetViews>
    <sheetView workbookViewId="0"/>
  </sheetViews>
  <sheetFormatPr defaultRowHeight="14.5" x14ac:dyDescent="0.35"/>
  <sheetData>
    <row r="1" spans="1:12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L1" t="s">
        <v>41</v>
      </c>
    </row>
    <row r="2" spans="1:12" x14ac:dyDescent="0.35">
      <c r="A2">
        <v>0.277007</v>
      </c>
      <c r="B2">
        <v>5.0446999999999999E-2</v>
      </c>
      <c r="C2">
        <v>9671.1275220000007</v>
      </c>
      <c r="D2">
        <v>17.300559</v>
      </c>
      <c r="E2">
        <v>18.420596</v>
      </c>
      <c r="F2">
        <v>69.802700999999999</v>
      </c>
      <c r="G2">
        <v>15772.900519000001</v>
      </c>
      <c r="H2">
        <v>9.6231999999999998E-2</v>
      </c>
      <c r="I2">
        <v>59389.263164999997</v>
      </c>
      <c r="J2">
        <v>6722.6976089999998</v>
      </c>
      <c r="L2" t="s">
        <v>51</v>
      </c>
    </row>
    <row r="3" spans="1:12" x14ac:dyDescent="0.35">
      <c r="A3">
        <v>0.102698</v>
      </c>
      <c r="B3">
        <v>6.6709000000000004E-2</v>
      </c>
      <c r="C3">
        <v>3064.0661190000001</v>
      </c>
      <c r="D3">
        <v>54.406813</v>
      </c>
      <c r="E3">
        <v>31.904589000000001</v>
      </c>
      <c r="F3">
        <v>86.737230999999994</v>
      </c>
      <c r="G3">
        <v>82404.335951000001</v>
      </c>
      <c r="H3">
        <v>0.58258100000000002</v>
      </c>
      <c r="I3">
        <v>32168.351844000001</v>
      </c>
      <c r="J3">
        <v>4945.0130509999999</v>
      </c>
    </row>
    <row r="4" spans="1:12" x14ac:dyDescent="0.35">
      <c r="A4">
        <v>0.56988499999999997</v>
      </c>
      <c r="B4">
        <v>3.3721000000000001E-2</v>
      </c>
      <c r="C4">
        <v>5725.0288460000002</v>
      </c>
      <c r="D4">
        <v>42.826946999999997</v>
      </c>
      <c r="E4">
        <v>91.486429000000001</v>
      </c>
      <c r="F4">
        <v>78.191249999999997</v>
      </c>
      <c r="G4">
        <v>19696.901555</v>
      </c>
      <c r="H4">
        <v>0.49115900000000001</v>
      </c>
      <c r="I4">
        <v>50493.661250999998</v>
      </c>
      <c r="J4">
        <v>7811.1826899999996</v>
      </c>
    </row>
    <row r="5" spans="1:12" x14ac:dyDescent="0.35">
      <c r="A5">
        <v>0.60569700000000004</v>
      </c>
      <c r="B5">
        <v>4.7536000000000002E-2</v>
      </c>
      <c r="C5">
        <v>6812.3224989999999</v>
      </c>
      <c r="D5">
        <v>98.579978999999994</v>
      </c>
      <c r="E5">
        <v>10.699521000000001</v>
      </c>
      <c r="F5">
        <v>13.170342</v>
      </c>
      <c r="G5">
        <v>84403.800787999993</v>
      </c>
      <c r="H5">
        <v>0.66039700000000001</v>
      </c>
      <c r="I5">
        <v>16639.07314</v>
      </c>
      <c r="J5">
        <v>4764.5822760000001</v>
      </c>
    </row>
    <row r="6" spans="1:12" x14ac:dyDescent="0.35">
      <c r="A6">
        <v>0.51147600000000004</v>
      </c>
      <c r="B6">
        <v>8.9765999999999999E-2</v>
      </c>
      <c r="C6">
        <v>6582.0719399999998</v>
      </c>
      <c r="D6">
        <v>94.721315000000004</v>
      </c>
      <c r="E6">
        <v>27.198858000000001</v>
      </c>
      <c r="F6">
        <v>22.830991000000001</v>
      </c>
      <c r="G6">
        <v>26433.140845000002</v>
      </c>
      <c r="H6">
        <v>0.35419</v>
      </c>
      <c r="I6">
        <v>85902.902384999994</v>
      </c>
      <c r="J6">
        <v>6985.6876179999999</v>
      </c>
    </row>
    <row r="7" spans="1:12" x14ac:dyDescent="0.35">
      <c r="A7">
        <v>0.17264699999999999</v>
      </c>
      <c r="B7">
        <v>5.4963999999999999E-2</v>
      </c>
      <c r="C7">
        <v>2901.536396</v>
      </c>
      <c r="D7">
        <v>30.803281999999999</v>
      </c>
      <c r="E7">
        <v>28.386658000000001</v>
      </c>
      <c r="F7">
        <v>48.817540999999999</v>
      </c>
      <c r="G7">
        <v>89127.316164000003</v>
      </c>
      <c r="H7">
        <v>8.8655999999999999E-2</v>
      </c>
      <c r="I7">
        <v>23940.729292</v>
      </c>
      <c r="J7">
        <v>3909.5037379999999</v>
      </c>
    </row>
    <row r="8" spans="1:12" x14ac:dyDescent="0.35">
      <c r="A8">
        <v>0.61220200000000002</v>
      </c>
      <c r="B8">
        <v>2.0837999999999999E-2</v>
      </c>
      <c r="C8">
        <v>6855.1800439999997</v>
      </c>
      <c r="D8">
        <v>81.212085999999999</v>
      </c>
      <c r="E8">
        <v>77.953456000000003</v>
      </c>
      <c r="F8">
        <v>69.994602</v>
      </c>
      <c r="G8">
        <v>68145.612812000007</v>
      </c>
      <c r="H8">
        <v>9.9157999999999996E-2</v>
      </c>
      <c r="I8">
        <v>62552.492673000001</v>
      </c>
      <c r="J8">
        <v>335.71354000000002</v>
      </c>
    </row>
    <row r="9" spans="1:12" x14ac:dyDescent="0.35">
      <c r="A9">
        <v>3.9278E-2</v>
      </c>
      <c r="B9">
        <v>8.8914999999999994E-2</v>
      </c>
      <c r="C9">
        <v>5709.484348</v>
      </c>
      <c r="D9">
        <v>12.375188</v>
      </c>
      <c r="E9">
        <v>63.002592</v>
      </c>
      <c r="F9">
        <v>73.445133999999996</v>
      </c>
      <c r="G9">
        <v>26481.624123000001</v>
      </c>
      <c r="H9">
        <v>0.53197399999999995</v>
      </c>
      <c r="I9">
        <v>3188.7372369999998</v>
      </c>
      <c r="J9">
        <v>3994.9341909999998</v>
      </c>
    </row>
    <row r="10" spans="1:12" x14ac:dyDescent="0.35">
      <c r="A10">
        <v>0.50331999999999999</v>
      </c>
      <c r="B10">
        <v>2.8635000000000001E-2</v>
      </c>
      <c r="C10">
        <v>1646.475128</v>
      </c>
      <c r="D10">
        <v>40.871636000000002</v>
      </c>
      <c r="E10">
        <v>12.013873</v>
      </c>
      <c r="F10">
        <v>40.244179000000003</v>
      </c>
      <c r="G10">
        <v>70360.231348999994</v>
      </c>
      <c r="H10">
        <v>0.32830799999999999</v>
      </c>
      <c r="I10">
        <v>7006.2965020000001</v>
      </c>
      <c r="J10">
        <v>988.20693100000005</v>
      </c>
    </row>
    <row r="11" spans="1:12" x14ac:dyDescent="0.35">
      <c r="A11">
        <v>0.58955000000000002</v>
      </c>
      <c r="B11">
        <v>2.6547000000000001E-2</v>
      </c>
      <c r="C11">
        <v>1454.435084</v>
      </c>
      <c r="D11">
        <v>51.508417000000001</v>
      </c>
      <c r="E11">
        <v>88.593603000000002</v>
      </c>
      <c r="F11">
        <v>70.315853000000004</v>
      </c>
      <c r="G11">
        <v>91300.359989000004</v>
      </c>
      <c r="H11">
        <v>0.44173800000000002</v>
      </c>
      <c r="I11">
        <v>92141.498240999994</v>
      </c>
      <c r="J11">
        <v>2441.6402419999999</v>
      </c>
    </row>
    <row r="12" spans="1:12" x14ac:dyDescent="0.35">
      <c r="A12">
        <v>0.18881899999999999</v>
      </c>
      <c r="B12">
        <v>5.0507000000000003E-2</v>
      </c>
      <c r="C12">
        <v>359.57282400000003</v>
      </c>
      <c r="D12">
        <v>84.358774999999994</v>
      </c>
      <c r="E12">
        <v>3.6921750000000002</v>
      </c>
      <c r="F12">
        <v>68.088567999999995</v>
      </c>
      <c r="G12">
        <v>96347.277084999994</v>
      </c>
      <c r="H12">
        <v>0.60689300000000002</v>
      </c>
      <c r="I12">
        <v>95347.823671999999</v>
      </c>
      <c r="J12">
        <v>4677.3097390000003</v>
      </c>
    </row>
    <row r="13" spans="1:12" x14ac:dyDescent="0.35">
      <c r="A13">
        <v>0.79849199999999998</v>
      </c>
      <c r="B13">
        <v>6.1543E-2</v>
      </c>
      <c r="C13">
        <v>7297.8421660000004</v>
      </c>
      <c r="D13">
        <v>34.745438</v>
      </c>
      <c r="E13">
        <v>3.7485539999999999</v>
      </c>
      <c r="F13">
        <v>77.101358000000005</v>
      </c>
      <c r="G13">
        <v>49656.412996999999</v>
      </c>
      <c r="H13">
        <v>0.80385099999999998</v>
      </c>
      <c r="I13">
        <v>24353.172095999998</v>
      </c>
      <c r="J13">
        <v>4163.3573960000003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5CC3-6D0A-4F22-8841-9DDAE49ED151}">
  <dimension ref="A1:A80"/>
  <sheetViews>
    <sheetView workbookViewId="0"/>
  </sheetViews>
  <sheetFormatPr defaultRowHeight="14.5" x14ac:dyDescent="0.35"/>
  <sheetData>
    <row r="1" spans="1:1" x14ac:dyDescent="0.35">
      <c r="A1">
        <f>1+2*3</f>
        <v>7</v>
      </c>
    </row>
    <row r="2" spans="1:1" x14ac:dyDescent="0.35">
      <c r="A2">
        <f>(1+2)*3</f>
        <v>9</v>
      </c>
    </row>
    <row r="3" spans="1:1" x14ac:dyDescent="0.35">
      <c r="A3">
        <f>-2^2</f>
        <v>4</v>
      </c>
    </row>
    <row r="4" spans="1:1" x14ac:dyDescent="0.35">
      <c r="A4">
        <f>2^3^2</f>
        <v>64</v>
      </c>
    </row>
    <row r="5" spans="1:1" x14ac:dyDescent="0.35">
      <c r="A5">
        <f>-(2^2)</f>
        <v>-4</v>
      </c>
    </row>
    <row r="6" spans="1:1" x14ac:dyDescent="0.35">
      <c r="A6">
        <f>2^-1</f>
        <v>0.5</v>
      </c>
    </row>
    <row r="7" spans="1:1" x14ac:dyDescent="0.35">
      <c r="A7">
        <f>10/4</f>
        <v>2.5</v>
      </c>
    </row>
    <row r="8" spans="1:1" x14ac:dyDescent="0.35">
      <c r="A8" t="e">
        <f>1/0</f>
        <v>#DIV/0!</v>
      </c>
    </row>
    <row r="9" spans="1:1" x14ac:dyDescent="0.35">
      <c r="A9" t="e">
        <f>0/0</f>
        <v>#DIV/0!</v>
      </c>
    </row>
    <row r="10" spans="1:1" x14ac:dyDescent="0.35">
      <c r="A10">
        <f>7%</f>
        <v>7.0000000000000007E-2</v>
      </c>
    </row>
    <row r="11" spans="1:1" x14ac:dyDescent="0.35">
      <c r="A11">
        <f>50%*2</f>
        <v>1</v>
      </c>
    </row>
    <row r="12" spans="1:1" x14ac:dyDescent="0.35">
      <c r="A12">
        <f>5%%</f>
        <v>5.0000000000000001E-4</v>
      </c>
    </row>
    <row r="13" spans="1:1" x14ac:dyDescent="0.35">
      <c r="A13">
        <f>-(-3)</f>
        <v>3</v>
      </c>
    </row>
    <row r="14" spans="1:1" x14ac:dyDescent="0.35">
      <c r="A14">
        <f>3</f>
        <v>3</v>
      </c>
    </row>
    <row r="15" spans="1:1" x14ac:dyDescent="0.35">
      <c r="A15">
        <f>--3</f>
        <v>3</v>
      </c>
    </row>
    <row r="17" spans="1:1" x14ac:dyDescent="0.35">
      <c r="A17">
        <f>1-2-3</f>
        <v>-4</v>
      </c>
    </row>
    <row r="18" spans="1:1" x14ac:dyDescent="0.35">
      <c r="A18">
        <f>12/3/2</f>
        <v>2</v>
      </c>
    </row>
    <row r="19" spans="1:1" x14ac:dyDescent="0.35">
      <c r="A19">
        <f>2*3^2</f>
        <v>18</v>
      </c>
    </row>
    <row r="20" spans="1:1" x14ac:dyDescent="0.35">
      <c r="A20">
        <f>(2*3)^2</f>
        <v>36</v>
      </c>
    </row>
    <row r="21" spans="1:1" x14ac:dyDescent="0.35">
      <c r="A21">
        <f>0.1+0.2</f>
        <v>0.30000000000000004</v>
      </c>
    </row>
    <row r="22" spans="1:1" x14ac:dyDescent="0.35">
      <c r="A22">
        <f>0.1+0.2-0.3</f>
        <v>0</v>
      </c>
    </row>
    <row r="23" spans="1:1" x14ac:dyDescent="0.35">
      <c r="A23">
        <f>1-0.9-0.1</f>
        <v>0</v>
      </c>
    </row>
    <row r="24" spans="1:1" x14ac:dyDescent="0.35">
      <c r="A24">
        <f>(0.1+0.2)-0.3</f>
        <v>0</v>
      </c>
    </row>
    <row r="25" spans="1:1" x14ac:dyDescent="0.35">
      <c r="A25">
        <f>0.3-0.2-0.1</f>
        <v>0</v>
      </c>
    </row>
    <row r="26" spans="1:1" x14ac:dyDescent="0.35">
      <c r="A26">
        <f>1*(0.5-0.4-0.1)</f>
        <v>-2.7755575615628914E-17</v>
      </c>
    </row>
    <row r="28" spans="1:1" x14ac:dyDescent="0.35">
      <c r="A28" t="e">
        <f>2^1024</f>
        <v>#NUM!</v>
      </c>
    </row>
    <row r="29" spans="1:1" x14ac:dyDescent="0.35">
      <c r="A29">
        <f>2^1023</f>
        <v>8.9884656743115795E+307</v>
      </c>
    </row>
    <row r="30" spans="1:1" x14ac:dyDescent="0.35">
      <c r="A30" t="e">
        <f>-2^0.5</f>
        <v>#NUM!</v>
      </c>
    </row>
    <row r="31" spans="1:1" x14ac:dyDescent="0.35">
      <c r="A31">
        <f>(-8)^(1/3)</f>
        <v>-1.9999999999999998</v>
      </c>
    </row>
    <row r="32" spans="1:1" x14ac:dyDescent="0.35">
      <c r="A32" t="e">
        <f>0^0</f>
        <v>#NUM!</v>
      </c>
    </row>
    <row r="33" spans="1:1" x14ac:dyDescent="0.35">
      <c r="A33" t="e">
        <f>0^-1</f>
        <v>#DIV/0!</v>
      </c>
    </row>
    <row r="34" spans="1:1" x14ac:dyDescent="0.35">
      <c r="A34">
        <f>10^-400</f>
        <v>0</v>
      </c>
    </row>
    <row r="35" spans="1:1" x14ac:dyDescent="0.35">
      <c r="A35" t="str">
        <f>1&amp;2</f>
        <v>12</v>
      </c>
    </row>
    <row r="36" spans="1:1" x14ac:dyDescent="0.35">
      <c r="A36" t="str">
        <f>1.5&amp;""</f>
        <v>1.5</v>
      </c>
    </row>
    <row r="37" spans="1:1" x14ac:dyDescent="0.35">
      <c r="A37" t="str">
        <f>(0.1+0.2)&amp;""</f>
        <v>0.3</v>
      </c>
    </row>
    <row r="38" spans="1:1" x14ac:dyDescent="0.35">
      <c r="A38" t="str">
        <f>TRUE&amp;""</f>
        <v>TRUE</v>
      </c>
    </row>
    <row r="39" spans="1:1" x14ac:dyDescent="0.35">
      <c r="A39" t="str">
        <f>FALSE&amp;1</f>
        <v>FALSE1</v>
      </c>
    </row>
    <row r="40" spans="1:1" x14ac:dyDescent="0.35">
      <c r="A40" t="str">
        <f>100000000000000000000&amp;""</f>
        <v>1E+20</v>
      </c>
    </row>
    <row r="41" spans="1:1" x14ac:dyDescent="0.35">
      <c r="A41" t="str">
        <f>123456789012&amp;""</f>
        <v>123456789012</v>
      </c>
    </row>
    <row r="42" spans="1:1" x14ac:dyDescent="0.35">
      <c r="A42" t="str">
        <f>1234567890123450&amp;""</f>
        <v>1234567890123450</v>
      </c>
    </row>
    <row r="43" spans="1:1" x14ac:dyDescent="0.35">
      <c r="A43" t="str">
        <f>0.000001&amp;""</f>
        <v>0.000001</v>
      </c>
    </row>
    <row r="44" spans="1:1" x14ac:dyDescent="0.35">
      <c r="A44" t="str">
        <f>0.0000001&amp;""</f>
        <v>0.0000001</v>
      </c>
    </row>
    <row r="45" spans="1:1" x14ac:dyDescent="0.35">
      <c r="A45" t="str">
        <f>1/3&amp;""</f>
        <v>0.333333333333333</v>
      </c>
    </row>
    <row r="46" spans="1:1" x14ac:dyDescent="0.35">
      <c r="A46" t="str">
        <f>-1/3&amp;""</f>
        <v>-0.333333333333333</v>
      </c>
    </row>
    <row r="47" spans="1:1" x14ac:dyDescent="0.35">
      <c r="A47" t="str">
        <f>100000000000000000000&amp;""</f>
        <v>1E+20</v>
      </c>
    </row>
    <row r="48" spans="1:1" x14ac:dyDescent="0.35">
      <c r="A48" t="str">
        <f>Data!B4&amp;"x"</f>
        <v>x</v>
      </c>
    </row>
    <row r="49" spans="1:1" x14ac:dyDescent="0.35">
      <c r="A49">
        <f>Data!B4+1</f>
        <v>1</v>
      </c>
    </row>
    <row r="50" spans="1:1" x14ac:dyDescent="0.35">
      <c r="A50">
        <f>Data!B4*2</f>
        <v>0</v>
      </c>
    </row>
    <row r="51" spans="1:1" x14ac:dyDescent="0.35">
      <c r="A51">
        <f>Data!B4-Data!B4</f>
        <v>0</v>
      </c>
    </row>
    <row r="52" spans="1:1" x14ac:dyDescent="0.35">
      <c r="A52">
        <f>"3"+4</f>
        <v>7</v>
      </c>
    </row>
    <row r="53" spans="1:1" x14ac:dyDescent="0.35">
      <c r="A53" t="str">
        <f>"3"&amp;4</f>
        <v>34</v>
      </c>
    </row>
    <row r="54" spans="1:1" x14ac:dyDescent="0.35">
      <c r="A54">
        <f>TRUE+1</f>
        <v>2</v>
      </c>
    </row>
    <row r="55" spans="1:1" x14ac:dyDescent="0.35">
      <c r="A55">
        <f>FALSE*5</f>
        <v>0</v>
      </c>
    </row>
    <row r="56" spans="1:1" x14ac:dyDescent="0.35">
      <c r="A56" t="e">
        <f>"TRUE"+1</f>
        <v>#VALUE!</v>
      </c>
    </row>
    <row r="57" spans="1:1" x14ac:dyDescent="0.35">
      <c r="A57">
        <f>" 3 "+1</f>
        <v>4</v>
      </c>
    </row>
    <row r="58" spans="1:1" x14ac:dyDescent="0.35">
      <c r="A58">
        <f>"1,000"+1</f>
        <v>1001</v>
      </c>
    </row>
    <row r="59" spans="1:1" x14ac:dyDescent="0.35">
      <c r="A59">
        <f>"$5"+1</f>
        <v>6</v>
      </c>
    </row>
    <row r="60" spans="1:1" x14ac:dyDescent="0.35">
      <c r="A60">
        <f>"1e3"+1</f>
        <v>1001</v>
      </c>
    </row>
    <row r="61" spans="1:1" x14ac:dyDescent="0.35">
      <c r="A61">
        <f>"50%"+0</f>
        <v>0.5</v>
      </c>
    </row>
    <row r="62" spans="1:1" x14ac:dyDescent="0.35">
      <c r="A62">
        <f>"1/2/2020"+0</f>
        <v>43832</v>
      </c>
    </row>
    <row r="63" spans="1:1" x14ac:dyDescent="0.35">
      <c r="A63">
        <f>"12:30"+0</f>
        <v>0.52083333333333337</v>
      </c>
    </row>
    <row r="64" spans="1:1" x14ac:dyDescent="0.35">
      <c r="A64" t="e">
        <f>"abc"+1</f>
        <v>#VALUE!</v>
      </c>
    </row>
    <row r="65" spans="1:1" x14ac:dyDescent="0.35">
      <c r="A65" t="e">
        <f>""+1</f>
        <v>#VALUE!</v>
      </c>
    </row>
    <row r="66" spans="1:1" x14ac:dyDescent="0.35">
      <c r="A66">
        <f>"(5)"+0</f>
        <v>-5</v>
      </c>
    </row>
    <row r="67" spans="1:1" x14ac:dyDescent="0.35">
      <c r="A67">
        <f>"-5"+0</f>
        <v>-5</v>
      </c>
    </row>
    <row r="68" spans="1:1" x14ac:dyDescent="0.35">
      <c r="A68">
        <f>"+5"+0</f>
        <v>5</v>
      </c>
    </row>
    <row r="69" spans="1:1" x14ac:dyDescent="0.35">
      <c r="A69" t="e">
        <f>"5-"+0</f>
        <v>#VALUE!</v>
      </c>
    </row>
    <row r="70" spans="1:1" x14ac:dyDescent="0.35">
      <c r="A70">
        <f>"1 1/2"+0</f>
        <v>1.5</v>
      </c>
    </row>
    <row r="71" spans="1:1" x14ac:dyDescent="0.35">
      <c r="A71" t="e">
        <f>"0x10"+0</f>
        <v>#VALUE!</v>
      </c>
    </row>
    <row r="72" spans="1:1" x14ac:dyDescent="0.35">
      <c r="A72">
        <f>Data!B2+1</f>
        <v>11</v>
      </c>
    </row>
    <row r="73" spans="1:1" x14ac:dyDescent="0.35">
      <c r="A73">
        <f>Data!B2*1</f>
        <v>10</v>
      </c>
    </row>
    <row r="74" spans="1:1" x14ac:dyDescent="0.35">
      <c r="A74">
        <f>Data!B3+1</f>
        <v>2</v>
      </c>
    </row>
    <row r="75" spans="1:1" x14ac:dyDescent="0.35">
      <c r="A75" t="e">
        <f>Data!B1+1</f>
        <v>#VALUE!</v>
      </c>
    </row>
    <row r="76" spans="1:1" x14ac:dyDescent="0.35">
      <c r="A76" t="e">
        <f>Data!B5+1</f>
        <v>#N/A</v>
      </c>
    </row>
    <row r="77" spans="1:1" x14ac:dyDescent="0.35">
      <c r="A77" t="e">
        <f>1+#N/A</f>
        <v>#N/A</v>
      </c>
    </row>
    <row r="78" spans="1:1" x14ac:dyDescent="0.35">
      <c r="A78" t="e">
        <f>#DIV/0!+#N/A</f>
        <v>#DIV/0!</v>
      </c>
    </row>
    <row r="79" spans="1:1" x14ac:dyDescent="0.35">
      <c r="A79" t="e">
        <f>#N/A+#DIV/0!</f>
        <v>#N/A</v>
      </c>
    </row>
    <row r="80" spans="1:1" x14ac:dyDescent="0.35">
      <c r="A80" t="e">
        <f>1/0&amp;"x"</f>
        <v>#DIV/0!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F636-CF0D-4CF5-9002-9EE30E4ECBEB}">
  <dimension ref="A1:A41"/>
  <sheetViews>
    <sheetView workbookViewId="0"/>
  </sheetViews>
  <sheetFormatPr defaultRowHeight="14.5" x14ac:dyDescent="0.35"/>
  <sheetData>
    <row r="1" spans="1:1" x14ac:dyDescent="0.35">
      <c r="A1" t="b">
        <f>1&lt;2</f>
        <v>1</v>
      </c>
    </row>
    <row r="2" spans="1:1" x14ac:dyDescent="0.35">
      <c r="A2" t="b">
        <f>2&lt;1</f>
        <v>0</v>
      </c>
    </row>
    <row r="3" spans="1:1" x14ac:dyDescent="0.35">
      <c r="A3" t="b">
        <f>1=1</f>
        <v>1</v>
      </c>
    </row>
    <row r="4" spans="1:1" x14ac:dyDescent="0.35">
      <c r="A4" t="b">
        <f>1&lt;&gt;1</f>
        <v>0</v>
      </c>
    </row>
    <row r="5" spans="1:1" x14ac:dyDescent="0.35">
      <c r="A5" t="b">
        <f>1&lt;"a"</f>
        <v>1</v>
      </c>
    </row>
    <row r="6" spans="1:1" x14ac:dyDescent="0.35">
      <c r="A6" t="b">
        <f>"a"&lt;TRUE</f>
        <v>1</v>
      </c>
    </row>
    <row r="7" spans="1:1" x14ac:dyDescent="0.35">
      <c r="A7" t="b">
        <f>1&lt;TRUE</f>
        <v>1</v>
      </c>
    </row>
    <row r="8" spans="1:1" x14ac:dyDescent="0.35">
      <c r="A8" t="b">
        <f>"a"="A"</f>
        <v>1</v>
      </c>
    </row>
    <row r="9" spans="1:1" x14ac:dyDescent="0.35">
      <c r="A9" t="b">
        <f>"a"&lt;"B"</f>
        <v>1</v>
      </c>
    </row>
    <row r="10" spans="1:1" x14ac:dyDescent="0.35">
      <c r="A10" t="b">
        <f>"B"&lt;"a"</f>
        <v>0</v>
      </c>
    </row>
    <row r="11" spans="1:1" x14ac:dyDescent="0.35">
      <c r="A11" t="b">
        <f>"10"&lt;"9"</f>
        <v>1</v>
      </c>
    </row>
    <row r="12" spans="1:1" x14ac:dyDescent="0.35">
      <c r="A12" t="b">
        <f>10&lt;9</f>
        <v>0</v>
      </c>
    </row>
    <row r="13" spans="1:1" x14ac:dyDescent="0.35">
      <c r="A13" t="b">
        <f>"apple"&lt;"Apple"</f>
        <v>0</v>
      </c>
    </row>
    <row r="14" spans="1:1" x14ac:dyDescent="0.35">
      <c r="A14" t="b">
        <f>"Apple"&lt;"apple"</f>
        <v>0</v>
      </c>
    </row>
    <row r="15" spans="1:1" x14ac:dyDescent="0.35">
      <c r="A15" t="b">
        <f>"apple"="Apple"</f>
        <v>1</v>
      </c>
    </row>
    <row r="16" spans="1:1" x14ac:dyDescent="0.35">
      <c r="A16" t="b">
        <f>Data!B4=0</f>
        <v>1</v>
      </c>
    </row>
    <row r="17" spans="1:1" x14ac:dyDescent="0.35">
      <c r="A17" t="b">
        <f>Data!B4=""</f>
        <v>1</v>
      </c>
    </row>
    <row r="18" spans="1:1" x14ac:dyDescent="0.35">
      <c r="A18" t="b">
        <f>Data!B4=FALSE</f>
        <v>1</v>
      </c>
    </row>
    <row r="19" spans="1:1" x14ac:dyDescent="0.35">
      <c r="A19" t="b">
        <f>Data!B4&lt;1</f>
        <v>1</v>
      </c>
    </row>
    <row r="20" spans="1:1" x14ac:dyDescent="0.35">
      <c r="A20" t="b">
        <f>Data!B4&gt;-1</f>
        <v>1</v>
      </c>
    </row>
    <row r="21" spans="1:1" x14ac:dyDescent="0.35">
      <c r="A21" t="b">
        <f>Data!B4&lt;"a"</f>
        <v>1</v>
      </c>
    </row>
    <row r="22" spans="1:1" x14ac:dyDescent="0.35">
      <c r="A22" t="b">
        <f>""&lt;"a"</f>
        <v>1</v>
      </c>
    </row>
    <row r="23" spans="1:1" x14ac:dyDescent="0.35">
      <c r="A23" t="b">
        <f>""=0</f>
        <v>0</v>
      </c>
    </row>
    <row r="24" spans="1:1" x14ac:dyDescent="0.35">
      <c r="A24" t="b">
        <f>0=FALSE</f>
        <v>0</v>
      </c>
    </row>
    <row r="25" spans="1:1" x14ac:dyDescent="0.35">
      <c r="A25" t="b">
        <f>1=TRUE</f>
        <v>0</v>
      </c>
    </row>
    <row r="26" spans="1:1" x14ac:dyDescent="0.35">
      <c r="A26" t="b">
        <f>"1"=1</f>
        <v>0</v>
      </c>
    </row>
    <row r="27" spans="1:1" x14ac:dyDescent="0.35">
      <c r="A27" t="b">
        <f>Data!B2=10</f>
        <v>0</v>
      </c>
    </row>
    <row r="28" spans="1:1" x14ac:dyDescent="0.35">
      <c r="A28" t="b">
        <f>Data!B2="10"</f>
        <v>1</v>
      </c>
    </row>
    <row r="29" spans="1:1" x14ac:dyDescent="0.35">
      <c r="A29" t="b">
        <f>TRUE&gt;FALSE</f>
        <v>1</v>
      </c>
    </row>
    <row r="30" spans="1:1" x14ac:dyDescent="0.35">
      <c r="A30" t="b">
        <f>"z"&lt;"aa"</f>
        <v>0</v>
      </c>
    </row>
    <row r="31" spans="1:1" x14ac:dyDescent="0.35">
      <c r="A31" t="b">
        <f>"a b"&lt;"ab"</f>
        <v>1</v>
      </c>
    </row>
    <row r="32" spans="1:1" x14ac:dyDescent="0.35">
      <c r="A32" t="b">
        <f>"a-b"&lt;"ab"</f>
        <v>0</v>
      </c>
    </row>
    <row r="33" spans="1:1" x14ac:dyDescent="0.35">
      <c r="A33" t="b">
        <f>"é"&lt;"f"</f>
        <v>1</v>
      </c>
    </row>
    <row r="34" spans="1:1" x14ac:dyDescent="0.35">
      <c r="A34" t="b">
        <f>"e"&lt;"é"</f>
        <v>1</v>
      </c>
    </row>
    <row r="35" spans="1:1" x14ac:dyDescent="0.35">
      <c r="A35" t="b">
        <f>"ß"="ss"</f>
        <v>1</v>
      </c>
    </row>
    <row r="36" spans="1:1" x14ac:dyDescent="0.35">
      <c r="A36" t="e">
        <f>#N/A=1</f>
        <v>#N/A</v>
      </c>
    </row>
    <row r="37" spans="1:1" x14ac:dyDescent="0.35">
      <c r="A37" t="e">
        <f>1=#N/A</f>
        <v>#N/A</v>
      </c>
    </row>
    <row r="38" spans="1:1" x14ac:dyDescent="0.35">
      <c r="A38" t="b">
        <f>0.1+0.2=0.3</f>
        <v>1</v>
      </c>
    </row>
    <row r="39" spans="1:1" x14ac:dyDescent="0.35">
      <c r="A39" t="b">
        <f>1/3*3=1</f>
        <v>1</v>
      </c>
    </row>
    <row r="40" spans="1:1" x14ac:dyDescent="0.35">
      <c r="A40" t="b">
        <f>"a"&lt;="A"</f>
        <v>1</v>
      </c>
    </row>
    <row r="41" spans="1:1" x14ac:dyDescent="0.35">
      <c r="A41" t="b">
        <f>"A"&gt;="a"</f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5059-9F1A-4533-B528-40D30BA66DE0}">
  <dimension ref="A1:A64"/>
  <sheetViews>
    <sheetView workbookViewId="0"/>
  </sheetViews>
  <sheetFormatPr defaultRowHeight="14.5" x14ac:dyDescent="0.35"/>
  <sheetData>
    <row r="1" spans="1:1" x14ac:dyDescent="0.35">
      <c r="A1">
        <f>ROUND(2.5,0)</f>
        <v>3</v>
      </c>
    </row>
    <row r="2" spans="1:1" x14ac:dyDescent="0.35">
      <c r="A2">
        <f>ROUND(-2.5,0)</f>
        <v>-3</v>
      </c>
    </row>
    <row r="3" spans="1:1" x14ac:dyDescent="0.35">
      <c r="A3">
        <f>ROUND(2.45,1)</f>
        <v>2.5</v>
      </c>
    </row>
    <row r="4" spans="1:1" x14ac:dyDescent="0.35">
      <c r="A4">
        <f>ROUND(1.005,2)</f>
        <v>1.01</v>
      </c>
    </row>
    <row r="5" spans="1:1" x14ac:dyDescent="0.35">
      <c r="A5">
        <f>ROUND(1234.5678,-2)</f>
        <v>1200</v>
      </c>
    </row>
    <row r="6" spans="1:1" x14ac:dyDescent="0.35">
      <c r="A6">
        <f>ROUND(0.285,2)</f>
        <v>0.28999999999999998</v>
      </c>
    </row>
    <row r="7" spans="1:1" x14ac:dyDescent="0.35">
      <c r="A7">
        <f>ROUNDUP(3.14159,2)</f>
        <v>3.15</v>
      </c>
    </row>
    <row r="8" spans="1:1" x14ac:dyDescent="0.35">
      <c r="A8">
        <f>ROUNDUP(-3.14159,2)</f>
        <v>-3.15</v>
      </c>
    </row>
    <row r="9" spans="1:1" x14ac:dyDescent="0.35">
      <c r="A9">
        <f>ROUNDDOWN(3.99,0)</f>
        <v>3</v>
      </c>
    </row>
    <row r="10" spans="1:1" x14ac:dyDescent="0.35">
      <c r="A10">
        <f>ROUNDDOWN(-3.99,0)</f>
        <v>-3</v>
      </c>
    </row>
    <row r="11" spans="1:1" x14ac:dyDescent="0.35">
      <c r="A11">
        <f>INT(3.7)</f>
        <v>3</v>
      </c>
    </row>
    <row r="12" spans="1:1" x14ac:dyDescent="0.35">
      <c r="A12">
        <f>INT(-3.2)</f>
        <v>-4</v>
      </c>
    </row>
    <row r="13" spans="1:1" x14ac:dyDescent="0.35">
      <c r="A13">
        <f>TRUNC(-3.7)</f>
        <v>-3</v>
      </c>
    </row>
    <row r="14" spans="1:1" x14ac:dyDescent="0.35">
      <c r="A14">
        <f>TRUNC(3.14159,3)</f>
        <v>3.141</v>
      </c>
    </row>
    <row r="15" spans="1:1" x14ac:dyDescent="0.35">
      <c r="A15">
        <f>MOD(5,3)</f>
        <v>2</v>
      </c>
    </row>
    <row r="16" spans="1:1" x14ac:dyDescent="0.35">
      <c r="A16">
        <f>MOD(-5,3)</f>
        <v>1</v>
      </c>
    </row>
    <row r="17" spans="1:1" x14ac:dyDescent="0.35">
      <c r="A17">
        <f>MOD(5,-3)</f>
        <v>-1</v>
      </c>
    </row>
    <row r="18" spans="1:1" x14ac:dyDescent="0.35">
      <c r="A18">
        <f>MOD(-5,-3)</f>
        <v>-2</v>
      </c>
    </row>
    <row r="19" spans="1:1" x14ac:dyDescent="0.35">
      <c r="A19">
        <f>MOD(5.5,2)</f>
        <v>1.5</v>
      </c>
    </row>
    <row r="20" spans="1:1" x14ac:dyDescent="0.35">
      <c r="A20" t="e">
        <f>MOD(5,0)</f>
        <v>#DIV/0!</v>
      </c>
    </row>
    <row r="21" spans="1:1" x14ac:dyDescent="0.35">
      <c r="A21">
        <f>ABS(-4.5)</f>
        <v>4.5</v>
      </c>
    </row>
    <row r="22" spans="1:1" x14ac:dyDescent="0.35">
      <c r="A22">
        <f>SIGN(-2)</f>
        <v>-1</v>
      </c>
    </row>
    <row r="23" spans="1:1" x14ac:dyDescent="0.35">
      <c r="A23">
        <f>SIGN(0)</f>
        <v>0</v>
      </c>
    </row>
    <row r="24" spans="1:1" x14ac:dyDescent="0.35">
      <c r="A24">
        <f>SQRT(16)</f>
        <v>4</v>
      </c>
    </row>
    <row r="25" spans="1:1" x14ac:dyDescent="0.35">
      <c r="A25" t="e">
        <f>SQRT(-1)</f>
        <v>#NUM!</v>
      </c>
    </row>
    <row r="26" spans="1:1" x14ac:dyDescent="0.35">
      <c r="A26">
        <f>POWER(2,10)</f>
        <v>1024</v>
      </c>
    </row>
    <row r="27" spans="1:1" x14ac:dyDescent="0.35">
      <c r="A27">
        <f>POWER(-8,1/3)</f>
        <v>-1.9999999999999998</v>
      </c>
    </row>
    <row r="28" spans="1:1" x14ac:dyDescent="0.35">
      <c r="A28">
        <f>EXP(1)</f>
        <v>2.7182818284590451</v>
      </c>
    </row>
    <row r="29" spans="1:1" x14ac:dyDescent="0.35">
      <c r="A29">
        <f>LN(10)</f>
        <v>2.3025850929940459</v>
      </c>
    </row>
    <row r="30" spans="1:1" x14ac:dyDescent="0.35">
      <c r="A30">
        <f>LOG(100)</f>
        <v>2</v>
      </c>
    </row>
    <row r="31" spans="1:1" x14ac:dyDescent="0.35">
      <c r="A31">
        <f>LOG(8,2)</f>
        <v>3</v>
      </c>
    </row>
    <row r="32" spans="1:1" x14ac:dyDescent="0.35">
      <c r="A32">
        <f>LOG10(1000)</f>
        <v>3</v>
      </c>
    </row>
    <row r="33" spans="1:1" x14ac:dyDescent="0.35">
      <c r="A33" t="e">
        <f>LN(0)</f>
        <v>#NUM!</v>
      </c>
    </row>
    <row r="34" spans="1:1" x14ac:dyDescent="0.35">
      <c r="A34">
        <f>PI()</f>
        <v>3.1415926535897931</v>
      </c>
    </row>
    <row r="35" spans="1:1" x14ac:dyDescent="0.35">
      <c r="A35">
        <f>CEILING(4.3,1)</f>
        <v>5</v>
      </c>
    </row>
    <row r="36" spans="1:1" x14ac:dyDescent="0.35">
      <c r="A36">
        <f>CEILING(-4.3,-1)</f>
        <v>-5</v>
      </c>
    </row>
    <row r="37" spans="1:1" x14ac:dyDescent="0.35">
      <c r="A37">
        <f>CEILING(4.3,0.5)</f>
        <v>4.5</v>
      </c>
    </row>
    <row r="38" spans="1:1" x14ac:dyDescent="0.35">
      <c r="A38">
        <f>FLOOR(4.7,1)</f>
        <v>4</v>
      </c>
    </row>
    <row r="39" spans="1:1" x14ac:dyDescent="0.35">
      <c r="A39">
        <f>FLOOR(-4.7,-1)</f>
        <v>-4</v>
      </c>
    </row>
    <row r="40" spans="1:1" x14ac:dyDescent="0.35">
      <c r="A40">
        <f>_xlfn.CEILING.MATH(-4.3)</f>
        <v>-4</v>
      </c>
    </row>
    <row r="41" spans="1:1" x14ac:dyDescent="0.35">
      <c r="A41">
        <f>_xlfn.FLOOR.MATH(-4.3)</f>
        <v>-5</v>
      </c>
    </row>
    <row r="42" spans="1:1" x14ac:dyDescent="0.35">
      <c r="A42">
        <f>MROUND(10,3)</f>
        <v>9</v>
      </c>
    </row>
    <row r="43" spans="1:1" x14ac:dyDescent="0.35">
      <c r="A43">
        <f>MROUND(-10,-3)</f>
        <v>-9</v>
      </c>
    </row>
    <row r="44" spans="1:1" x14ac:dyDescent="0.35">
      <c r="A44">
        <f>EVEN(3)</f>
        <v>4</v>
      </c>
    </row>
    <row r="45" spans="1:1" x14ac:dyDescent="0.35">
      <c r="A45">
        <f>ODD(4)</f>
        <v>5</v>
      </c>
    </row>
    <row r="46" spans="1:1" x14ac:dyDescent="0.35">
      <c r="A46">
        <f>EVEN(-1.5)</f>
        <v>-2</v>
      </c>
    </row>
    <row r="47" spans="1:1" x14ac:dyDescent="0.35">
      <c r="A47">
        <f>FACT(5)</f>
        <v>120</v>
      </c>
    </row>
    <row r="48" spans="1:1" x14ac:dyDescent="0.35">
      <c r="A48">
        <f>FACT(0)</f>
        <v>1</v>
      </c>
    </row>
    <row r="49" spans="1:1" x14ac:dyDescent="0.35">
      <c r="A49">
        <f>COMBIN(5,2)</f>
        <v>10</v>
      </c>
    </row>
    <row r="50" spans="1:1" x14ac:dyDescent="0.35">
      <c r="A50">
        <f>PERMUT(5,2)</f>
        <v>20</v>
      </c>
    </row>
    <row r="51" spans="1:1" x14ac:dyDescent="0.35">
      <c r="A51">
        <f>GCD(12,18)</f>
        <v>6</v>
      </c>
    </row>
    <row r="52" spans="1:1" x14ac:dyDescent="0.35">
      <c r="A52">
        <f>LCM(4,6)</f>
        <v>12</v>
      </c>
    </row>
    <row r="53" spans="1:1" x14ac:dyDescent="0.35">
      <c r="A53">
        <f>QUOTIENT(7,2)</f>
        <v>3</v>
      </c>
    </row>
    <row r="54" spans="1:1" x14ac:dyDescent="0.35">
      <c r="A54">
        <f>QUOTIENT(-7,2)</f>
        <v>-3</v>
      </c>
    </row>
    <row r="55" spans="1:1" x14ac:dyDescent="0.35">
      <c r="A55">
        <f>SUM(1,2,3)</f>
        <v>6</v>
      </c>
    </row>
    <row r="56" spans="1:1" x14ac:dyDescent="0.35">
      <c r="A56">
        <f>SUM(Data!A1:A10)</f>
        <v>55</v>
      </c>
    </row>
    <row r="57" spans="1:1" x14ac:dyDescent="0.35">
      <c r="A57">
        <f>SUM(1,"2",TRUE)</f>
        <v>4</v>
      </c>
    </row>
    <row r="58" spans="1:1" x14ac:dyDescent="0.35">
      <c r="A58">
        <f>SUM(Data!B1:B3)</f>
        <v>0</v>
      </c>
    </row>
    <row r="59" spans="1:1" x14ac:dyDescent="0.35">
      <c r="A59">
        <f>SUM(Data!A1:A3,5)</f>
        <v>11</v>
      </c>
    </row>
    <row r="60" spans="1:1" x14ac:dyDescent="0.35">
      <c r="A60" t="e">
        <f>SUM(Data!B1:B10)</f>
        <v>#N/A</v>
      </c>
    </row>
    <row r="61" spans="1:1" x14ac:dyDescent="0.35">
      <c r="A61">
        <f>SUMPRODUCT(Data!A1:A3,Data!A4:A6)</f>
        <v>32</v>
      </c>
    </row>
    <row r="62" spans="1:1" x14ac:dyDescent="0.35">
      <c r="A62">
        <f>SUMSQ(1,2,3)</f>
        <v>14</v>
      </c>
    </row>
    <row r="63" spans="1:1" x14ac:dyDescent="0.35">
      <c r="A63">
        <f>PRODUCT(2,3,4)</f>
        <v>24</v>
      </c>
    </row>
    <row r="64" spans="1:1" x14ac:dyDescent="0.35">
      <c r="A64">
        <f>PRODUCT(Data!A1:A5)</f>
        <v>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A167-0BE8-4F78-8834-DC5674EFE5D8}">
  <dimension ref="A1:A33"/>
  <sheetViews>
    <sheetView workbookViewId="0"/>
  </sheetViews>
  <sheetFormatPr defaultRowHeight="14.5" x14ac:dyDescent="0.35"/>
  <sheetData>
    <row r="1" spans="1:1" x14ac:dyDescent="0.35">
      <c r="A1">
        <f>AVERAGE(Data!A1:A10)</f>
        <v>5.5</v>
      </c>
    </row>
    <row r="2" spans="1:1" x14ac:dyDescent="0.35">
      <c r="A2">
        <f>AVERAGE(1,"2",TRUE)</f>
        <v>1.3333333333333333</v>
      </c>
    </row>
    <row r="3" spans="1:1" x14ac:dyDescent="0.35">
      <c r="A3" t="e">
        <f>AVERAGE(Data!B1:B4)</f>
        <v>#DIV/0!</v>
      </c>
    </row>
    <row r="4" spans="1:1" x14ac:dyDescent="0.35">
      <c r="A4">
        <f>AVERAGEA(Data!B1:B4)</f>
        <v>0.33333333333333331</v>
      </c>
    </row>
    <row r="5" spans="1:1" x14ac:dyDescent="0.35">
      <c r="A5">
        <f>MIN(Data!A1:A10)</f>
        <v>1</v>
      </c>
    </row>
    <row r="6" spans="1:1" x14ac:dyDescent="0.35">
      <c r="A6">
        <f>MAX(Data!A1:A10)</f>
        <v>10</v>
      </c>
    </row>
    <row r="7" spans="1:1" x14ac:dyDescent="0.35">
      <c r="A7">
        <f>MIN(Data!B1:B4)</f>
        <v>0</v>
      </c>
    </row>
    <row r="8" spans="1:1" x14ac:dyDescent="0.35">
      <c r="A8">
        <f>MAX(Data!B1:B4)</f>
        <v>0</v>
      </c>
    </row>
    <row r="9" spans="1:1" x14ac:dyDescent="0.35">
      <c r="A9">
        <f>MIN("3",5)</f>
        <v>3</v>
      </c>
    </row>
    <row r="10" spans="1:1" x14ac:dyDescent="0.35">
      <c r="A10">
        <f>MAX(Data!B6:B7)</f>
        <v>2.5</v>
      </c>
    </row>
    <row r="11" spans="1:1" x14ac:dyDescent="0.35">
      <c r="A11">
        <f>MINA(Data!B1:B4)</f>
        <v>0</v>
      </c>
    </row>
    <row r="12" spans="1:1" x14ac:dyDescent="0.35">
      <c r="A12">
        <f>MAXA(Data!B1:B4)</f>
        <v>1</v>
      </c>
    </row>
    <row r="13" spans="1:1" x14ac:dyDescent="0.35">
      <c r="A13">
        <f>COUNT(Data!A1:B10)</f>
        <v>13</v>
      </c>
    </row>
    <row r="14" spans="1:1" x14ac:dyDescent="0.35">
      <c r="A14">
        <f>COUNT(1,"2",TRUE,"x")</f>
        <v>3</v>
      </c>
    </row>
    <row r="15" spans="1:1" x14ac:dyDescent="0.35">
      <c r="A15">
        <f>COUNTA(Data!B1:B10)</f>
        <v>9</v>
      </c>
    </row>
    <row r="16" spans="1:1" x14ac:dyDescent="0.35">
      <c r="A16">
        <f>COUNTBLANK(Data!B1:B10)</f>
        <v>1</v>
      </c>
    </row>
    <row r="17" spans="1:1" x14ac:dyDescent="0.35">
      <c r="A17">
        <f>MEDIAN(1,3,2,4)</f>
        <v>2.5</v>
      </c>
    </row>
    <row r="18" spans="1:1" x14ac:dyDescent="0.35">
      <c r="A18">
        <f>MEDIAN(Data!A1:A10)</f>
        <v>5.5</v>
      </c>
    </row>
    <row r="19" spans="1:1" x14ac:dyDescent="0.35">
      <c r="A19">
        <f>MODE(1,2,2,3)</f>
        <v>2</v>
      </c>
    </row>
    <row r="20" spans="1:1" x14ac:dyDescent="0.35">
      <c r="A20">
        <f>LARGE(Data!A1:A10,2)</f>
        <v>9</v>
      </c>
    </row>
    <row r="21" spans="1:1" x14ac:dyDescent="0.35">
      <c r="A21">
        <f>SMALL(Data!A1:A10,3)</f>
        <v>3</v>
      </c>
    </row>
    <row r="22" spans="1:1" x14ac:dyDescent="0.35">
      <c r="A22" t="e">
        <f>LARGE(Data!A1:A10,11)</f>
        <v>#NUM!</v>
      </c>
    </row>
    <row r="23" spans="1:1" x14ac:dyDescent="0.35">
      <c r="A23">
        <f>STDEV(Data!A1:A10)</f>
        <v>3.0276503540974917</v>
      </c>
    </row>
    <row r="24" spans="1:1" x14ac:dyDescent="0.35">
      <c r="A24">
        <f>STDEVP(Data!A1:A10)</f>
        <v>2.8722813232690143</v>
      </c>
    </row>
    <row r="25" spans="1:1" x14ac:dyDescent="0.35">
      <c r="A25">
        <f>VAR(Data!A1:A10)</f>
        <v>9.1666666666666661</v>
      </c>
    </row>
    <row r="26" spans="1:1" x14ac:dyDescent="0.35">
      <c r="A26">
        <f>VARP(Data!A1:A10)</f>
        <v>8.25</v>
      </c>
    </row>
    <row r="27" spans="1:1" x14ac:dyDescent="0.35">
      <c r="A27">
        <f>_xlfn.STDEV.S(2,4,4,4,5,5,7,9)</f>
        <v>2.1380899352993952</v>
      </c>
    </row>
    <row r="28" spans="1:1" x14ac:dyDescent="0.35">
      <c r="A28">
        <f>_xlfn.STDEV.P(2,4,4,4,5,5,7,9)</f>
        <v>2</v>
      </c>
    </row>
    <row r="29" spans="1:1" x14ac:dyDescent="0.35">
      <c r="A29">
        <f>RANK(3,Data!A1:A10)</f>
        <v>8</v>
      </c>
    </row>
    <row r="30" spans="1:1" x14ac:dyDescent="0.35">
      <c r="A30">
        <f>RANK(3,Data!A1:A10,1)</f>
        <v>3</v>
      </c>
    </row>
    <row r="31" spans="1:1" x14ac:dyDescent="0.35">
      <c r="A31" t="e">
        <f>AVERAGE(Data!B1)</f>
        <v>#DIV/0!</v>
      </c>
    </row>
    <row r="32" spans="1:1" x14ac:dyDescent="0.35">
      <c r="A32" t="e">
        <f>MAX(Data!B5:B6)</f>
        <v>#N/A</v>
      </c>
    </row>
    <row r="33" spans="1:1" x14ac:dyDescent="0.35">
      <c r="A33">
        <f>COUNT(Data!B5)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B276-85CA-4639-8CD0-3640EAA4B170}">
  <dimension ref="A1:A30"/>
  <sheetViews>
    <sheetView workbookViewId="0"/>
  </sheetViews>
  <sheetFormatPr defaultRowHeight="14.5" x14ac:dyDescent="0.35"/>
  <sheetData>
    <row r="1" spans="1:1" x14ac:dyDescent="0.35">
      <c r="A1">
        <f>SUMIF(Data!A1:A10,"&gt;5")</f>
        <v>40</v>
      </c>
    </row>
    <row r="2" spans="1:1" x14ac:dyDescent="0.35">
      <c r="A2">
        <f>SUMIF(Data!C1:C5,"x",Data!D1:D5)</f>
        <v>50</v>
      </c>
    </row>
    <row r="3" spans="1:1" x14ac:dyDescent="0.35">
      <c r="A3">
        <f>SUMIF(Data!C1:C5,"&lt;&gt;x",Data!D1:D5)</f>
        <v>100</v>
      </c>
    </row>
    <row r="4" spans="1:1" x14ac:dyDescent="0.35">
      <c r="A4">
        <f>COUNTIF(Data!A1:A10,"&gt;=3")</f>
        <v>8</v>
      </c>
    </row>
    <row r="5" spans="1:1" x14ac:dyDescent="0.35">
      <c r="A5">
        <f>COUNTIF(Data!C1:C5,"x")</f>
        <v>2</v>
      </c>
    </row>
    <row r="6" spans="1:1" x14ac:dyDescent="0.35">
      <c r="A6">
        <f>COUNTIF(Data!B1:B10,"apple")</f>
        <v>2</v>
      </c>
    </row>
    <row r="7" spans="1:1" x14ac:dyDescent="0.35">
      <c r="A7">
        <f>COUNTIF(Data!B1:B10,"a*")</f>
        <v>3</v>
      </c>
    </row>
    <row r="8" spans="1:1" x14ac:dyDescent="0.35">
      <c r="A8">
        <f>COUNTIF(Data!B1:B10,"?pple")</f>
        <v>2</v>
      </c>
    </row>
    <row r="9" spans="1:1" x14ac:dyDescent="0.35">
      <c r="A9">
        <f>COUNTIF(Data!B1:B10,"*")</f>
        <v>4</v>
      </c>
    </row>
    <row r="10" spans="1:1" x14ac:dyDescent="0.35">
      <c r="A10">
        <f>COUNTIF(Data!B1:B10,"&lt;&gt;")</f>
        <v>9</v>
      </c>
    </row>
    <row r="11" spans="1:1" x14ac:dyDescent="0.35">
      <c r="A11">
        <f>COUNTIF(Data!B1:B10,"")</f>
        <v>1</v>
      </c>
    </row>
    <row r="12" spans="1:1" x14ac:dyDescent="0.35">
      <c r="A12">
        <f>COUNTIF(Data!B1:B10,10)</f>
        <v>1</v>
      </c>
    </row>
    <row r="13" spans="1:1" x14ac:dyDescent="0.35">
      <c r="A13">
        <f>COUNTIF(Data!B1:B10,"10")</f>
        <v>1</v>
      </c>
    </row>
    <row r="14" spans="1:1" x14ac:dyDescent="0.35">
      <c r="A14">
        <f>COUNTIF(Data!B1:B10,TRUE)</f>
        <v>1</v>
      </c>
    </row>
    <row r="15" spans="1:1" x14ac:dyDescent="0.35">
      <c r="A15">
        <f>COUNTIF(Data!A1:A10,"&lt;5")</f>
        <v>4</v>
      </c>
    </row>
    <row r="16" spans="1:1" x14ac:dyDescent="0.35">
      <c r="A16">
        <f>COUNTIF(Data!A1:A10,"=5")</f>
        <v>1</v>
      </c>
    </row>
    <row r="17" spans="1:1" x14ac:dyDescent="0.35">
      <c r="A17">
        <f>COUNTIF(Data!A1:A10,5)</f>
        <v>1</v>
      </c>
    </row>
    <row r="18" spans="1:1" x14ac:dyDescent="0.35">
      <c r="A18">
        <f>COUNTIF(Data!A1:A10,"5")</f>
        <v>1</v>
      </c>
    </row>
    <row r="19" spans="1:1" x14ac:dyDescent="0.35">
      <c r="A19">
        <f>AVERAGEIF(Data!A1:A10,"&gt;5")</f>
        <v>8</v>
      </c>
    </row>
    <row r="20" spans="1:1" x14ac:dyDescent="0.35">
      <c r="A20">
        <f>AVERAGEIF(Data!C1:C5,"x",Data!D1:D5)</f>
        <v>25</v>
      </c>
    </row>
    <row r="21" spans="1:1" x14ac:dyDescent="0.35">
      <c r="A21">
        <f>SUMIFS(Data!D1:D5,Data!C1:C5,"x",Data!D1:D5,"&gt;15")</f>
        <v>40</v>
      </c>
    </row>
    <row r="22" spans="1:1" x14ac:dyDescent="0.35">
      <c r="A22">
        <f>COUNTIFS(Data!C1:C5,"x",Data!D1:D5,"&gt;15")</f>
        <v>1</v>
      </c>
    </row>
    <row r="23" spans="1:1" x14ac:dyDescent="0.35">
      <c r="A23">
        <f>AVERAGEIFS(Data!D1:D5,Data!C1:C5,"&lt;&gt;y")</f>
        <v>32.5</v>
      </c>
    </row>
    <row r="24" spans="1:1" x14ac:dyDescent="0.35">
      <c r="A24">
        <f>_xlfn.MAXIFS(Data!D1:D5,Data!C1:C5,"x")</f>
        <v>40</v>
      </c>
    </row>
    <row r="25" spans="1:1" x14ac:dyDescent="0.35">
      <c r="A25">
        <f>_xlfn.MINIFS(Data!D1:D5,Data!C1:C5,"x")</f>
        <v>10</v>
      </c>
    </row>
    <row r="26" spans="1:1" x14ac:dyDescent="0.35">
      <c r="A26">
        <f>COUNTIF(Data!C1:C5,"~*")</f>
        <v>0</v>
      </c>
    </row>
    <row r="27" spans="1:1" x14ac:dyDescent="0.35">
      <c r="A27">
        <f>SUMIF(Data!A1:A10,"&gt;"&amp;5)</f>
        <v>40</v>
      </c>
    </row>
    <row r="28" spans="1:1" x14ac:dyDescent="0.35">
      <c r="A28">
        <f>COUNTIF(Data!B1:B10,"&gt;b")</f>
        <v>0</v>
      </c>
    </row>
    <row r="29" spans="1:1" x14ac:dyDescent="0.35">
      <c r="A29">
        <f>COUNTIF(Data!B1:B10,"&lt;b")</f>
        <v>4</v>
      </c>
    </row>
    <row r="30" spans="1:1" x14ac:dyDescent="0.35">
      <c r="A30" t="e">
        <f>AVERAGEIF(Data!C1:C5,"q",Data!D1:D5)</f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BD7A-B828-4323-B95C-96389D218247}">
  <dimension ref="A1:A31"/>
  <sheetViews>
    <sheetView workbookViewId="0"/>
  </sheetViews>
  <sheetFormatPr defaultRowHeight="14.5" x14ac:dyDescent="0.35"/>
  <sheetData>
    <row r="1" spans="1:1" x14ac:dyDescent="0.35">
      <c r="A1" t="str">
        <f>IF(1&gt;0,"yes","no")</f>
        <v>yes</v>
      </c>
    </row>
    <row r="2" spans="1:1" x14ac:dyDescent="0.35">
      <c r="A2" t="str">
        <f>IF(0,"yes","no")</f>
        <v>no</v>
      </c>
    </row>
    <row r="3" spans="1:1" x14ac:dyDescent="0.35">
      <c r="A3">
        <f>IF("TRUE",1,2)</f>
        <v>1</v>
      </c>
    </row>
    <row r="4" spans="1:1" x14ac:dyDescent="0.35">
      <c r="A4" t="e">
        <f>IF("x",1,2)</f>
        <v>#VALUE!</v>
      </c>
    </row>
    <row r="5" spans="1:1" x14ac:dyDescent="0.35">
      <c r="A5">
        <f>IF(1,,2)</f>
        <v>0</v>
      </c>
    </row>
    <row r="6" spans="1:1" x14ac:dyDescent="0.35">
      <c r="A6" t="b">
        <f>IF(0,1)</f>
        <v>0</v>
      </c>
    </row>
    <row r="7" spans="1:1" x14ac:dyDescent="0.35">
      <c r="A7">
        <f>IF(Data!B4,1,2)</f>
        <v>2</v>
      </c>
    </row>
    <row r="8" spans="1:1" x14ac:dyDescent="0.35">
      <c r="A8" t="b">
        <f>AND(TRUE,1,"TRUE")</f>
        <v>1</v>
      </c>
    </row>
    <row r="9" spans="1:1" x14ac:dyDescent="0.35">
      <c r="A9" t="b">
        <f>AND(TRUE,0)</f>
        <v>0</v>
      </c>
    </row>
    <row r="10" spans="1:1" x14ac:dyDescent="0.35">
      <c r="A10" t="b">
        <f>OR(FALSE,0)</f>
        <v>0</v>
      </c>
    </row>
    <row r="11" spans="1:1" x14ac:dyDescent="0.35">
      <c r="A11" t="b">
        <f>OR(Data!B1:B4)</f>
        <v>1</v>
      </c>
    </row>
    <row r="12" spans="1:1" x14ac:dyDescent="0.35">
      <c r="A12" t="e">
        <f>AND(Data!B1)</f>
        <v>#VALUE!</v>
      </c>
    </row>
    <row r="13" spans="1:1" x14ac:dyDescent="0.35">
      <c r="A13" t="b">
        <f>NOT(0)</f>
        <v>1</v>
      </c>
    </row>
    <row r="14" spans="1:1" x14ac:dyDescent="0.35">
      <c r="A14" t="b">
        <f>NOT("FALSE")</f>
        <v>1</v>
      </c>
    </row>
    <row r="15" spans="1:1" x14ac:dyDescent="0.35">
      <c r="A15" t="b">
        <f>_xlfn.XOR(TRUE,TRUE,TRUE)</f>
        <v>1</v>
      </c>
    </row>
    <row r="16" spans="1:1" x14ac:dyDescent="0.35">
      <c r="A16" t="str">
        <f>IFERROR(1/0,"div")</f>
        <v>div</v>
      </c>
    </row>
    <row r="17" spans="1:1" x14ac:dyDescent="0.35">
      <c r="A17">
        <f>IFERROR(5,"x")</f>
        <v>5</v>
      </c>
    </row>
    <row r="18" spans="1:1" x14ac:dyDescent="0.35">
      <c r="A18" t="str">
        <f>_xlfn.IFNA(Data!B5,"na")</f>
        <v>na</v>
      </c>
    </row>
    <row r="19" spans="1:1" x14ac:dyDescent="0.35">
      <c r="A19" t="e">
        <f>_xlfn.IFNA(1/0,"na")</f>
        <v>#DIV/0!</v>
      </c>
    </row>
    <row r="20" spans="1:1" x14ac:dyDescent="0.35">
      <c r="A20" t="str">
        <f>_xlfn.IFS(1&gt;2,"a",2&gt;1,"b")</f>
        <v>b</v>
      </c>
    </row>
    <row r="21" spans="1:1" x14ac:dyDescent="0.35">
      <c r="A21" t="e">
        <f>_xlfn.IFS(1&gt;2,"a")</f>
        <v>#N/A</v>
      </c>
    </row>
    <row r="22" spans="1:1" x14ac:dyDescent="0.35">
      <c r="A22" t="str">
        <f>_xlfn.SWITCH(2,1,"one",2,"two","other")</f>
        <v>two</v>
      </c>
    </row>
    <row r="23" spans="1:1" x14ac:dyDescent="0.35">
      <c r="A23" t="str">
        <f>_xlfn.SWITCH(9,1,"one","other")</f>
        <v>other</v>
      </c>
    </row>
    <row r="24" spans="1:1" x14ac:dyDescent="0.35">
      <c r="A24" t="e">
        <f>_xlfn.SWITCH(9,1,"one")</f>
        <v>#N/A</v>
      </c>
    </row>
    <row r="25" spans="1:1" x14ac:dyDescent="0.35">
      <c r="A25" t="str">
        <f>CHOOSE(2,"a","b","c")</f>
        <v>b</v>
      </c>
    </row>
    <row r="26" spans="1:1" x14ac:dyDescent="0.35">
      <c r="A26" t="e">
        <f>CHOOSE(4,"a","b","c")</f>
        <v>#VALUE!</v>
      </c>
    </row>
    <row r="27" spans="1:1" x14ac:dyDescent="0.35">
      <c r="A27" t="str">
        <f>CHOOSE(2.9,"a","b","c")</f>
        <v>b</v>
      </c>
    </row>
    <row r="28" spans="1:1" x14ac:dyDescent="0.35">
      <c r="A28" t="b">
        <f>TRUE()</f>
        <v>1</v>
      </c>
    </row>
    <row r="29" spans="1:1" x14ac:dyDescent="0.35">
      <c r="A29" t="b">
        <f>FALSE()</f>
        <v>0</v>
      </c>
    </row>
    <row r="30" spans="1:1" x14ac:dyDescent="0.35">
      <c r="A30" t="e">
        <f>IF(1/0&gt;1,1,2)</f>
        <v>#DIV/0!</v>
      </c>
    </row>
    <row r="31" spans="1:1" x14ac:dyDescent="0.35">
      <c r="A31" t="e">
        <f>IF(TRUE,1/0,2)</f>
        <v>#DIV/0!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366B-21AD-49EE-A5E6-E11791080607}">
  <dimension ref="A1:A52"/>
  <sheetViews>
    <sheetView workbookViewId="0"/>
  </sheetViews>
  <sheetFormatPr defaultRowHeight="14.5" x14ac:dyDescent="0.35"/>
  <sheetData>
    <row r="1" spans="1:1" x14ac:dyDescent="0.35">
      <c r="A1" t="str">
        <f>LEFT("hello",2)</f>
        <v>he</v>
      </c>
    </row>
    <row r="2" spans="1:1" x14ac:dyDescent="0.35">
      <c r="A2" t="str">
        <f>LEFT("hello")</f>
        <v>h</v>
      </c>
    </row>
    <row r="3" spans="1:1" x14ac:dyDescent="0.35">
      <c r="A3" t="str">
        <f>RIGHT("hello",3)</f>
        <v>llo</v>
      </c>
    </row>
    <row r="4" spans="1:1" x14ac:dyDescent="0.35">
      <c r="A4" t="str">
        <f>MID("hello",2,3)</f>
        <v>ell</v>
      </c>
    </row>
    <row r="5" spans="1:1" x14ac:dyDescent="0.35">
      <c r="A5" t="str">
        <f>MID("hello",9,2)</f>
        <v/>
      </c>
    </row>
    <row r="6" spans="1:1" x14ac:dyDescent="0.35">
      <c r="A6" t="e">
        <f>MID("hello",0,2)</f>
        <v>#VALUE!</v>
      </c>
    </row>
    <row r="7" spans="1:1" x14ac:dyDescent="0.35">
      <c r="A7">
        <f>LEN("hello")</f>
        <v>5</v>
      </c>
    </row>
    <row r="8" spans="1:1" x14ac:dyDescent="0.35">
      <c r="A8">
        <f>LEN(1234.5)</f>
        <v>6</v>
      </c>
    </row>
    <row r="9" spans="1:1" x14ac:dyDescent="0.35">
      <c r="A9">
        <f>LEN(Data!B4)</f>
        <v>0</v>
      </c>
    </row>
    <row r="10" spans="1:1" x14ac:dyDescent="0.35">
      <c r="A10">
        <f>LEN(TRUE)</f>
        <v>4</v>
      </c>
    </row>
    <row r="11" spans="1:1" x14ac:dyDescent="0.35">
      <c r="A11" t="str">
        <f>UPPER("Mixed Case")</f>
        <v>MIXED CASE</v>
      </c>
    </row>
    <row r="12" spans="1:1" x14ac:dyDescent="0.35">
      <c r="A12" t="str">
        <f>LOWER("Mixed Case")</f>
        <v>mixed case</v>
      </c>
    </row>
    <row r="13" spans="1:1" x14ac:dyDescent="0.35">
      <c r="A13" t="str">
        <f>PROPER("hello wORLD o'neil")</f>
        <v>Hello World O'Neil</v>
      </c>
    </row>
    <row r="14" spans="1:1" x14ac:dyDescent="0.35">
      <c r="A14" t="str">
        <f>TRIM("  a   b  ")</f>
        <v>a b</v>
      </c>
    </row>
    <row r="15" spans="1:1" x14ac:dyDescent="0.35">
      <c r="A15">
        <f>FIND("l","hello")</f>
        <v>3</v>
      </c>
    </row>
    <row r="16" spans="1:1" x14ac:dyDescent="0.35">
      <c r="A16" t="e">
        <f>FIND("L","hello")</f>
        <v>#VALUE!</v>
      </c>
    </row>
    <row r="17" spans="1:1" x14ac:dyDescent="0.35">
      <c r="A17">
        <f>SEARCH("L","hello")</f>
        <v>3</v>
      </c>
    </row>
    <row r="18" spans="1:1" x14ac:dyDescent="0.35">
      <c r="A18">
        <f>SEARCH("l?o","hello")</f>
        <v>3</v>
      </c>
    </row>
    <row r="19" spans="1:1" x14ac:dyDescent="0.35">
      <c r="A19">
        <f>SEARCH("e*o","hello")</f>
        <v>2</v>
      </c>
    </row>
    <row r="20" spans="1:1" x14ac:dyDescent="0.35">
      <c r="A20">
        <f>FIND("l","hello",4)</f>
        <v>4</v>
      </c>
    </row>
    <row r="21" spans="1:1" x14ac:dyDescent="0.35">
      <c r="A21" t="str">
        <f>SUBSTITUTE("a-b-c","-","+")</f>
        <v>a+b+c</v>
      </c>
    </row>
    <row r="22" spans="1:1" x14ac:dyDescent="0.35">
      <c r="A22" t="str">
        <f>SUBSTITUTE("a-b-c","-","+",2)</f>
        <v>a-b+c</v>
      </c>
    </row>
    <row r="23" spans="1:1" x14ac:dyDescent="0.35">
      <c r="A23" t="str">
        <f>REPLACE("abcdef",2,3,"X")</f>
        <v>aXef</v>
      </c>
    </row>
    <row r="24" spans="1:1" x14ac:dyDescent="0.35">
      <c r="A24" t="str">
        <f>CONCATENATE("a",1,TRUE)</f>
        <v>a1TRUE</v>
      </c>
    </row>
    <row r="25" spans="1:1" x14ac:dyDescent="0.35">
      <c r="A25" t="str">
        <f>_xlfn.CONCAT("a",Data!A1:A3)</f>
        <v>a123</v>
      </c>
    </row>
    <row r="26" spans="1:1" x14ac:dyDescent="0.35">
      <c r="A26" t="str">
        <f>_xlfn.TEXTJOIN(",",TRUE,Data!B1:B4)</f>
        <v>abc,10,TRUE</v>
      </c>
    </row>
    <row r="27" spans="1:1" x14ac:dyDescent="0.35">
      <c r="A27" t="str">
        <f>_xlfn.TEXTJOIN(",",FALSE,Data!B1:B4)</f>
        <v>abc,10,TRUE,</v>
      </c>
    </row>
    <row r="28" spans="1:1" x14ac:dyDescent="0.35">
      <c r="A28" t="str">
        <f>REPT("ab",3)</f>
        <v>ababab</v>
      </c>
    </row>
    <row r="29" spans="1:1" x14ac:dyDescent="0.35">
      <c r="A29" t="b">
        <f>EXACT("a","A")</f>
        <v>0</v>
      </c>
    </row>
    <row r="30" spans="1:1" x14ac:dyDescent="0.35">
      <c r="A30" t="b">
        <f>EXACT("a","a")</f>
        <v>1</v>
      </c>
    </row>
    <row r="31" spans="1:1" x14ac:dyDescent="0.35">
      <c r="A31" t="str">
        <f>TEXT(1234.567,"#,##0.00")</f>
        <v>1,234.57</v>
      </c>
    </row>
    <row r="32" spans="1:1" x14ac:dyDescent="0.35">
      <c r="A32" t="str">
        <f>TEXT(0.25,"0%")</f>
        <v>25%</v>
      </c>
    </row>
    <row r="33" spans="1:1" x14ac:dyDescent="0.35">
      <c r="A33" t="str">
        <f>TEXT(Data!B10,"yyyy-mm-dd")</f>
        <v>2020-01-15</v>
      </c>
    </row>
    <row r="34" spans="1:1" x14ac:dyDescent="0.35">
      <c r="A34" t="str">
        <f>TEXT(-5,"0;(0)")</f>
        <v>(5)</v>
      </c>
    </row>
    <row r="35" spans="1:1" x14ac:dyDescent="0.35">
      <c r="A35">
        <f>VALUE("12.5")</f>
        <v>12.5</v>
      </c>
    </row>
    <row r="36" spans="1:1" x14ac:dyDescent="0.35">
      <c r="A36" t="e">
        <f>VALUE("abc")</f>
        <v>#VALUE!</v>
      </c>
    </row>
    <row r="37" spans="1:1" x14ac:dyDescent="0.35">
      <c r="A37">
        <f>VALUE("1,234")</f>
        <v>1234</v>
      </c>
    </row>
    <row r="38" spans="1:1" x14ac:dyDescent="0.35">
      <c r="A38">
        <f>VALUE("25%")</f>
        <v>0.25</v>
      </c>
    </row>
    <row r="39" spans="1:1" x14ac:dyDescent="0.35">
      <c r="A39" t="str">
        <f>CHAR(65)</f>
        <v>A</v>
      </c>
    </row>
    <row r="40" spans="1:1" x14ac:dyDescent="0.35">
      <c r="A40">
        <f>CODE("A")</f>
        <v>65</v>
      </c>
    </row>
    <row r="41" spans="1:1" x14ac:dyDescent="0.35">
      <c r="A41">
        <f>_xlfn.UNICODE("é")</f>
        <v>233</v>
      </c>
    </row>
    <row r="42" spans="1:1" x14ac:dyDescent="0.35">
      <c r="A42" t="str">
        <f>_xlfn.UNICHAR(8364)</f>
        <v>€</v>
      </c>
    </row>
    <row r="43" spans="1:1" x14ac:dyDescent="0.35">
      <c r="A43" t="str">
        <f>CLEAN("a"&amp;CHAR(7)&amp;"b")</f>
        <v>ab</v>
      </c>
    </row>
    <row r="44" spans="1:1" x14ac:dyDescent="0.35">
      <c r="A44" t="str">
        <f>T("x")</f>
        <v>x</v>
      </c>
    </row>
    <row r="45" spans="1:1" x14ac:dyDescent="0.35">
      <c r="A45" t="str">
        <f>T(1)</f>
        <v/>
      </c>
    </row>
    <row r="46" spans="1:1" x14ac:dyDescent="0.35">
      <c r="A46">
        <f>N("x")</f>
        <v>0</v>
      </c>
    </row>
    <row r="47" spans="1:1" x14ac:dyDescent="0.35">
      <c r="A47">
        <f>N(TRUE)</f>
        <v>1</v>
      </c>
    </row>
    <row r="48" spans="1:1" x14ac:dyDescent="0.35">
      <c r="A48" t="str">
        <f>DOLLAR(1234.567,2)</f>
        <v>$1,234.57</v>
      </c>
    </row>
    <row r="49" spans="1:1" x14ac:dyDescent="0.35">
      <c r="A49" t="str">
        <f>FIXED(1234.567,1)</f>
        <v>1,234.6</v>
      </c>
    </row>
    <row r="50" spans="1:1" x14ac:dyDescent="0.35">
      <c r="A50" t="str">
        <f>FIXED(1234.567,1,TRUE)</f>
        <v>1234.6</v>
      </c>
    </row>
    <row r="51" spans="1:1" x14ac:dyDescent="0.35">
      <c r="A51">
        <f>_xlfn.NUMBERVALUE("1.234,5",",",".")</f>
        <v>1234.5</v>
      </c>
    </row>
    <row r="52" spans="1:1" x14ac:dyDescent="0.35">
      <c r="A52" t="str">
        <f>LEFT(1234,2)</f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F2F3-C480-4443-9CFD-F36978DA24E6}">
  <dimension ref="A1:A29"/>
  <sheetViews>
    <sheetView workbookViewId="0"/>
  </sheetViews>
  <sheetFormatPr defaultRowHeight="14.5" x14ac:dyDescent="0.35"/>
  <sheetData>
    <row r="1" spans="1:1" x14ac:dyDescent="0.35">
      <c r="A1" t="b">
        <f>ISBLANK(Data!B4)</f>
        <v>1</v>
      </c>
    </row>
    <row r="2" spans="1:1" x14ac:dyDescent="0.35">
      <c r="A2" t="b">
        <f>ISBLANK(Data!B1)</f>
        <v>0</v>
      </c>
    </row>
    <row r="3" spans="1:1" x14ac:dyDescent="0.35">
      <c r="A3" t="b">
        <f>ISNUMBER(Data!B2)</f>
        <v>0</v>
      </c>
    </row>
    <row r="4" spans="1:1" x14ac:dyDescent="0.35">
      <c r="A4" t="b">
        <f>ISNUMBER(Data!A1)</f>
        <v>1</v>
      </c>
    </row>
    <row r="5" spans="1:1" x14ac:dyDescent="0.35">
      <c r="A5" t="b">
        <f>ISTEXT(Data!B2)</f>
        <v>1</v>
      </c>
    </row>
    <row r="6" spans="1:1" x14ac:dyDescent="0.35">
      <c r="A6" t="b">
        <f>ISTEXT(Data!B4)</f>
        <v>0</v>
      </c>
    </row>
    <row r="7" spans="1:1" x14ac:dyDescent="0.35">
      <c r="A7" t="b">
        <f>ISLOGICAL(Data!B3)</f>
        <v>1</v>
      </c>
    </row>
    <row r="8" spans="1:1" x14ac:dyDescent="0.35">
      <c r="A8" t="b">
        <f>ISERROR(Data!B5)</f>
        <v>1</v>
      </c>
    </row>
    <row r="9" spans="1:1" x14ac:dyDescent="0.35">
      <c r="A9" t="b">
        <f>ISERR(Data!B5)</f>
        <v>0</v>
      </c>
    </row>
    <row r="10" spans="1:1" x14ac:dyDescent="0.35">
      <c r="A10" t="b">
        <f>ISNA(Data!B5)</f>
        <v>1</v>
      </c>
    </row>
    <row r="11" spans="1:1" x14ac:dyDescent="0.35">
      <c r="A11" t="b">
        <f>ISERR(1/0)</f>
        <v>1</v>
      </c>
    </row>
    <row r="12" spans="1:1" x14ac:dyDescent="0.35">
      <c r="A12" t="b">
        <f>ISNONTEXT(Data!B4)</f>
        <v>1</v>
      </c>
    </row>
    <row r="13" spans="1:1" x14ac:dyDescent="0.35">
      <c r="A13" t="b">
        <f>ISEVEN(4)</f>
        <v>1</v>
      </c>
    </row>
    <row r="14" spans="1:1" x14ac:dyDescent="0.35">
      <c r="A14" t="b">
        <f>ISODD(4)</f>
        <v>0</v>
      </c>
    </row>
    <row r="15" spans="1:1" x14ac:dyDescent="0.35">
      <c r="A15">
        <f>TYPE(1)</f>
        <v>1</v>
      </c>
    </row>
    <row r="16" spans="1:1" x14ac:dyDescent="0.35">
      <c r="A16">
        <f>TYPE("a")</f>
        <v>2</v>
      </c>
    </row>
    <row r="17" spans="1:1" x14ac:dyDescent="0.35">
      <c r="A17">
        <f>TYPE(TRUE)</f>
        <v>4</v>
      </c>
    </row>
    <row r="18" spans="1:1" x14ac:dyDescent="0.35">
      <c r="A18">
        <f>TYPE(1/0)</f>
        <v>16</v>
      </c>
    </row>
    <row r="19" spans="1:1" x14ac:dyDescent="0.35">
      <c r="A19">
        <f>TYPE(Data!B4)</f>
        <v>1</v>
      </c>
    </row>
    <row r="20" spans="1:1" x14ac:dyDescent="0.35">
      <c r="A20" t="e">
        <f>NA()</f>
        <v>#N/A</v>
      </c>
    </row>
    <row r="21" spans="1:1" x14ac:dyDescent="0.35">
      <c r="A21">
        <f>ERROR.TYPE(1/0)</f>
        <v>2</v>
      </c>
    </row>
    <row r="22" spans="1:1" x14ac:dyDescent="0.35">
      <c r="A22">
        <f>ERROR.TYPE(Data!B5)</f>
        <v>7</v>
      </c>
    </row>
    <row r="23" spans="1:1" x14ac:dyDescent="0.35">
      <c r="A23">
        <f>ROW(Data!C3)</f>
        <v>3</v>
      </c>
    </row>
    <row r="24" spans="1:1" x14ac:dyDescent="0.35">
      <c r="A24">
        <f>COLUMN(Data!C3)</f>
        <v>3</v>
      </c>
    </row>
    <row r="25" spans="1:1" x14ac:dyDescent="0.35">
      <c r="A25">
        <f>ROWS(Data!A1:B4)</f>
        <v>4</v>
      </c>
    </row>
    <row r="26" spans="1:1" x14ac:dyDescent="0.35">
      <c r="A26">
        <f>COLUMNS(Data!A1:B4)</f>
        <v>2</v>
      </c>
    </row>
    <row r="27" spans="1:1" x14ac:dyDescent="0.35">
      <c r="A27" t="b">
        <f>ISREF(Data!A1)</f>
        <v>1</v>
      </c>
    </row>
    <row r="28" spans="1:1" x14ac:dyDescent="0.35">
      <c r="A28" t="b">
        <f>_xlfn.ISFORMULA(Data!B5)</f>
        <v>1</v>
      </c>
    </row>
    <row r="29" spans="1:1" x14ac:dyDescent="0.35">
      <c r="A29" t="b">
        <f>_xlfn.ISFORMULA(Data!B1)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094E-EB83-4D93-9CAF-4491C5BACB4B}">
  <dimension ref="A1:A26"/>
  <sheetViews>
    <sheetView workbookViewId="0"/>
  </sheetViews>
  <sheetFormatPr defaultRowHeight="14.5" x14ac:dyDescent="0.35"/>
  <sheetData>
    <row r="1" spans="1:1" x14ac:dyDescent="0.35">
      <c r="A1">
        <f>VLOOKUP("book",Data!F2:H4,3,FALSE)</f>
        <v>12</v>
      </c>
    </row>
    <row r="2" spans="1:1" x14ac:dyDescent="0.35">
      <c r="A2">
        <f>VLOOKUP("BOOK",Data!F2:H4,2,FALSE)</f>
        <v>1</v>
      </c>
    </row>
    <row r="3" spans="1:1" x14ac:dyDescent="0.35">
      <c r="A3" t="e">
        <f>VLOOKUP("cup",Data!F2:H4,2,FALSE)</f>
        <v>#N/A</v>
      </c>
    </row>
    <row r="4" spans="1:1" x14ac:dyDescent="0.35">
      <c r="A4">
        <f>VLOOKUP(4,Data!A1:A10,1)</f>
        <v>4</v>
      </c>
    </row>
    <row r="5" spans="1:1" x14ac:dyDescent="0.35">
      <c r="A5">
        <f>VLOOKUP(4.5,Data!A1:A10,1,TRUE)</f>
        <v>4</v>
      </c>
    </row>
    <row r="6" spans="1:1" x14ac:dyDescent="0.35">
      <c r="A6" t="e">
        <f>VLOOKUP(0,Data!A1:A10,1)</f>
        <v>#N/A</v>
      </c>
    </row>
    <row r="7" spans="1:1" x14ac:dyDescent="0.35">
      <c r="A7">
        <f>VLOOKUP("b*",Data!F2:H4,3,FALSE)</f>
        <v>12</v>
      </c>
    </row>
    <row r="8" spans="1:1" x14ac:dyDescent="0.35">
      <c r="A8" t="e">
        <f>VLOOKUP("book",Data!F2:H4,4,FALSE)</f>
        <v>#REF!</v>
      </c>
    </row>
    <row r="9" spans="1:1" x14ac:dyDescent="0.35">
      <c r="A9">
        <f>HLOOKUP("Qty",Data!F1:H4,3,FALSE)</f>
        <v>1</v>
      </c>
    </row>
    <row r="10" spans="1:1" x14ac:dyDescent="0.35">
      <c r="A10">
        <f>INDEX(Data!F2:H4,2,3)</f>
        <v>12</v>
      </c>
    </row>
    <row r="11" spans="1:1" x14ac:dyDescent="0.35">
      <c r="A11">
        <f>INDEX(Data!A1:A10,4)</f>
        <v>4</v>
      </c>
    </row>
    <row r="12" spans="1:1" x14ac:dyDescent="0.35">
      <c r="A12" t="e">
        <f>INDEX(Data!F2:H4,4,1)</f>
        <v>#REF!</v>
      </c>
    </row>
    <row r="13" spans="1:1" x14ac:dyDescent="0.35">
      <c r="A13">
        <f>MATCH("ink",Data!F2:F4,0)</f>
        <v>3</v>
      </c>
    </row>
    <row r="14" spans="1:1" x14ac:dyDescent="0.35">
      <c r="A14">
        <f>MATCH(5.5,Data!A1:A10,1)</f>
        <v>5</v>
      </c>
    </row>
    <row r="15" spans="1:1" x14ac:dyDescent="0.35">
      <c r="A15">
        <f>MATCH(5.5,Data!A1:A10)</f>
        <v>5</v>
      </c>
    </row>
    <row r="16" spans="1:1" x14ac:dyDescent="0.35">
      <c r="A16" t="e">
        <f>MATCH("zzz",Data!F2:F4,0)</f>
        <v>#N/A</v>
      </c>
    </row>
    <row r="17" spans="1:1" x14ac:dyDescent="0.35">
      <c r="A17">
        <f>MATCH("i*",Data!F2:F4,0)</f>
        <v>3</v>
      </c>
    </row>
    <row r="18" spans="1:1" x14ac:dyDescent="0.35">
      <c r="A18">
        <f>_xlfn.XLOOKUP("ink",Data!F2:F4,Data!H2:H4)</f>
        <v>4.25</v>
      </c>
    </row>
    <row r="19" spans="1:1" x14ac:dyDescent="0.35">
      <c r="A19" t="str">
        <f>_xlfn.XLOOKUP("cup",Data!F2:F4,Data!H2:H4,"none")</f>
        <v>none</v>
      </c>
    </row>
    <row r="20" spans="1:1" x14ac:dyDescent="0.35">
      <c r="A20" t="e">
        <f>_xlfn.XLOOKUP("cup",Data!F2:F4,Data!H2:H4)</f>
        <v>#N/A</v>
      </c>
    </row>
    <row r="21" spans="1:1" x14ac:dyDescent="0.35">
      <c r="A21">
        <f>_xlfn.XLOOKUP(4.5,Data!A1:A10,Data!A1:A10,,-1)</f>
        <v>4</v>
      </c>
    </row>
    <row r="22" spans="1:1" x14ac:dyDescent="0.35">
      <c r="A22">
        <f>_xlfn.XLOOKUP(4.5,Data!A1:A10,Data!A1:A10,,1)</f>
        <v>5</v>
      </c>
    </row>
    <row r="23" spans="1:1" x14ac:dyDescent="0.35">
      <c r="A23">
        <f>LOOKUP(4.5,Data!A1:A10)</f>
        <v>4</v>
      </c>
    </row>
    <row r="24" spans="1:1" x14ac:dyDescent="0.35">
      <c r="A24" t="str">
        <f>CHOOSE(MATCH("y",Data!C1:C5,0),"a","b","c")</f>
        <v>b</v>
      </c>
    </row>
    <row r="25" spans="1:1" x14ac:dyDescent="0.35">
      <c r="A25">
        <f>INDEX(Data!D1:D5,MATCH("z",Data!C1:C5,0))</f>
        <v>30</v>
      </c>
    </row>
    <row r="26" spans="1:1" x14ac:dyDescent="0.35">
      <c r="A26">
        <f>SUMPRODUCT((Data!C1:C5="x")*Data!D1:D5)</f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3F7D-37A6-451C-A935-7FB4945DE90E}">
  <dimension ref="A1:A35"/>
  <sheetViews>
    <sheetView workbookViewId="0"/>
  </sheetViews>
  <sheetFormatPr defaultRowHeight="14.5" x14ac:dyDescent="0.35"/>
  <sheetData>
    <row r="1" spans="1:1" x14ac:dyDescent="0.35">
      <c r="A1" s="2">
        <f>DATE(2020,1,15)</f>
        <v>43845</v>
      </c>
    </row>
    <row r="2" spans="1:1" x14ac:dyDescent="0.35">
      <c r="A2" s="2">
        <f>DATE(2020,13,1)</f>
        <v>44197</v>
      </c>
    </row>
    <row r="3" spans="1:1" x14ac:dyDescent="0.35">
      <c r="A3" s="2">
        <f>DATE(2020,1,0)</f>
        <v>43830</v>
      </c>
    </row>
    <row r="4" spans="1:1" x14ac:dyDescent="0.35">
      <c r="A4" s="2">
        <f>DATE(1900,2,29)</f>
        <v>60</v>
      </c>
    </row>
    <row r="5" spans="1:1" x14ac:dyDescent="0.35">
      <c r="A5" s="2">
        <f>DATE(99,1,1)</f>
        <v>36161</v>
      </c>
    </row>
    <row r="6" spans="1:1" x14ac:dyDescent="0.35">
      <c r="A6">
        <f>YEAR(Data!B10)</f>
        <v>2020</v>
      </c>
    </row>
    <row r="7" spans="1:1" x14ac:dyDescent="0.35">
      <c r="A7">
        <f>MONTH(Data!B10)</f>
        <v>1</v>
      </c>
    </row>
    <row r="8" spans="1:1" x14ac:dyDescent="0.35">
      <c r="A8">
        <f>DAY(Data!B10)</f>
        <v>15</v>
      </c>
    </row>
    <row r="9" spans="1:1" x14ac:dyDescent="0.35">
      <c r="A9">
        <f>WEEKDAY(Data!B10)</f>
        <v>4</v>
      </c>
    </row>
    <row r="10" spans="1:1" x14ac:dyDescent="0.35">
      <c r="A10">
        <f>WEEKDAY(Data!B10,2)</f>
        <v>3</v>
      </c>
    </row>
    <row r="11" spans="1:1" x14ac:dyDescent="0.35">
      <c r="A11">
        <f>EDATE(Data!B10,1)</f>
        <v>43876</v>
      </c>
    </row>
    <row r="12" spans="1:1" x14ac:dyDescent="0.35">
      <c r="A12">
        <f>EDATE(DATE(2020,1,31),1)</f>
        <v>43890</v>
      </c>
    </row>
    <row r="13" spans="1:1" x14ac:dyDescent="0.35">
      <c r="A13">
        <f>EOMONTH(Data!B10,0)</f>
        <v>43861</v>
      </c>
    </row>
    <row r="14" spans="1:1" x14ac:dyDescent="0.35">
      <c r="A14">
        <f>EOMONTH(Data!B10,-1)</f>
        <v>43830</v>
      </c>
    </row>
    <row r="15" spans="1:1" x14ac:dyDescent="0.35">
      <c r="A15">
        <f>DATEDIF(DATE(2020,1,15),DATE(2021,3,1),"m")</f>
        <v>13</v>
      </c>
    </row>
    <row r="16" spans="1:1" x14ac:dyDescent="0.35">
      <c r="A16">
        <f>DATEDIF(DATE(2020,1,15),DATE(2021,3,1),"d")</f>
        <v>411</v>
      </c>
    </row>
    <row r="17" spans="1:1" x14ac:dyDescent="0.35">
      <c r="A17">
        <f>DATEDIF(DATE(2020,1,15),DATE(2021,3,1),"y")</f>
        <v>1</v>
      </c>
    </row>
    <row r="18" spans="1:1" x14ac:dyDescent="0.35">
      <c r="A18">
        <f>DATEDIF(DATE(2020,1,15),DATE(2021,3,1),"md")</f>
        <v>14</v>
      </c>
    </row>
    <row r="19" spans="1:1" x14ac:dyDescent="0.35">
      <c r="A19">
        <f>DATEVALUE("2020-01-15")</f>
        <v>43845</v>
      </c>
    </row>
    <row r="20" spans="1:1" x14ac:dyDescent="0.35">
      <c r="A20">
        <f>DATEVALUE("1/15/2020")</f>
        <v>43845</v>
      </c>
    </row>
    <row r="21" spans="1:1" x14ac:dyDescent="0.35">
      <c r="A21" s="3">
        <f>TIME(12,30,0)</f>
        <v>0.52083333333333337</v>
      </c>
    </row>
    <row r="22" spans="1:1" x14ac:dyDescent="0.35">
      <c r="A22" s="3">
        <f>TIME(25,0,0)</f>
        <v>4.1666666666666741E-2</v>
      </c>
    </row>
    <row r="23" spans="1:1" x14ac:dyDescent="0.35">
      <c r="A23">
        <f>HOUR(0.75)</f>
        <v>18</v>
      </c>
    </row>
    <row r="24" spans="1:1" x14ac:dyDescent="0.35">
      <c r="A24">
        <f>MINUTE(0.7534)</f>
        <v>4</v>
      </c>
    </row>
    <row r="25" spans="1:1" x14ac:dyDescent="0.35">
      <c r="A25">
        <f>SECOND(0.75342)</f>
        <v>55</v>
      </c>
    </row>
    <row r="26" spans="1:1" x14ac:dyDescent="0.35">
      <c r="A26">
        <f>TIMEVALUE("6:45 PM")</f>
        <v>0.78125</v>
      </c>
    </row>
    <row r="27" spans="1:1" x14ac:dyDescent="0.35">
      <c r="A27">
        <f>_xlfn.DAYS(DATE(2021,1,1),DATE(2020,1,1))</f>
        <v>366</v>
      </c>
    </row>
    <row r="28" spans="1:1" x14ac:dyDescent="0.35">
      <c r="A28">
        <f>NETWORKDAYS(DATE(2020,1,1),DATE(2020,1,31))</f>
        <v>23</v>
      </c>
    </row>
    <row r="29" spans="1:1" x14ac:dyDescent="0.35">
      <c r="A29">
        <f>WORKDAY(DATE(2020,1,1),10)</f>
        <v>43845</v>
      </c>
    </row>
    <row r="30" spans="1:1" x14ac:dyDescent="0.35">
      <c r="A30">
        <f>YEARFRAC(DATE(2020,1,1),DATE(2020,7,1))</f>
        <v>0.5</v>
      </c>
    </row>
    <row r="31" spans="1:1" x14ac:dyDescent="0.35">
      <c r="A31">
        <f>WEEKNUM(Data!B10)</f>
        <v>3</v>
      </c>
    </row>
    <row r="32" spans="1:1" x14ac:dyDescent="0.35">
      <c r="A32">
        <f>_xlfn.ISOWEEKNUM(DATE(2021,1,1))</f>
        <v>53</v>
      </c>
    </row>
    <row r="33" spans="1:1" x14ac:dyDescent="0.35">
      <c r="A33">
        <f>DAY(0)</f>
        <v>0</v>
      </c>
    </row>
    <row r="34" spans="1:1" x14ac:dyDescent="0.35">
      <c r="A34">
        <f>YEAR(0)</f>
        <v>1900</v>
      </c>
    </row>
    <row r="35" spans="1:1" x14ac:dyDescent="0.35">
      <c r="A35" t="e">
        <f>MONTH(-1)</f>
        <v>#NUM!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D78B-B3DE-4E75-8E69-545C6EC1F89B}">
  <dimension ref="A1:A49"/>
  <sheetViews>
    <sheetView workbookViewId="0"/>
  </sheetViews>
  <sheetFormatPr defaultRowHeight="14.5" x14ac:dyDescent="0.35"/>
  <sheetData>
    <row r="1" spans="1:1" x14ac:dyDescent="0.35">
      <c r="A1">
        <f>0.1+0.2-0.3</f>
        <v>0</v>
      </c>
    </row>
    <row r="2" spans="1:1" x14ac:dyDescent="0.35">
      <c r="A2">
        <f>(0.1+0.2-0.3)</f>
        <v>5.5511151231257827E-17</v>
      </c>
    </row>
    <row r="3" spans="1:1" x14ac:dyDescent="0.35">
      <c r="A3">
        <f>(0.1+0.2)-0.3</f>
        <v>0</v>
      </c>
    </row>
    <row r="4" spans="1:1" x14ac:dyDescent="0.35">
      <c r="A4">
        <f>0.1+(0.2-0.3)</f>
        <v>0</v>
      </c>
    </row>
    <row r="5" spans="1:1" x14ac:dyDescent="0.35">
      <c r="A5">
        <f>-(0.1+0.2)+0.3</f>
        <v>0</v>
      </c>
    </row>
    <row r="6" spans="1:1" x14ac:dyDescent="0.35">
      <c r="A6">
        <f>0.3-(0.1+0.2)</f>
        <v>0</v>
      </c>
    </row>
    <row r="7" spans="1:1" x14ac:dyDescent="0.35">
      <c r="A7">
        <f>1*(0.1+0.2-0.3)</f>
        <v>5.5511151231257827E-17</v>
      </c>
    </row>
    <row r="8" spans="1:1" x14ac:dyDescent="0.35">
      <c r="A8">
        <f>(0.1+0.2-0.3)*1</f>
        <v>5.5511151231257827E-17</v>
      </c>
    </row>
    <row r="9" spans="1:1" x14ac:dyDescent="0.35">
      <c r="A9">
        <f>(0.1+0.2-0.3)/1</f>
        <v>5.5511151231257827E-17</v>
      </c>
    </row>
    <row r="10" spans="1:1" x14ac:dyDescent="0.35">
      <c r="A10">
        <f>+(0.1+0.2-0.3)</f>
        <v>5.5511151231257827E-17</v>
      </c>
    </row>
    <row r="11" spans="1:1" x14ac:dyDescent="0.35">
      <c r="A11">
        <f>-(0.1+0.2-0.3)</f>
        <v>-5.5511151231257827E-17</v>
      </c>
    </row>
    <row r="12" spans="1:1" x14ac:dyDescent="0.35">
      <c r="A12">
        <f>--(0.1+0.2-0.3)</f>
        <v>5.5511151231257827E-17</v>
      </c>
    </row>
    <row r="13" spans="1:1" x14ac:dyDescent="0.35">
      <c r="A13">
        <f>(0.1+0.2-0.3)%</f>
        <v>5.5511151231257828E-19</v>
      </c>
    </row>
    <row r="14" spans="1:1" x14ac:dyDescent="0.35">
      <c r="A14">
        <f>SUM(0.1+0.2-0.3)</f>
        <v>5.5511151231257827E-17</v>
      </c>
    </row>
    <row r="15" spans="1:1" x14ac:dyDescent="0.35">
      <c r="A15">
        <f>SUM(0.1,0.2,-0.3)</f>
        <v>0</v>
      </c>
    </row>
    <row r="16" spans="1:1" x14ac:dyDescent="0.35">
      <c r="A16">
        <f>SUM(0.3,-0.1,-0.2)</f>
        <v>0</v>
      </c>
    </row>
    <row r="17" spans="1:1" x14ac:dyDescent="0.35">
      <c r="A17">
        <f>ABS(0.1+0.2-0.3)</f>
        <v>5.5511151231257827E-17</v>
      </c>
    </row>
    <row r="18" spans="1:1" x14ac:dyDescent="0.35">
      <c r="A18">
        <f>IF(TRUE,0.1+0.2-0.3)</f>
        <v>5.5511151231257827E-17</v>
      </c>
    </row>
    <row r="19" spans="1:1" x14ac:dyDescent="0.35">
      <c r="A19" t="str">
        <f>(0.1+0.2-0.3)&amp;""</f>
        <v>5.55111512312578E-17</v>
      </c>
    </row>
    <row r="20" spans="1:1" x14ac:dyDescent="0.35">
      <c r="A20" t="b">
        <f>0.1+0.2-0.3=0</f>
        <v>0</v>
      </c>
    </row>
    <row r="21" spans="1:1" x14ac:dyDescent="0.35">
      <c r="A21" t="b">
        <f>0.1+0.2=0.3</f>
        <v>1</v>
      </c>
    </row>
    <row r="22" spans="1:1" x14ac:dyDescent="0.35">
      <c r="A22" t="b">
        <f>0.3=0.1+0.2</f>
        <v>1</v>
      </c>
    </row>
    <row r="23" spans="1:1" x14ac:dyDescent="0.35">
      <c r="A23" t="b">
        <f>0.1+0.2-0.3&gt;0</f>
        <v>1</v>
      </c>
    </row>
    <row r="24" spans="1:1" x14ac:dyDescent="0.35">
      <c r="A24" t="b">
        <f>0.1+0.2&gt;0.3</f>
        <v>0</v>
      </c>
    </row>
    <row r="25" spans="1:1" x14ac:dyDescent="0.35">
      <c r="A25" t="b">
        <f>0.1+0.2&lt;&gt;0.3</f>
        <v>0</v>
      </c>
    </row>
    <row r="26" spans="1:1" x14ac:dyDescent="0.35">
      <c r="A26">
        <f>MAX(0.1+0.2-0.3)</f>
        <v>5.5511151231257827E-17</v>
      </c>
    </row>
    <row r="27" spans="1:1" x14ac:dyDescent="0.35">
      <c r="A27">
        <f>N(0.1+0.2-0.3)</f>
        <v>5.5511151231257827E-17</v>
      </c>
    </row>
    <row r="28" spans="1:1" x14ac:dyDescent="0.35">
      <c r="A28">
        <f>0.1+0.2-0.3+0</f>
        <v>5.5511151231257827E-17</v>
      </c>
    </row>
    <row r="29" spans="1:1" x14ac:dyDescent="0.35">
      <c r="A29">
        <f>0+0.1+0.2-0.3</f>
        <v>0</v>
      </c>
    </row>
    <row r="30" spans="1:1" x14ac:dyDescent="0.35">
      <c r="A30">
        <f>0.1-0.3+0.2</f>
        <v>0</v>
      </c>
    </row>
    <row r="31" spans="1:1" x14ac:dyDescent="0.35">
      <c r="A31">
        <f>(0.1+0.2)-(0.3)</f>
        <v>0</v>
      </c>
    </row>
    <row r="32" spans="1:1" x14ac:dyDescent="0.35">
      <c r="A32">
        <f>0.3-0.2-0.1</f>
        <v>0</v>
      </c>
    </row>
    <row r="33" spans="1:1" x14ac:dyDescent="0.35">
      <c r="A33">
        <f>1*(1-0.9-0.1)</f>
        <v>-2.7755575615628914E-17</v>
      </c>
    </row>
    <row r="34" spans="1:1" x14ac:dyDescent="0.35">
      <c r="A34">
        <f>1-0.9-0.1</f>
        <v>0</v>
      </c>
    </row>
    <row r="35" spans="1:1" x14ac:dyDescent="0.35">
      <c r="A35">
        <f>(1-0.9-0.1)</f>
        <v>-2.7755575615628914E-17</v>
      </c>
    </row>
    <row r="36" spans="1:1" x14ac:dyDescent="0.35">
      <c r="A36">
        <f>0.3-0.1-0.2</f>
        <v>0</v>
      </c>
    </row>
    <row r="37" spans="1:1" x14ac:dyDescent="0.35">
      <c r="A37">
        <f>0.7-0.6-0.1</f>
        <v>0</v>
      </c>
    </row>
    <row r="38" spans="1:1" x14ac:dyDescent="0.35">
      <c r="A38">
        <f>1.1-1-0.1</f>
        <v>0</v>
      </c>
    </row>
    <row r="39" spans="1:1" x14ac:dyDescent="0.35">
      <c r="A39">
        <f>4.35-4.34-0.01</f>
        <v>-2.1337098754514727E-16</v>
      </c>
    </row>
    <row r="40" spans="1:1" x14ac:dyDescent="0.35">
      <c r="A40">
        <f>100.1-100-0.1</f>
        <v>-5.6898930012039273E-15</v>
      </c>
    </row>
    <row r="41" spans="1:1" x14ac:dyDescent="0.35">
      <c r="A41">
        <f>SUM(0.7,-0.6,-0.1)</f>
        <v>0</v>
      </c>
    </row>
    <row r="42" spans="1:1" x14ac:dyDescent="0.35">
      <c r="A42">
        <f>0.1*3-0.3</f>
        <v>0</v>
      </c>
    </row>
    <row r="43" spans="1:1" x14ac:dyDescent="0.35">
      <c r="A43" t="b">
        <f>0.1*3=0.3</f>
        <v>1</v>
      </c>
    </row>
    <row r="44" spans="1:1" x14ac:dyDescent="0.35">
      <c r="A44">
        <f>(0.1*3)-0.3</f>
        <v>0</v>
      </c>
    </row>
    <row r="45" spans="1:1" x14ac:dyDescent="0.35">
      <c r="A45">
        <f>1/3+1/3+1/3-1</f>
        <v>0</v>
      </c>
    </row>
    <row r="46" spans="1:1" x14ac:dyDescent="0.35">
      <c r="A46">
        <f>SUM(1/3,1/3,1/3,-1)</f>
        <v>0</v>
      </c>
    </row>
    <row r="47" spans="1:1" x14ac:dyDescent="0.35">
      <c r="A47">
        <f>10.1-10-0.1</f>
        <v>-3.6082248300317588E-16</v>
      </c>
    </row>
    <row r="48" spans="1:1" x14ac:dyDescent="0.35">
      <c r="A48">
        <f>1000000000000000+0.3-1000000000000000</f>
        <v>0</v>
      </c>
    </row>
    <row r="49" spans="1:1" x14ac:dyDescent="0.35">
      <c r="A49">
        <f>10000000000000000+2-10000000000000000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5538-782E-4992-95ED-E65BFA0C2CFC}">
  <dimension ref="A1:A75"/>
  <sheetViews>
    <sheetView workbookViewId="0"/>
  </sheetViews>
  <sheetFormatPr defaultRowHeight="14.5" x14ac:dyDescent="0.35"/>
  <sheetData>
    <row r="1" spans="1:1" x14ac:dyDescent="0.35">
      <c r="A1">
        <f>2^0.5</f>
        <v>1.4142135623730951</v>
      </c>
    </row>
    <row r="2" spans="1:1" x14ac:dyDescent="0.35">
      <c r="A2">
        <f>10^0.3</f>
        <v>1.9952623149688797</v>
      </c>
    </row>
    <row r="3" spans="1:1" x14ac:dyDescent="0.35">
      <c r="A3">
        <f>1.1^100</f>
        <v>13780.612339822364</v>
      </c>
    </row>
    <row r="4" spans="1:1" x14ac:dyDescent="0.35">
      <c r="A4">
        <f>3^-3</f>
        <v>3.7037037037037035E-2</v>
      </c>
    </row>
    <row r="5" spans="1:1" x14ac:dyDescent="0.35">
      <c r="A5">
        <f>(-8)^(1/3)</f>
        <v>-1.9999999999999998</v>
      </c>
    </row>
    <row r="6" spans="1:1" x14ac:dyDescent="0.35">
      <c r="A6" t="e">
        <f>(-8)^(2/3)</f>
        <v>#NUM!</v>
      </c>
    </row>
    <row r="7" spans="1:1" x14ac:dyDescent="0.35">
      <c r="A7">
        <f>(-27)^(1/3)</f>
        <v>-2.9999999999999996</v>
      </c>
    </row>
    <row r="8" spans="1:1" x14ac:dyDescent="0.35">
      <c r="A8">
        <f>(-2)^(1/5)</f>
        <v>-1.1486983549970351</v>
      </c>
    </row>
    <row r="9" spans="1:1" x14ac:dyDescent="0.35">
      <c r="A9">
        <f>(-32)^0.2</f>
        <v>-2</v>
      </c>
    </row>
    <row r="10" spans="1:1" x14ac:dyDescent="0.35">
      <c r="A10" t="e">
        <f>(-2)^0.5</f>
        <v>#NUM!</v>
      </c>
    </row>
    <row r="11" spans="1:1" x14ac:dyDescent="0.35">
      <c r="A11">
        <f>8^(1/3)</f>
        <v>1.9999999999999998</v>
      </c>
    </row>
    <row r="12" spans="1:1" x14ac:dyDescent="0.35">
      <c r="A12">
        <f>1000^(1/3)</f>
        <v>9.9999999999999982</v>
      </c>
    </row>
    <row r="13" spans="1:1" x14ac:dyDescent="0.35">
      <c r="A13">
        <f>7^(1/7)</f>
        <v>1.3204692477561237</v>
      </c>
    </row>
    <row r="14" spans="1:1" x14ac:dyDescent="0.35">
      <c r="A14">
        <f>1.0000001^10000000</f>
        <v>2.7182816939803724</v>
      </c>
    </row>
    <row r="15" spans="1:1" x14ac:dyDescent="0.35">
      <c r="A15">
        <f>0.5^1074</f>
        <v>0</v>
      </c>
    </row>
    <row r="16" spans="1:1" x14ac:dyDescent="0.35">
      <c r="A16">
        <f>2^-1022</f>
        <v>2.2250738585072014E-308</v>
      </c>
    </row>
    <row r="17" spans="1:1" x14ac:dyDescent="0.35">
      <c r="A17">
        <f>2^-1023</f>
        <v>0</v>
      </c>
    </row>
    <row r="18" spans="1:1" x14ac:dyDescent="0.35">
      <c r="A18">
        <f>2^-1074</f>
        <v>0</v>
      </c>
    </row>
    <row r="19" spans="1:1" x14ac:dyDescent="0.35">
      <c r="A19">
        <f>2^-1075</f>
        <v>0</v>
      </c>
    </row>
    <row r="20" spans="1:1" x14ac:dyDescent="0.35">
      <c r="A20">
        <f>(-8)^(1/3)*1</f>
        <v>-1.9999999999999998</v>
      </c>
    </row>
    <row r="21" spans="1:1" x14ac:dyDescent="0.35">
      <c r="A21">
        <f>(-1)^(1/3)</f>
        <v>-1</v>
      </c>
    </row>
    <row r="22" spans="1:1" x14ac:dyDescent="0.35">
      <c r="A22" t="e">
        <f>(-64)^(1/6)</f>
        <v>#NUM!</v>
      </c>
    </row>
    <row r="23" spans="1:1" x14ac:dyDescent="0.35">
      <c r="A23">
        <f>(-64)^(1/3)</f>
        <v>-3.9999999999999991</v>
      </c>
    </row>
    <row r="24" spans="1:1" x14ac:dyDescent="0.35">
      <c r="A24">
        <f>(-0.001)^(1/3)</f>
        <v>-0.10000000000000002</v>
      </c>
    </row>
    <row r="25" spans="1:1" x14ac:dyDescent="0.35">
      <c r="A25">
        <f>POWER(-8,1/3)</f>
        <v>-1.9999999999999998</v>
      </c>
    </row>
    <row r="26" spans="1:1" x14ac:dyDescent="0.35">
      <c r="A26">
        <f>POWER(10,-2)</f>
        <v>0.01</v>
      </c>
    </row>
    <row r="27" spans="1:1" x14ac:dyDescent="0.35">
      <c r="A27" t="e">
        <f>POWER(0,0)</f>
        <v>#NUM!</v>
      </c>
    </row>
    <row r="28" spans="1:1" x14ac:dyDescent="0.35">
      <c r="A28" t="e">
        <f>POWER(0,-1)</f>
        <v>#DIV/0!</v>
      </c>
    </row>
    <row r="29" spans="1:1" x14ac:dyDescent="0.35">
      <c r="A29" t="e">
        <f>POWER(-1,0.5)</f>
        <v>#NUM!</v>
      </c>
    </row>
    <row r="30" spans="1:1" x14ac:dyDescent="0.35">
      <c r="A30">
        <f>10^15</f>
        <v>1000000000000000</v>
      </c>
    </row>
    <row r="31" spans="1:1" x14ac:dyDescent="0.35">
      <c r="A31">
        <f>10^16</f>
        <v>1E+16</v>
      </c>
    </row>
    <row r="32" spans="1:1" x14ac:dyDescent="0.35">
      <c r="A32">
        <f>10^-15</f>
        <v>1.0000000000000001E-15</v>
      </c>
    </row>
    <row r="33" spans="1:1" x14ac:dyDescent="0.35">
      <c r="A33">
        <f>2^53</f>
        <v>9007199254740992</v>
      </c>
    </row>
    <row r="34" spans="1:1" x14ac:dyDescent="0.35">
      <c r="A34">
        <f>3^40</f>
        <v>1.2157665459056929E+19</v>
      </c>
    </row>
    <row r="35" spans="1:1" x14ac:dyDescent="0.35">
      <c r="A35">
        <f>1.5^2.5</f>
        <v>2.7556759606310757</v>
      </c>
    </row>
    <row r="36" spans="1:1" x14ac:dyDescent="0.35">
      <c r="A36">
        <f>(-1.5)^3</f>
        <v>-3.375</v>
      </c>
    </row>
    <row r="37" spans="1:1" x14ac:dyDescent="0.35">
      <c r="A37">
        <f>(-2)^-3</f>
        <v>-0.125</v>
      </c>
    </row>
    <row r="38" spans="1:1" x14ac:dyDescent="0.35">
      <c r="A38">
        <f>(-8)^-(1/3)</f>
        <v>-0.5</v>
      </c>
    </row>
    <row r="39" spans="1:1" x14ac:dyDescent="0.35">
      <c r="A39">
        <f>(-8)^0.333333333333333</f>
        <v>-1.9999999999999984</v>
      </c>
    </row>
    <row r="40" spans="1:1" x14ac:dyDescent="0.35">
      <c r="A40">
        <f>(-8)^(1/3+0)</f>
        <v>-1.9999999999999998</v>
      </c>
    </row>
    <row r="41" spans="1:1" x14ac:dyDescent="0.35">
      <c r="A41">
        <f>0^0.5</f>
        <v>0</v>
      </c>
    </row>
    <row r="42" spans="1:1" x14ac:dyDescent="0.35">
      <c r="A42" t="e">
        <f>0^-0.5</f>
        <v>#DIV/0!</v>
      </c>
    </row>
    <row r="43" spans="1:1" x14ac:dyDescent="0.35">
      <c r="A43">
        <f>(0)^2</f>
        <v>0</v>
      </c>
    </row>
    <row r="44" spans="1:1" x14ac:dyDescent="0.35">
      <c r="A44">
        <f>EXP(LN(8)/3)</f>
        <v>2</v>
      </c>
    </row>
    <row r="45" spans="1:1" x14ac:dyDescent="0.35">
      <c r="A45">
        <f>SQRT(2)</f>
        <v>1.4142135623730951</v>
      </c>
    </row>
    <row r="46" spans="1:1" x14ac:dyDescent="0.35">
      <c r="A46">
        <f>SQRT(2)^2</f>
        <v>2.0000000000000004</v>
      </c>
    </row>
    <row r="47" spans="1:1" x14ac:dyDescent="0.35">
      <c r="A47">
        <f>EXP(1)^2</f>
        <v>7.3890560989306495</v>
      </c>
    </row>
    <row r="48" spans="1:1" x14ac:dyDescent="0.35">
      <c r="A48">
        <f>EXP(2)</f>
        <v>7.3890560989306504</v>
      </c>
    </row>
    <row r="49" spans="1:1" x14ac:dyDescent="0.35">
      <c r="A49">
        <f>EXP(709)</f>
        <v>8.2184074615549724E+307</v>
      </c>
    </row>
    <row r="50" spans="1:1" x14ac:dyDescent="0.35">
      <c r="A50" t="e">
        <f>EXP(710)</f>
        <v>#NUM!</v>
      </c>
    </row>
    <row r="51" spans="1:1" x14ac:dyDescent="0.35">
      <c r="A51">
        <f>EXP(-745)</f>
        <v>0</v>
      </c>
    </row>
    <row r="52" spans="1:1" x14ac:dyDescent="0.35">
      <c r="A52">
        <f>EXP(-746)</f>
        <v>0</v>
      </c>
    </row>
    <row r="53" spans="1:1" x14ac:dyDescent="0.35">
      <c r="A53">
        <f>LN(2)</f>
        <v>0.69314718055994529</v>
      </c>
    </row>
    <row r="54" spans="1:1" x14ac:dyDescent="0.35">
      <c r="A54">
        <f>LOG(2)</f>
        <v>0.3010299956639812</v>
      </c>
    </row>
    <row r="55" spans="1:1" x14ac:dyDescent="0.35">
      <c r="A55">
        <f>LOG10(2)</f>
        <v>0.3010299956639812</v>
      </c>
    </row>
    <row r="56" spans="1:1" x14ac:dyDescent="0.35">
      <c r="A56">
        <f>LOG(8,2)</f>
        <v>3</v>
      </c>
    </row>
    <row r="57" spans="1:1" x14ac:dyDescent="0.35">
      <c r="A57">
        <f>LOG(1000,10)</f>
        <v>2.9999999999999996</v>
      </c>
    </row>
    <row r="58" spans="1:1" x14ac:dyDescent="0.35">
      <c r="A58">
        <f>LOG(10,100)</f>
        <v>0.5</v>
      </c>
    </row>
    <row r="59" spans="1:1" x14ac:dyDescent="0.35">
      <c r="A59">
        <f>SIN(PI())</f>
        <v>1.22514845490862E-16</v>
      </c>
    </row>
    <row r="60" spans="1:1" x14ac:dyDescent="0.35">
      <c r="A60">
        <f>COS(PI()/2)</f>
        <v>6.1257422745431001E-17</v>
      </c>
    </row>
    <row r="61" spans="1:1" x14ac:dyDescent="0.35">
      <c r="A61">
        <f>TAN(PI()/4)</f>
        <v>0.99999999999999989</v>
      </c>
    </row>
    <row r="62" spans="1:1" x14ac:dyDescent="0.35">
      <c r="A62">
        <f>ASIN(1)</f>
        <v>1.5707963267948966</v>
      </c>
    </row>
    <row r="63" spans="1:1" x14ac:dyDescent="0.35">
      <c r="A63">
        <f>ACOS(-1)</f>
        <v>3.1415926535897931</v>
      </c>
    </row>
    <row r="64" spans="1:1" x14ac:dyDescent="0.35">
      <c r="A64">
        <f>ATAN(1)</f>
        <v>0.78539816339744828</v>
      </c>
    </row>
    <row r="65" spans="1:1" x14ac:dyDescent="0.35">
      <c r="A65">
        <f>ATAN2(1,1)</f>
        <v>0.78539816339744828</v>
      </c>
    </row>
    <row r="66" spans="1:1" x14ac:dyDescent="0.35">
      <c r="A66">
        <f>SINH(1)</f>
        <v>1.1752011936438014</v>
      </c>
    </row>
    <row r="67" spans="1:1" x14ac:dyDescent="0.35">
      <c r="A67">
        <f>COSH(1)</f>
        <v>1.5430806348152437</v>
      </c>
    </row>
    <row r="68" spans="1:1" x14ac:dyDescent="0.35">
      <c r="A68">
        <f>TANH(0.5)</f>
        <v>0.46211715726000979</v>
      </c>
    </row>
    <row r="69" spans="1:1" x14ac:dyDescent="0.35">
      <c r="A69">
        <f>DEGREES(PI())</f>
        <v>180</v>
      </c>
    </row>
    <row r="70" spans="1:1" x14ac:dyDescent="0.35">
      <c r="A70">
        <f>RADIANS(180)</f>
        <v>3.1415926535897931</v>
      </c>
    </row>
    <row r="71" spans="1:1" x14ac:dyDescent="0.35">
      <c r="A71">
        <f>SIN(100000000)</f>
        <v>0.93163902711030622</v>
      </c>
    </row>
    <row r="72" spans="1:1" x14ac:dyDescent="0.35">
      <c r="A72" t="e">
        <f>SIN(2^27)</f>
        <v>#NUM!</v>
      </c>
    </row>
    <row r="73" spans="1:1" x14ac:dyDescent="0.35">
      <c r="A73" t="e">
        <f>SIN(2^28)</f>
        <v>#NUM!</v>
      </c>
    </row>
    <row r="74" spans="1:1" x14ac:dyDescent="0.35">
      <c r="A74" t="e">
        <f>COS(1000000000)</f>
        <v>#NUM!</v>
      </c>
    </row>
    <row r="75" spans="1:1" x14ac:dyDescent="0.35">
      <c r="A75" t="e">
        <f>TAN(10000000000)</f>
        <v>#NUM!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1F24-3AF6-425D-B6BD-6E30A2DA90ED}">
  <dimension ref="A1:A29"/>
  <sheetViews>
    <sheetView workbookViewId="0"/>
  </sheetViews>
  <sheetFormatPr defaultRowHeight="14.5" x14ac:dyDescent="0.35"/>
  <sheetData>
    <row r="1" spans="1:1" x14ac:dyDescent="0.35">
      <c r="A1" t="e">
        <f>SUM(#N/A,#DIV/0!)</f>
        <v>#N/A</v>
      </c>
    </row>
    <row r="2" spans="1:1" x14ac:dyDescent="0.35">
      <c r="A2" t="e">
        <f>SUM(#DIV/0!,#N/A)</f>
        <v>#DIV/0!</v>
      </c>
    </row>
    <row r="3" spans="1:1" x14ac:dyDescent="0.35">
      <c r="A3" t="e">
        <f>#N/A&amp;#DIV/0!</f>
        <v>#N/A</v>
      </c>
    </row>
    <row r="4" spans="1:1" x14ac:dyDescent="0.35">
      <c r="A4" t="e">
        <f>MAX(1/0,NA())</f>
        <v>#DIV/0!</v>
      </c>
    </row>
    <row r="5" spans="1:1" x14ac:dyDescent="0.35">
      <c r="A5" t="e">
        <f>IF(#N/A,1,2)</f>
        <v>#N/A</v>
      </c>
    </row>
    <row r="6" spans="1:1" x14ac:dyDescent="0.35">
      <c r="A6" t="e">
        <f>AND(#N/A,FALSE)</f>
        <v>#N/A</v>
      </c>
    </row>
    <row r="7" spans="1:1" x14ac:dyDescent="0.35">
      <c r="A7" t="e">
        <f>AND(FALSE,#N/A)</f>
        <v>#N/A</v>
      </c>
    </row>
    <row r="8" spans="1:1" x14ac:dyDescent="0.35">
      <c r="A8" t="e">
        <f>1/0=NA()</f>
        <v>#DIV/0!</v>
      </c>
    </row>
    <row r="9" spans="1:1" x14ac:dyDescent="0.35">
      <c r="A9" t="e">
        <f>NA()=1/0</f>
        <v>#N/A</v>
      </c>
    </row>
    <row r="10" spans="1:1" x14ac:dyDescent="0.35">
      <c r="A10" t="e">
        <f>-#N/A</f>
        <v>#N/A</v>
      </c>
    </row>
    <row r="11" spans="1:1" x14ac:dyDescent="0.35">
      <c r="A11" t="e">
        <f>#N/A%</f>
        <v>#N/A</v>
      </c>
    </row>
    <row r="12" spans="1:1" x14ac:dyDescent="0.35">
      <c r="A12" t="e">
        <f>#REF!</f>
        <v>#REF!</v>
      </c>
    </row>
    <row r="13" spans="1:1" x14ac:dyDescent="0.35">
      <c r="A13" t="e">
        <f>#NULL!</f>
        <v>#NULL!</v>
      </c>
    </row>
    <row r="14" spans="1:1" x14ac:dyDescent="0.35">
      <c r="A14" t="e">
        <f>#NAME?</f>
        <v>#NAME?</v>
      </c>
    </row>
    <row r="15" spans="1:1" x14ac:dyDescent="0.35">
      <c r="A15" t="e">
        <f>#NUM!</f>
        <v>#NUM!</v>
      </c>
    </row>
    <row r="16" spans="1:1" x14ac:dyDescent="0.35">
      <c r="A16" t="e">
        <f>#VALUE!</f>
        <v>#VALUE!</v>
      </c>
    </row>
    <row r="17" spans="1:1" x14ac:dyDescent="0.35">
      <c r="A17" t="e">
        <f>#GETTING_DATA</f>
        <v>#N/A</v>
      </c>
    </row>
    <row r="18" spans="1:1" x14ac:dyDescent="0.35">
      <c r="A18" t="e">
        <f>ABS(#N/A)</f>
        <v>#N/A</v>
      </c>
    </row>
    <row r="19" spans="1:1" x14ac:dyDescent="0.35">
      <c r="A19" t="e">
        <f>LEN(#DIV/0!)</f>
        <v>#DIV/0!</v>
      </c>
    </row>
    <row r="20" spans="1:1" x14ac:dyDescent="0.35">
      <c r="A20" t="e">
        <f>"a"+#N/A</f>
        <v>#VALUE!</v>
      </c>
    </row>
    <row r="21" spans="1:1" x14ac:dyDescent="0.35">
      <c r="A21" t="e">
        <f>#N/A+"a"</f>
        <v>#N/A</v>
      </c>
    </row>
    <row r="22" spans="1:1" x14ac:dyDescent="0.35">
      <c r="A22" t="e">
        <f>"a"*1/0</f>
        <v>#VALUE!</v>
      </c>
    </row>
    <row r="23" spans="1:1" x14ac:dyDescent="0.35">
      <c r="A23" t="e">
        <f>1/0*"a"</f>
        <v>#DIV/0!</v>
      </c>
    </row>
    <row r="24" spans="1:1" x14ac:dyDescent="0.35">
      <c r="A24" t="e">
        <f>Data!B1*Data!B5</f>
        <v>#VALUE!</v>
      </c>
    </row>
    <row r="25" spans="1:1" x14ac:dyDescent="0.35">
      <c r="A25" t="e">
        <f>Data!B5*Data!B1</f>
        <v>#N/A</v>
      </c>
    </row>
    <row r="26" spans="1:1" x14ac:dyDescent="0.35">
      <c r="A26" t="e">
        <f ca="1">NOSUCHFUNCTION(1)</f>
        <v>#NAME?</v>
      </c>
    </row>
    <row r="27" spans="1:1" x14ac:dyDescent="0.35">
      <c r="A27" t="e">
        <f>nosuchname</f>
        <v>#NAME?</v>
      </c>
    </row>
    <row r="28" spans="1:1" x14ac:dyDescent="0.35">
      <c r="A28" t="e">
        <f>nosuchname+1</f>
        <v>#NAME?</v>
      </c>
    </row>
    <row r="29" spans="1:1" x14ac:dyDescent="0.35">
      <c r="A29" t="e">
        <f>SUM(nosuchname)</f>
        <v>#NAME?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F273-2DAB-4165-BC87-317D627EE983}">
  <dimension ref="A1:A27"/>
  <sheetViews>
    <sheetView workbookViewId="0"/>
  </sheetViews>
  <sheetFormatPr defaultRowHeight="14.5" x14ac:dyDescent="0.35"/>
  <sheetData>
    <row r="1" spans="1:1" x14ac:dyDescent="0.35">
      <c r="A1">
        <f>1.23456789012345</f>
        <v>1.23456789012345</v>
      </c>
    </row>
    <row r="2" spans="1:1" x14ac:dyDescent="0.35">
      <c r="A2">
        <f>2.99999999999999</f>
        <v>2.9999999999999898</v>
      </c>
    </row>
    <row r="3" spans="1:1" x14ac:dyDescent="0.35">
      <c r="A3">
        <f>0.3</f>
        <v>0.3</v>
      </c>
    </row>
    <row r="4" spans="1:1" x14ac:dyDescent="0.35">
      <c r="A4">
        <f>1234567890123450000</f>
        <v>1.2345678901234501E+18</v>
      </c>
    </row>
    <row r="5" spans="1:1" x14ac:dyDescent="0.35">
      <c r="A5">
        <f>0.123456789012345</f>
        <v>0.123456789012345</v>
      </c>
    </row>
    <row r="6" spans="1:1" x14ac:dyDescent="0.35">
      <c r="A6">
        <f>123456789012345</f>
        <v>123456789012345</v>
      </c>
    </row>
    <row r="7" spans="1:1" x14ac:dyDescent="0.35">
      <c r="A7">
        <f>9.99999999999999</f>
        <v>9.9999999999999893</v>
      </c>
    </row>
    <row r="8" spans="1:1" x14ac:dyDescent="0.35">
      <c r="A8">
        <f>1</f>
        <v>1</v>
      </c>
    </row>
    <row r="9" spans="1:1" x14ac:dyDescent="0.35">
      <c r="A9">
        <f>1</f>
        <v>1</v>
      </c>
    </row>
    <row r="10" spans="1:1" x14ac:dyDescent="0.35">
      <c r="A10">
        <f>0.1+0.2</f>
        <v>0.30000000000000004</v>
      </c>
    </row>
    <row r="11" spans="1:1" x14ac:dyDescent="0.35">
      <c r="A11">
        <f>1234567890123450</f>
        <v>1234567890123450</v>
      </c>
    </row>
    <row r="12" spans="1:1" x14ac:dyDescent="0.35">
      <c r="A12">
        <f>1234567890123450</f>
        <v>1234567890123450</v>
      </c>
    </row>
    <row r="13" spans="1:1" x14ac:dyDescent="0.35">
      <c r="A13">
        <f>9999999999999990</f>
        <v>9999999999999990</v>
      </c>
    </row>
    <row r="14" spans="1:1" x14ac:dyDescent="0.35">
      <c r="A14">
        <f>99999999999999900</f>
        <v>9.9999999999999904E+16</v>
      </c>
    </row>
    <row r="17" spans="1:1" x14ac:dyDescent="0.35">
      <c r="A17">
        <f>1E-307</f>
        <v>9.9999999999999991E-308</v>
      </c>
    </row>
    <row r="18" spans="1:1" x14ac:dyDescent="0.35">
      <c r="A18">
        <f>0</f>
        <v>0</v>
      </c>
    </row>
    <row r="19" spans="1:1" x14ac:dyDescent="0.35">
      <c r="A19">
        <f>0</f>
        <v>0</v>
      </c>
    </row>
    <row r="20" spans="1:1" x14ac:dyDescent="0.35">
      <c r="A20">
        <f>0</f>
        <v>0</v>
      </c>
    </row>
    <row r="22" spans="1:1" x14ac:dyDescent="0.35">
      <c r="A22">
        <f>0.5</f>
        <v>0.5</v>
      </c>
    </row>
    <row r="23" spans="1:1" x14ac:dyDescent="0.35">
      <c r="A23">
        <f>5</f>
        <v>5</v>
      </c>
    </row>
    <row r="24" spans="1:1" x14ac:dyDescent="0.35">
      <c r="A24">
        <f>100000</f>
        <v>100000</v>
      </c>
    </row>
    <row r="25" spans="1:1" x14ac:dyDescent="0.35">
      <c r="A25">
        <f>100000</f>
        <v>100000</v>
      </c>
    </row>
    <row r="26" spans="1:1" x14ac:dyDescent="0.35">
      <c r="A26">
        <f>100000</f>
        <v>100000</v>
      </c>
    </row>
    <row r="27" spans="1:1" x14ac:dyDescent="0.35">
      <c r="A27">
        <f>1E-21</f>
        <v>9.9999999999999991E-22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CCFF-0E55-4B62-B18C-55DA476266A5}">
  <dimension ref="A1:A190"/>
  <sheetViews>
    <sheetView workbookViewId="0"/>
  </sheetViews>
  <sheetFormatPr defaultRowHeight="14.5" x14ac:dyDescent="0.35"/>
  <sheetData>
    <row r="1" spans="1:1" x14ac:dyDescent="0.35">
      <c r="A1" t="str">
        <f>Numbers!A1&amp;""</f>
        <v>0</v>
      </c>
    </row>
    <row r="2" spans="1:1" x14ac:dyDescent="0.35">
      <c r="A2" t="str">
        <f>Numbers!A2&amp;""</f>
        <v>1</v>
      </c>
    </row>
    <row r="3" spans="1:1" x14ac:dyDescent="0.35">
      <c r="A3" t="str">
        <f>Numbers!A3&amp;""</f>
        <v>-1</v>
      </c>
    </row>
    <row r="4" spans="1:1" x14ac:dyDescent="0.35">
      <c r="A4" t="str">
        <f>Numbers!A4&amp;""</f>
        <v>0.5</v>
      </c>
    </row>
    <row r="5" spans="1:1" x14ac:dyDescent="0.35">
      <c r="A5" t="str">
        <f>Numbers!A5&amp;""</f>
        <v>1.5</v>
      </c>
    </row>
    <row r="6" spans="1:1" x14ac:dyDescent="0.35">
      <c r="A6" t="str">
        <f>Numbers!A6&amp;""</f>
        <v>2.5</v>
      </c>
    </row>
    <row r="7" spans="1:1" x14ac:dyDescent="0.35">
      <c r="A7" t="str">
        <f>Numbers!A7&amp;""</f>
        <v>-2.5</v>
      </c>
    </row>
    <row r="8" spans="1:1" x14ac:dyDescent="0.35">
      <c r="A8" t="str">
        <f>Numbers!A8&amp;""</f>
        <v>0.1</v>
      </c>
    </row>
    <row r="9" spans="1:1" x14ac:dyDescent="0.35">
      <c r="A9" t="str">
        <f>Numbers!A9&amp;""</f>
        <v>0.2</v>
      </c>
    </row>
    <row r="10" spans="1:1" x14ac:dyDescent="0.35">
      <c r="A10" t="str">
        <f>Numbers!A10&amp;""</f>
        <v>0.3</v>
      </c>
    </row>
    <row r="11" spans="1:1" x14ac:dyDescent="0.35">
      <c r="A11" t="str">
        <f>Numbers!A11&amp;""</f>
        <v>0.3</v>
      </c>
    </row>
    <row r="12" spans="1:1" x14ac:dyDescent="0.35">
      <c r="A12" t="str">
        <f>Numbers!A12&amp;""</f>
        <v>0.333333333333333</v>
      </c>
    </row>
    <row r="13" spans="1:1" x14ac:dyDescent="0.35">
      <c r="A13" t="str">
        <f>Numbers!A13&amp;""</f>
        <v>0.666666666666667</v>
      </c>
    </row>
    <row r="14" spans="1:1" x14ac:dyDescent="0.35">
      <c r="A14" t="str">
        <f>Numbers!A14&amp;""</f>
        <v>-0.333333333333333</v>
      </c>
    </row>
    <row r="15" spans="1:1" x14ac:dyDescent="0.35">
      <c r="A15" t="str">
        <f>Numbers!A15&amp;""</f>
        <v>0.142857142857143</v>
      </c>
    </row>
    <row r="16" spans="1:1" x14ac:dyDescent="0.35">
      <c r="A16" t="str">
        <f>Numbers!A16&amp;""</f>
        <v>3.14159265358979</v>
      </c>
    </row>
    <row r="17" spans="1:1" x14ac:dyDescent="0.35">
      <c r="A17" t="str">
        <f>Numbers!A17&amp;""</f>
        <v>2.71828182845905</v>
      </c>
    </row>
    <row r="18" spans="1:1" x14ac:dyDescent="0.35">
      <c r="A18" t="str">
        <f>Numbers!A18&amp;""</f>
        <v>1.4142135623731</v>
      </c>
    </row>
    <row r="19" spans="1:1" x14ac:dyDescent="0.35">
      <c r="A19" t="str">
        <f>Numbers!A19&amp;""</f>
        <v>123456789012345</v>
      </c>
    </row>
    <row r="20" spans="1:1" x14ac:dyDescent="0.35">
      <c r="A20" t="str">
        <f>Numbers!A20&amp;""</f>
        <v>1234567890123460</v>
      </c>
    </row>
    <row r="21" spans="1:1" x14ac:dyDescent="0.35">
      <c r="A21" t="str">
        <f>Numbers!A21&amp;""</f>
        <v>12345678901234600</v>
      </c>
    </row>
    <row r="22" spans="1:1" x14ac:dyDescent="0.35">
      <c r="A22" t="str">
        <f>Numbers!A22&amp;""</f>
        <v>999999999999999</v>
      </c>
    </row>
    <row r="23" spans="1:1" x14ac:dyDescent="0.35">
      <c r="A23" t="str">
        <f>Numbers!A23&amp;""</f>
        <v>10000000000000000</v>
      </c>
    </row>
    <row r="24" spans="1:1" x14ac:dyDescent="0.35">
      <c r="A24" t="str">
        <f>Numbers!A24&amp;""</f>
        <v>100000000000000</v>
      </c>
    </row>
    <row r="25" spans="1:1" x14ac:dyDescent="0.35">
      <c r="A25" t="str">
        <f>Numbers!A25&amp;""</f>
        <v>0.123456789012346</v>
      </c>
    </row>
    <row r="26" spans="1:1" x14ac:dyDescent="0.35">
      <c r="A26" t="str">
        <f>Numbers!A26&amp;""</f>
        <v>1.23456789012346E-05</v>
      </c>
    </row>
    <row r="27" spans="1:1" x14ac:dyDescent="0.35">
      <c r="A27" t="str">
        <f>Numbers!A27&amp;""</f>
        <v>9007199254740990</v>
      </c>
    </row>
    <row r="28" spans="1:1" x14ac:dyDescent="0.35">
      <c r="A28" t="str">
        <f>Numbers!A28&amp;""</f>
        <v>9007199254740990</v>
      </c>
    </row>
    <row r="29" spans="1:1" x14ac:dyDescent="0.35">
      <c r="A29" t="str">
        <f>Numbers!A29&amp;""</f>
        <v>9223372036854780000</v>
      </c>
    </row>
    <row r="30" spans="1:1" x14ac:dyDescent="0.35">
      <c r="A30" t="str">
        <f>Numbers!A30&amp;""</f>
        <v>1.7976931348623E+308</v>
      </c>
    </row>
    <row r="31" spans="1:1" x14ac:dyDescent="0.35">
      <c r="A31" t="str">
        <f>Numbers!A31&amp;""</f>
        <v>2.2250738585072E-308</v>
      </c>
    </row>
    <row r="32" spans="1:1" x14ac:dyDescent="0.35">
      <c r="A32" t="str">
        <f>Numbers!A32&amp;""</f>
        <v>1E-307</v>
      </c>
    </row>
    <row r="33" spans="1:1" x14ac:dyDescent="0.35">
      <c r="A33" t="str">
        <f>Numbers!A33&amp;""</f>
        <v>1</v>
      </c>
    </row>
    <row r="34" spans="1:1" x14ac:dyDescent="0.35">
      <c r="A34" t="str">
        <f>Numbers!A34&amp;""</f>
        <v>10</v>
      </c>
    </row>
    <row r="35" spans="1:1" x14ac:dyDescent="0.35">
      <c r="A35" t="str">
        <f>Numbers!A35&amp;""</f>
        <v>0.95</v>
      </c>
    </row>
    <row r="36" spans="1:1" x14ac:dyDescent="0.35">
      <c r="A36" t="str">
        <f>Numbers!A36&amp;""</f>
        <v>0.995</v>
      </c>
    </row>
    <row r="37" spans="1:1" x14ac:dyDescent="0.35">
      <c r="A37" t="str">
        <f>Numbers!A37&amp;""</f>
        <v>0.9995</v>
      </c>
    </row>
    <row r="38" spans="1:1" x14ac:dyDescent="0.35">
      <c r="A38" t="str">
        <f>Numbers!A38&amp;""</f>
        <v>0.99995</v>
      </c>
    </row>
    <row r="39" spans="1:1" x14ac:dyDescent="0.35">
      <c r="A39" t="str">
        <f>Numbers!A39&amp;""</f>
        <v>0.999995</v>
      </c>
    </row>
    <row r="40" spans="1:1" x14ac:dyDescent="0.35">
      <c r="A40" t="str">
        <f>Numbers!A40&amp;""</f>
        <v>0.9999995</v>
      </c>
    </row>
    <row r="41" spans="1:1" x14ac:dyDescent="0.35">
      <c r="A41" t="str">
        <f>Numbers!A41&amp;""</f>
        <v>0.99999995</v>
      </c>
    </row>
    <row r="42" spans="1:1" x14ac:dyDescent="0.35">
      <c r="A42" t="str">
        <f>Numbers!A42&amp;""</f>
        <v>0.999999995</v>
      </c>
    </row>
    <row r="43" spans="1:1" x14ac:dyDescent="0.35">
      <c r="A43" t="str">
        <f>Numbers!A43&amp;""</f>
        <v>0.9999999995</v>
      </c>
    </row>
    <row r="44" spans="1:1" x14ac:dyDescent="0.35">
      <c r="A44" t="str">
        <f>Numbers!A44&amp;""</f>
        <v>0.99999999999999</v>
      </c>
    </row>
    <row r="45" spans="1:1" x14ac:dyDescent="0.35">
      <c r="A45" t="str">
        <f>Numbers!A45&amp;""</f>
        <v>0.999999999999999</v>
      </c>
    </row>
    <row r="46" spans="1:1" x14ac:dyDescent="0.35">
      <c r="A46" t="str">
        <f>Numbers!A46&amp;""</f>
        <v>0.999999999999999</v>
      </c>
    </row>
    <row r="47" spans="1:1" x14ac:dyDescent="0.35">
      <c r="A47" t="str">
        <f>Numbers!A47&amp;""</f>
        <v>1.23456789012345</v>
      </c>
    </row>
    <row r="48" spans="1:1" x14ac:dyDescent="0.35">
      <c r="A48" t="str">
        <f>Numbers!A48&amp;""</f>
        <v>1.23456789012346</v>
      </c>
    </row>
    <row r="49" spans="1:1" x14ac:dyDescent="0.35">
      <c r="A49" t="str">
        <f>Numbers!A49&amp;""</f>
        <v>123456.789012345</v>
      </c>
    </row>
    <row r="50" spans="1:1" x14ac:dyDescent="0.35">
      <c r="A50" t="str">
        <f>Numbers!A50&amp;""</f>
        <v>0.000123456789012345</v>
      </c>
    </row>
    <row r="51" spans="1:1" x14ac:dyDescent="0.35">
      <c r="A51" t="str">
        <f>Numbers!A51&amp;""</f>
        <v>0.000123456789012346</v>
      </c>
    </row>
    <row r="52" spans="1:1" x14ac:dyDescent="0.35">
      <c r="A52" t="str">
        <f>Numbers!A52&amp;""</f>
        <v>1E+21</v>
      </c>
    </row>
    <row r="53" spans="1:1" x14ac:dyDescent="0.35">
      <c r="A53" t="str">
        <f>Numbers!A53&amp;""</f>
        <v>1E+21</v>
      </c>
    </row>
    <row r="54" spans="1:1" x14ac:dyDescent="0.35">
      <c r="A54" t="str">
        <f>Numbers!A54&amp;""</f>
        <v>1E+20</v>
      </c>
    </row>
    <row r="55" spans="1:1" x14ac:dyDescent="0.35">
      <c r="A55" t="str">
        <f>Numbers!A55&amp;""</f>
        <v>0</v>
      </c>
    </row>
    <row r="56" spans="1:1" x14ac:dyDescent="0.35">
      <c r="A56" t="str">
        <f>Numbers!A56&amp;""</f>
        <v>0</v>
      </c>
    </row>
    <row r="57" spans="1:1" x14ac:dyDescent="0.35">
      <c r="A57" t="str">
        <f>Numbers!A57&amp;""</f>
        <v>100</v>
      </c>
    </row>
    <row r="58" spans="1:1" x14ac:dyDescent="0.35">
      <c r="A58" t="str">
        <f>Numbers!A58&amp;""</f>
        <v>1000000</v>
      </c>
    </row>
    <row r="59" spans="1:1" x14ac:dyDescent="0.35">
      <c r="A59" t="str">
        <f>Numbers!A59&amp;""</f>
        <v>0.001</v>
      </c>
    </row>
    <row r="60" spans="1:1" x14ac:dyDescent="0.35">
      <c r="A60" t="str">
        <f>Numbers!A60&amp;""</f>
        <v>0.0001</v>
      </c>
    </row>
    <row r="61" spans="1:1" x14ac:dyDescent="0.35">
      <c r="A61" t="str">
        <f>Numbers!A61&amp;""</f>
        <v>12345678901</v>
      </c>
    </row>
    <row r="62" spans="1:1" x14ac:dyDescent="0.35">
      <c r="A62" t="str">
        <f>Numbers!A62&amp;""</f>
        <v>123456789012</v>
      </c>
    </row>
    <row r="63" spans="1:1" x14ac:dyDescent="0.35">
      <c r="A63" t="str">
        <f>Numbers!A63&amp;""</f>
        <v>1234567890123</v>
      </c>
    </row>
    <row r="64" spans="1:1" x14ac:dyDescent="0.35">
      <c r="A64" t="str">
        <f>Numbers!A64&amp;""</f>
        <v>0.00001</v>
      </c>
    </row>
    <row r="65" spans="1:1" x14ac:dyDescent="0.35">
      <c r="A65" t="str">
        <f>Numbers!A65&amp;""</f>
        <v>0.000001</v>
      </c>
    </row>
    <row r="66" spans="1:1" x14ac:dyDescent="0.35">
      <c r="A66" t="str">
        <f>Numbers!A66&amp;""</f>
        <v>0.0000001</v>
      </c>
    </row>
    <row r="67" spans="1:1" x14ac:dyDescent="0.35">
      <c r="A67" t="str">
        <f>Numbers!A67&amp;""</f>
        <v>0.00000015</v>
      </c>
    </row>
    <row r="68" spans="1:1" x14ac:dyDescent="0.35">
      <c r="A68" t="str">
        <f>Numbers!A68&amp;""</f>
        <v>1E-30</v>
      </c>
    </row>
    <row r="69" spans="1:1" x14ac:dyDescent="0.35">
      <c r="A69" t="str">
        <f>Numbers!A69&amp;""</f>
        <v>1E-29</v>
      </c>
    </row>
    <row r="70" spans="1:1" x14ac:dyDescent="0.35">
      <c r="A70" t="str">
        <f>Numbers!A70&amp;""</f>
        <v>1E-28</v>
      </c>
    </row>
    <row r="71" spans="1:1" x14ac:dyDescent="0.35">
      <c r="A71" t="str">
        <f>Numbers!A71&amp;""</f>
        <v>1E-27</v>
      </c>
    </row>
    <row r="72" spans="1:1" x14ac:dyDescent="0.35">
      <c r="A72" t="str">
        <f>Numbers!A72&amp;""</f>
        <v>1E-26</v>
      </c>
    </row>
    <row r="73" spans="1:1" x14ac:dyDescent="0.35">
      <c r="A73" t="str">
        <f>Numbers!A73&amp;""</f>
        <v>1E-25</v>
      </c>
    </row>
    <row r="74" spans="1:1" x14ac:dyDescent="0.35">
      <c r="A74" t="str">
        <f>Numbers!A74&amp;""</f>
        <v>1E-24</v>
      </c>
    </row>
    <row r="75" spans="1:1" x14ac:dyDescent="0.35">
      <c r="A75" t="str">
        <f>Numbers!A75&amp;""</f>
        <v>1E-23</v>
      </c>
    </row>
    <row r="76" spans="1:1" x14ac:dyDescent="0.35">
      <c r="A76" t="str">
        <f>Numbers!A76&amp;""</f>
        <v>1E-22</v>
      </c>
    </row>
    <row r="77" spans="1:1" x14ac:dyDescent="0.35">
      <c r="A77" t="str">
        <f>Numbers!A77&amp;""</f>
        <v>1E-21</v>
      </c>
    </row>
    <row r="78" spans="1:1" x14ac:dyDescent="0.35">
      <c r="A78" t="str">
        <f>Numbers!A78&amp;""</f>
        <v>1E-20</v>
      </c>
    </row>
    <row r="79" spans="1:1" x14ac:dyDescent="0.35">
      <c r="A79" t="str">
        <f>Numbers!A79&amp;""</f>
        <v>1E-19</v>
      </c>
    </row>
    <row r="80" spans="1:1" x14ac:dyDescent="0.35">
      <c r="A80" t="str">
        <f>Numbers!A80&amp;""</f>
        <v>0.000000000000000001</v>
      </c>
    </row>
    <row r="81" spans="1:1" x14ac:dyDescent="0.35">
      <c r="A81" t="str">
        <f>Numbers!A81&amp;""</f>
        <v>0.00000000000000001</v>
      </c>
    </row>
    <row r="82" spans="1:1" x14ac:dyDescent="0.35">
      <c r="A82" t="str">
        <f>Numbers!A82&amp;""</f>
        <v>0.0000000000000001</v>
      </c>
    </row>
    <row r="83" spans="1:1" x14ac:dyDescent="0.35">
      <c r="A83" t="str">
        <f>Numbers!A83&amp;""</f>
        <v>0.000000000000001</v>
      </c>
    </row>
    <row r="84" spans="1:1" x14ac:dyDescent="0.35">
      <c r="A84" t="str">
        <f>Numbers!A84&amp;""</f>
        <v>0.00000000000001</v>
      </c>
    </row>
    <row r="85" spans="1:1" x14ac:dyDescent="0.35">
      <c r="A85" t="str">
        <f>Numbers!A85&amp;""</f>
        <v>0.0000000000001</v>
      </c>
    </row>
    <row r="86" spans="1:1" x14ac:dyDescent="0.35">
      <c r="A86" t="str">
        <f>Numbers!A86&amp;""</f>
        <v>0.000000000001</v>
      </c>
    </row>
    <row r="87" spans="1:1" x14ac:dyDescent="0.35">
      <c r="A87" t="str">
        <f>Numbers!A87&amp;""</f>
        <v>0.00000000001</v>
      </c>
    </row>
    <row r="88" spans="1:1" x14ac:dyDescent="0.35">
      <c r="A88" t="str">
        <f>Numbers!A88&amp;""</f>
        <v>0.0000000001</v>
      </c>
    </row>
    <row r="89" spans="1:1" x14ac:dyDescent="0.35">
      <c r="A89" t="str">
        <f>Numbers!A89&amp;""</f>
        <v>0.000000001</v>
      </c>
    </row>
    <row r="90" spans="1:1" x14ac:dyDescent="0.35">
      <c r="A90" t="str">
        <f>Numbers!A90&amp;""</f>
        <v>0.00000001</v>
      </c>
    </row>
    <row r="91" spans="1:1" x14ac:dyDescent="0.35">
      <c r="A91" t="str">
        <f>Numbers!A91&amp;""</f>
        <v>0.01</v>
      </c>
    </row>
    <row r="92" spans="1:1" x14ac:dyDescent="0.35">
      <c r="A92" t="str">
        <f>Numbers!A92&amp;""</f>
        <v>1000</v>
      </c>
    </row>
    <row r="93" spans="1:1" x14ac:dyDescent="0.35">
      <c r="A93" t="str">
        <f>Numbers!A93&amp;""</f>
        <v>10000</v>
      </c>
    </row>
    <row r="94" spans="1:1" x14ac:dyDescent="0.35">
      <c r="A94" t="str">
        <f>Numbers!A94&amp;""</f>
        <v>100000</v>
      </c>
    </row>
    <row r="95" spans="1:1" x14ac:dyDescent="0.35">
      <c r="A95" t="str">
        <f>Numbers!A95&amp;""</f>
        <v>10000000</v>
      </c>
    </row>
    <row r="96" spans="1:1" x14ac:dyDescent="0.35">
      <c r="A96" t="str">
        <f>Numbers!A96&amp;""</f>
        <v>100000000</v>
      </c>
    </row>
    <row r="97" spans="1:1" x14ac:dyDescent="0.35">
      <c r="A97" t="str">
        <f>Numbers!A97&amp;""</f>
        <v>1000000000</v>
      </c>
    </row>
    <row r="98" spans="1:1" x14ac:dyDescent="0.35">
      <c r="A98" t="str">
        <f>Numbers!A98&amp;""</f>
        <v>10000000000</v>
      </c>
    </row>
    <row r="99" spans="1:1" x14ac:dyDescent="0.35">
      <c r="A99" t="str">
        <f>Numbers!A99&amp;""</f>
        <v>100000000000</v>
      </c>
    </row>
    <row r="100" spans="1:1" x14ac:dyDescent="0.35">
      <c r="A100" t="str">
        <f>Numbers!A100&amp;""</f>
        <v>1000000000000</v>
      </c>
    </row>
    <row r="101" spans="1:1" x14ac:dyDescent="0.35">
      <c r="A101" t="str">
        <f>Numbers!A101&amp;""</f>
        <v>10000000000000</v>
      </c>
    </row>
    <row r="102" spans="1:1" x14ac:dyDescent="0.35">
      <c r="A102" t="str">
        <f>Numbers!A102&amp;""</f>
        <v>100000000000000</v>
      </c>
    </row>
    <row r="103" spans="1:1" x14ac:dyDescent="0.35">
      <c r="A103" t="str">
        <f>Numbers!A103&amp;""</f>
        <v>1000000000000000</v>
      </c>
    </row>
    <row r="104" spans="1:1" x14ac:dyDescent="0.35">
      <c r="A104" t="str">
        <f>Numbers!A104&amp;""</f>
        <v>10000000000000000</v>
      </c>
    </row>
    <row r="105" spans="1:1" x14ac:dyDescent="0.35">
      <c r="A105" t="str">
        <f>Numbers!A105&amp;""</f>
        <v>100000000000000000</v>
      </c>
    </row>
    <row r="106" spans="1:1" x14ac:dyDescent="0.35">
      <c r="A106" t="str">
        <f>Numbers!A106&amp;""</f>
        <v>1000000000000000000</v>
      </c>
    </row>
    <row r="107" spans="1:1" x14ac:dyDescent="0.35">
      <c r="A107" t="str">
        <f>Numbers!A107&amp;""</f>
        <v>10000000000000000000</v>
      </c>
    </row>
    <row r="108" spans="1:1" x14ac:dyDescent="0.35">
      <c r="A108" t="str">
        <f>Numbers!A108&amp;""</f>
        <v>1E+20</v>
      </c>
    </row>
    <row r="109" spans="1:1" x14ac:dyDescent="0.35">
      <c r="A109" t="str">
        <f>Numbers!A109&amp;""</f>
        <v>1E+22</v>
      </c>
    </row>
    <row r="110" spans="1:1" x14ac:dyDescent="0.35">
      <c r="A110" t="str">
        <f>Numbers!A110&amp;""</f>
        <v>1E+23</v>
      </c>
    </row>
    <row r="111" spans="1:1" x14ac:dyDescent="0.35">
      <c r="A111" t="str">
        <f>Numbers!A111&amp;""</f>
        <v>1E+24</v>
      </c>
    </row>
    <row r="112" spans="1:1" x14ac:dyDescent="0.35">
      <c r="A112" t="str">
        <f>Numbers!A112&amp;""</f>
        <v>1E+25</v>
      </c>
    </row>
    <row r="113" spans="1:1" x14ac:dyDescent="0.35">
      <c r="A113" t="str">
        <f>Numbers!A113&amp;""</f>
        <v>1E+26</v>
      </c>
    </row>
    <row r="114" spans="1:1" x14ac:dyDescent="0.35">
      <c r="A114" t="str">
        <f>Numbers!A114&amp;""</f>
        <v>1E+27</v>
      </c>
    </row>
    <row r="115" spans="1:1" x14ac:dyDescent="0.35">
      <c r="A115" t="str">
        <f>Numbers!A115&amp;""</f>
        <v>1E+28</v>
      </c>
    </row>
    <row r="116" spans="1:1" x14ac:dyDescent="0.35">
      <c r="A116" t="str">
        <f>Numbers!A116&amp;""</f>
        <v>1E+29</v>
      </c>
    </row>
    <row r="117" spans="1:1" x14ac:dyDescent="0.35">
      <c r="A117" t="str">
        <f>Numbers!A117&amp;""</f>
        <v>1E+30</v>
      </c>
    </row>
    <row r="118" spans="1:1" x14ac:dyDescent="0.35">
      <c r="A118" t="str">
        <f>Numbers!A118&amp;""</f>
        <v>0.0000000000015</v>
      </c>
    </row>
    <row r="119" spans="1:1" x14ac:dyDescent="0.35">
      <c r="A119" t="str">
        <f>Numbers!A119&amp;""</f>
        <v>0.000000000015</v>
      </c>
    </row>
    <row r="120" spans="1:1" x14ac:dyDescent="0.35">
      <c r="A120" t="str">
        <f>Numbers!A120&amp;""</f>
        <v>0.00000000015</v>
      </c>
    </row>
    <row r="121" spans="1:1" x14ac:dyDescent="0.35">
      <c r="A121" t="str">
        <f>Numbers!A121&amp;""</f>
        <v>0.0000000015</v>
      </c>
    </row>
    <row r="122" spans="1:1" x14ac:dyDescent="0.35">
      <c r="A122" t="str">
        <f>Numbers!A122&amp;""</f>
        <v>0.000000015</v>
      </c>
    </row>
    <row r="123" spans="1:1" x14ac:dyDescent="0.35">
      <c r="A123" t="str">
        <f>Numbers!A123&amp;""</f>
        <v>0.0000015</v>
      </c>
    </row>
    <row r="124" spans="1:1" x14ac:dyDescent="0.35">
      <c r="A124" t="str">
        <f>Numbers!A124&amp;""</f>
        <v>0.000015</v>
      </c>
    </row>
    <row r="125" spans="1:1" x14ac:dyDescent="0.35">
      <c r="A125" t="str">
        <f>Numbers!A125&amp;""</f>
        <v>0.00015</v>
      </c>
    </row>
    <row r="126" spans="1:1" x14ac:dyDescent="0.35">
      <c r="A126" t="str">
        <f>Numbers!A126&amp;""</f>
        <v>0.0015</v>
      </c>
    </row>
    <row r="127" spans="1:1" x14ac:dyDescent="0.35">
      <c r="A127" t="str">
        <f>Numbers!A127&amp;""</f>
        <v>0.015</v>
      </c>
    </row>
    <row r="128" spans="1:1" x14ac:dyDescent="0.35">
      <c r="A128" t="str">
        <f>Numbers!A128&amp;""</f>
        <v>0.15</v>
      </c>
    </row>
    <row r="129" spans="1:1" x14ac:dyDescent="0.35">
      <c r="A129" t="str">
        <f>Numbers!A129&amp;""</f>
        <v>15</v>
      </c>
    </row>
    <row r="130" spans="1:1" x14ac:dyDescent="0.35">
      <c r="A130" t="str">
        <f>Numbers!A130&amp;""</f>
        <v>150</v>
      </c>
    </row>
    <row r="131" spans="1:1" x14ac:dyDescent="0.35">
      <c r="A131" t="str">
        <f>Numbers!A131&amp;""</f>
        <v>1500</v>
      </c>
    </row>
    <row r="132" spans="1:1" x14ac:dyDescent="0.35">
      <c r="A132" t="str">
        <f>Numbers!A132&amp;""</f>
        <v>15000</v>
      </c>
    </row>
    <row r="133" spans="1:1" x14ac:dyDescent="0.35">
      <c r="A133" t="str">
        <f>Numbers!A133&amp;""</f>
        <v>150000</v>
      </c>
    </row>
    <row r="134" spans="1:1" x14ac:dyDescent="0.35">
      <c r="A134" t="str">
        <f>Numbers!A134&amp;""</f>
        <v>1500000</v>
      </c>
    </row>
    <row r="135" spans="1:1" x14ac:dyDescent="0.35">
      <c r="A135" t="str">
        <f>Numbers!A135&amp;""</f>
        <v>15000000</v>
      </c>
    </row>
    <row r="136" spans="1:1" x14ac:dyDescent="0.35">
      <c r="A136" t="str">
        <f>Numbers!A136&amp;""</f>
        <v>150000000</v>
      </c>
    </row>
    <row r="137" spans="1:1" x14ac:dyDescent="0.35">
      <c r="A137" t="str">
        <f>Numbers!A137&amp;""</f>
        <v>1500000000</v>
      </c>
    </row>
    <row r="138" spans="1:1" x14ac:dyDescent="0.35">
      <c r="A138" t="str">
        <f>Numbers!A138&amp;""</f>
        <v>15000000000</v>
      </c>
    </row>
    <row r="139" spans="1:1" x14ac:dyDescent="0.35">
      <c r="A139" t="str">
        <f>Numbers!A139&amp;""</f>
        <v>150000000000</v>
      </c>
    </row>
    <row r="140" spans="1:1" x14ac:dyDescent="0.35">
      <c r="A140" t="str">
        <f>Numbers!A140&amp;""</f>
        <v>1500000000000</v>
      </c>
    </row>
    <row r="141" spans="1:1" x14ac:dyDescent="0.35">
      <c r="A141" t="str">
        <f>Numbers!A141&amp;""</f>
        <v>15000000000000</v>
      </c>
    </row>
    <row r="142" spans="1:1" x14ac:dyDescent="0.35">
      <c r="A142" t="str">
        <f>Numbers!A142&amp;""</f>
        <v>150000000000000</v>
      </c>
    </row>
    <row r="143" spans="1:1" x14ac:dyDescent="0.35">
      <c r="A143" t="str">
        <f>Numbers!A143&amp;""</f>
        <v>1500000000000000</v>
      </c>
    </row>
    <row r="144" spans="1:1" x14ac:dyDescent="0.35">
      <c r="A144" t="str">
        <f>Numbers!A144&amp;""</f>
        <v>15000000000000000</v>
      </c>
    </row>
    <row r="145" spans="1:1" x14ac:dyDescent="0.35">
      <c r="A145" t="str">
        <f>Numbers!A145&amp;""</f>
        <v>150000000000000000</v>
      </c>
    </row>
    <row r="146" spans="1:1" x14ac:dyDescent="0.35">
      <c r="A146" t="str">
        <f>Numbers!A146&amp;""</f>
        <v>1500000000000000000</v>
      </c>
    </row>
    <row r="147" spans="1:1" x14ac:dyDescent="0.35">
      <c r="A147" t="str">
        <f>Numbers!A147&amp;""</f>
        <v>15000000000000000000</v>
      </c>
    </row>
    <row r="148" spans="1:1" x14ac:dyDescent="0.35">
      <c r="A148" t="str">
        <f>Numbers!A148&amp;""</f>
        <v>1.5E+20</v>
      </c>
    </row>
    <row r="149" spans="1:1" x14ac:dyDescent="0.35">
      <c r="A149" t="str">
        <f>Numbers!A149&amp;""</f>
        <v>1.5E+21</v>
      </c>
    </row>
    <row r="150" spans="1:1" x14ac:dyDescent="0.35">
      <c r="A150" t="str">
        <f>Numbers!A150&amp;""</f>
        <v>1.5E+22</v>
      </c>
    </row>
    <row r="151" spans="1:1" x14ac:dyDescent="0.35">
      <c r="A151" t="str">
        <f>Numbers!A151&amp;""</f>
        <v>1.23456789012346E-12</v>
      </c>
    </row>
    <row r="152" spans="1:1" x14ac:dyDescent="0.35">
      <c r="A152" t="str">
        <f>Numbers!A152&amp;""</f>
        <v>1.23456789012346E-11</v>
      </c>
    </row>
    <row r="153" spans="1:1" x14ac:dyDescent="0.35">
      <c r="A153" t="str">
        <f>Numbers!A153&amp;""</f>
        <v>1.23456789012346E-10</v>
      </c>
    </row>
    <row r="154" spans="1:1" x14ac:dyDescent="0.35">
      <c r="A154" t="str">
        <f>Numbers!A154&amp;""</f>
        <v>1.23456789012346E-09</v>
      </c>
    </row>
    <row r="155" spans="1:1" x14ac:dyDescent="0.35">
      <c r="A155" t="str">
        <f>Numbers!A155&amp;""</f>
        <v>1.23456789012346E-08</v>
      </c>
    </row>
    <row r="156" spans="1:1" x14ac:dyDescent="0.35">
      <c r="A156" t="str">
        <f>Numbers!A156&amp;""</f>
        <v>1.23456789012346E-07</v>
      </c>
    </row>
    <row r="157" spans="1:1" x14ac:dyDescent="0.35">
      <c r="A157" t="str">
        <f>Numbers!A157&amp;""</f>
        <v>1.23456789012346E-06</v>
      </c>
    </row>
    <row r="158" spans="1:1" x14ac:dyDescent="0.35">
      <c r="A158" t="str">
        <f>Numbers!A158&amp;""</f>
        <v>0.000123456789012346</v>
      </c>
    </row>
    <row r="159" spans="1:1" x14ac:dyDescent="0.35">
      <c r="A159" t="str">
        <f>Numbers!A159&amp;""</f>
        <v>0.00123456789012346</v>
      </c>
    </row>
    <row r="160" spans="1:1" x14ac:dyDescent="0.35">
      <c r="A160" t="str">
        <f>Numbers!A160&amp;""</f>
        <v>0.0123456789012346</v>
      </c>
    </row>
    <row r="161" spans="1:1" x14ac:dyDescent="0.35">
      <c r="A161" t="str">
        <f>Numbers!A161&amp;""</f>
        <v>0.123456789012346</v>
      </c>
    </row>
    <row r="162" spans="1:1" x14ac:dyDescent="0.35">
      <c r="A162" t="str">
        <f>Numbers!A162&amp;""</f>
        <v>1.23456789012346</v>
      </c>
    </row>
    <row r="163" spans="1:1" x14ac:dyDescent="0.35">
      <c r="A163" t="str">
        <f>Numbers!A163&amp;""</f>
        <v>12.3456789012346</v>
      </c>
    </row>
    <row r="164" spans="1:1" x14ac:dyDescent="0.35">
      <c r="A164" t="str">
        <f>Numbers!A164&amp;""</f>
        <v>123.456789012346</v>
      </c>
    </row>
    <row r="165" spans="1:1" x14ac:dyDescent="0.35">
      <c r="A165" t="str">
        <f>Numbers!A165&amp;""</f>
        <v>1234.56789012346</v>
      </c>
    </row>
    <row r="166" spans="1:1" x14ac:dyDescent="0.35">
      <c r="A166" t="str">
        <f>Numbers!A166&amp;""</f>
        <v>12345.6789012346</v>
      </c>
    </row>
    <row r="167" spans="1:1" x14ac:dyDescent="0.35">
      <c r="A167" t="str">
        <f>Numbers!A167&amp;""</f>
        <v>123456.789012346</v>
      </c>
    </row>
    <row r="168" spans="1:1" x14ac:dyDescent="0.35">
      <c r="A168" t="str">
        <f>Numbers!A168&amp;""</f>
        <v>1234567.89012346</v>
      </c>
    </row>
    <row r="169" spans="1:1" x14ac:dyDescent="0.35">
      <c r="A169" t="str">
        <f>Numbers!A169&amp;""</f>
        <v>12345678.9012346</v>
      </c>
    </row>
    <row r="170" spans="1:1" x14ac:dyDescent="0.35">
      <c r="A170" t="str">
        <f>Numbers!A170&amp;""</f>
        <v>123456789.012346</v>
      </c>
    </row>
    <row r="171" spans="1:1" x14ac:dyDescent="0.35">
      <c r="A171" t="str">
        <f>Numbers!A171&amp;""</f>
        <v>1234567890.12346</v>
      </c>
    </row>
    <row r="172" spans="1:1" x14ac:dyDescent="0.35">
      <c r="A172" t="str">
        <f>Numbers!A172&amp;""</f>
        <v>12345678901.2346</v>
      </c>
    </row>
    <row r="173" spans="1:1" x14ac:dyDescent="0.35">
      <c r="A173" t="str">
        <f>Numbers!A173&amp;""</f>
        <v>123456789012.346</v>
      </c>
    </row>
    <row r="174" spans="1:1" x14ac:dyDescent="0.35">
      <c r="A174" t="str">
        <f>Numbers!A174&amp;""</f>
        <v>1234567890123.46</v>
      </c>
    </row>
    <row r="175" spans="1:1" x14ac:dyDescent="0.35">
      <c r="A175" t="str">
        <f>Numbers!A175&amp;""</f>
        <v>12345678901234.6</v>
      </c>
    </row>
    <row r="176" spans="1:1" x14ac:dyDescent="0.35">
      <c r="A176" t="str">
        <f>Numbers!A176&amp;""</f>
        <v>123456789012346</v>
      </c>
    </row>
    <row r="177" spans="1:1" x14ac:dyDescent="0.35">
      <c r="A177" t="str">
        <f>Numbers!A177&amp;""</f>
        <v>1234567890123460</v>
      </c>
    </row>
    <row r="178" spans="1:1" x14ac:dyDescent="0.35">
      <c r="A178" t="str">
        <f>Numbers!A178&amp;""</f>
        <v>12345678901234600</v>
      </c>
    </row>
    <row r="179" spans="1:1" x14ac:dyDescent="0.35">
      <c r="A179" t="str">
        <f>Numbers!A179&amp;""</f>
        <v>123456789012346000</v>
      </c>
    </row>
    <row r="180" spans="1:1" x14ac:dyDescent="0.35">
      <c r="A180" t="str">
        <f>Numbers!A180&amp;""</f>
        <v>1234567890123460000</v>
      </c>
    </row>
    <row r="181" spans="1:1" x14ac:dyDescent="0.35">
      <c r="A181" t="str">
        <f>Numbers!A181&amp;""</f>
        <v>12345678901234600000</v>
      </c>
    </row>
    <row r="182" spans="1:1" x14ac:dyDescent="0.35">
      <c r="A182" t="str">
        <f>Numbers!A182&amp;""</f>
        <v>1.23456789012346E+20</v>
      </c>
    </row>
    <row r="183" spans="1:1" x14ac:dyDescent="0.35">
      <c r="A183" t="str">
        <f>Numbers!A183&amp;""</f>
        <v>1.23456789012346E+21</v>
      </c>
    </row>
    <row r="184" spans="1:1" x14ac:dyDescent="0.35">
      <c r="A184" t="str">
        <f>Numbers!A184&amp;""</f>
        <v>1.23456789012346E+22</v>
      </c>
    </row>
    <row r="185" spans="1:1" x14ac:dyDescent="0.35">
      <c r="A185" t="str">
        <f>Numbers!A185&amp;""</f>
        <v>-0.3</v>
      </c>
    </row>
    <row r="186" spans="1:1" x14ac:dyDescent="0.35">
      <c r="A186" t="str">
        <f>Numbers!A186&amp;""</f>
        <v>-0.00001</v>
      </c>
    </row>
    <row r="187" spans="1:1" x14ac:dyDescent="0.35">
      <c r="A187" t="str">
        <f>Numbers!A187&amp;""</f>
        <v>-1500000000000000</v>
      </c>
    </row>
    <row r="188" spans="1:1" x14ac:dyDescent="0.35">
      <c r="A188" t="str">
        <f>Numbers!A188&amp;""</f>
        <v>-1E+20</v>
      </c>
    </row>
    <row r="189" spans="1:1" x14ac:dyDescent="0.35">
      <c r="A189" t="str">
        <f>Numbers!A189&amp;""</f>
        <v>-1E-20</v>
      </c>
    </row>
    <row r="190" spans="1:1" x14ac:dyDescent="0.35">
      <c r="A190" t="str">
        <f>Numbers!A190&amp;""</f>
        <v>-123.456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FA4B-D67B-45DD-A7CC-5D73D1A17D0A}">
  <dimension ref="A1:A190"/>
  <sheetViews>
    <sheetView workbookViewId="0"/>
  </sheetViews>
  <sheetFormatPr defaultRowHeight="14.5" x14ac:dyDescent="0.35"/>
  <sheetData>
    <row r="1" spans="1:1" x14ac:dyDescent="0.35">
      <c r="A1" t="str">
        <f>TEXT(Numbers!A1,"General")</f>
        <v>0</v>
      </c>
    </row>
    <row r="2" spans="1:1" x14ac:dyDescent="0.35">
      <c r="A2" t="str">
        <f>TEXT(Numbers!A2,"General")</f>
        <v>1</v>
      </c>
    </row>
    <row r="3" spans="1:1" x14ac:dyDescent="0.35">
      <c r="A3" t="str">
        <f>TEXT(Numbers!A3,"General")</f>
        <v>-1</v>
      </c>
    </row>
    <row r="4" spans="1:1" x14ac:dyDescent="0.35">
      <c r="A4" t="str">
        <f>TEXT(Numbers!A4,"General")</f>
        <v>0.5</v>
      </c>
    </row>
    <row r="5" spans="1:1" x14ac:dyDescent="0.35">
      <c r="A5" t="str">
        <f>TEXT(Numbers!A5,"General")</f>
        <v>1.5</v>
      </c>
    </row>
    <row r="6" spans="1:1" x14ac:dyDescent="0.35">
      <c r="A6" t="str">
        <f>TEXT(Numbers!A6,"General")</f>
        <v>2.5</v>
      </c>
    </row>
    <row r="7" spans="1:1" x14ac:dyDescent="0.35">
      <c r="A7" t="str">
        <f>TEXT(Numbers!A7,"General")</f>
        <v>-2.5</v>
      </c>
    </row>
    <row r="8" spans="1:1" x14ac:dyDescent="0.35">
      <c r="A8" t="str">
        <f>TEXT(Numbers!A8,"General")</f>
        <v>0.1</v>
      </c>
    </row>
    <row r="9" spans="1:1" x14ac:dyDescent="0.35">
      <c r="A9" t="str">
        <f>TEXT(Numbers!A9,"General")</f>
        <v>0.2</v>
      </c>
    </row>
    <row r="10" spans="1:1" x14ac:dyDescent="0.35">
      <c r="A10" t="str">
        <f>TEXT(Numbers!A10,"General")</f>
        <v>0.3</v>
      </c>
    </row>
    <row r="11" spans="1:1" x14ac:dyDescent="0.35">
      <c r="A11" t="str">
        <f>TEXT(Numbers!A11,"General")</f>
        <v>0.3</v>
      </c>
    </row>
    <row r="12" spans="1:1" x14ac:dyDescent="0.35">
      <c r="A12" t="str">
        <f>TEXT(Numbers!A12,"General")</f>
        <v>0.333333333</v>
      </c>
    </row>
    <row r="13" spans="1:1" x14ac:dyDescent="0.35">
      <c r="A13" t="str">
        <f>TEXT(Numbers!A13,"General")</f>
        <v>0.666666667</v>
      </c>
    </row>
    <row r="14" spans="1:1" x14ac:dyDescent="0.35">
      <c r="A14" t="str">
        <f>TEXT(Numbers!A14,"General")</f>
        <v>-0.333333333</v>
      </c>
    </row>
    <row r="15" spans="1:1" x14ac:dyDescent="0.35">
      <c r="A15" t="str">
        <f>TEXT(Numbers!A15,"General")</f>
        <v>0.142857143</v>
      </c>
    </row>
    <row r="16" spans="1:1" x14ac:dyDescent="0.35">
      <c r="A16" t="str">
        <f>TEXT(Numbers!A16,"General")</f>
        <v>3.141592654</v>
      </c>
    </row>
    <row r="17" spans="1:1" x14ac:dyDescent="0.35">
      <c r="A17" t="str">
        <f>TEXT(Numbers!A17,"General")</f>
        <v>2.718281828</v>
      </c>
    </row>
    <row r="18" spans="1:1" x14ac:dyDescent="0.35">
      <c r="A18" t="str">
        <f>TEXT(Numbers!A18,"General")</f>
        <v>1.414213562</v>
      </c>
    </row>
    <row r="19" spans="1:1" x14ac:dyDescent="0.35">
      <c r="A19" t="str">
        <f>TEXT(Numbers!A19,"General")</f>
        <v>1.23457E+14</v>
      </c>
    </row>
    <row r="20" spans="1:1" x14ac:dyDescent="0.35">
      <c r="A20" t="str">
        <f>TEXT(Numbers!A20,"General")</f>
        <v>1.23457E+15</v>
      </c>
    </row>
    <row r="21" spans="1:1" x14ac:dyDescent="0.35">
      <c r="A21" t="str">
        <f>TEXT(Numbers!A21,"General")</f>
        <v>1.23457E+16</v>
      </c>
    </row>
    <row r="22" spans="1:1" x14ac:dyDescent="0.35">
      <c r="A22" t="str">
        <f>TEXT(Numbers!A22,"General")</f>
        <v>1E+15</v>
      </c>
    </row>
    <row r="23" spans="1:1" x14ac:dyDescent="0.35">
      <c r="A23" t="str">
        <f>TEXT(Numbers!A23,"General")</f>
        <v>1E+16</v>
      </c>
    </row>
    <row r="24" spans="1:1" x14ac:dyDescent="0.35">
      <c r="A24" t="str">
        <f>TEXT(Numbers!A24,"General")</f>
        <v>1E+14</v>
      </c>
    </row>
    <row r="25" spans="1:1" x14ac:dyDescent="0.35">
      <c r="A25" t="str">
        <f>TEXT(Numbers!A25,"General")</f>
        <v>0.123456789</v>
      </c>
    </row>
    <row r="26" spans="1:1" x14ac:dyDescent="0.35">
      <c r="A26" t="str">
        <f>TEXT(Numbers!A26,"General")</f>
        <v>1.23457E-05</v>
      </c>
    </row>
    <row r="27" spans="1:1" x14ac:dyDescent="0.35">
      <c r="A27" t="str">
        <f>TEXT(Numbers!A27,"General")</f>
        <v>9.0072E+15</v>
      </c>
    </row>
    <row r="28" spans="1:1" x14ac:dyDescent="0.35">
      <c r="A28" t="str">
        <f>TEXT(Numbers!A28,"General")</f>
        <v>9.0072E+15</v>
      </c>
    </row>
    <row r="29" spans="1:1" x14ac:dyDescent="0.35">
      <c r="A29" t="str">
        <f>TEXT(Numbers!A29,"General")</f>
        <v>9.22337E+18</v>
      </c>
    </row>
    <row r="30" spans="1:1" x14ac:dyDescent="0.35">
      <c r="A30" t="str">
        <f>TEXT(Numbers!A30,"General")</f>
        <v>1.7977E+308</v>
      </c>
    </row>
    <row r="31" spans="1:1" x14ac:dyDescent="0.35">
      <c r="A31" t="str">
        <f>TEXT(Numbers!A31,"General")</f>
        <v>2.2251E-308</v>
      </c>
    </row>
    <row r="32" spans="1:1" x14ac:dyDescent="0.35">
      <c r="A32" t="str">
        <f>TEXT(Numbers!A32,"General")</f>
        <v>1E-307</v>
      </c>
    </row>
    <row r="33" spans="1:1" x14ac:dyDescent="0.35">
      <c r="A33" t="str">
        <f>TEXT(Numbers!A33,"General")</f>
        <v>1</v>
      </c>
    </row>
    <row r="34" spans="1:1" x14ac:dyDescent="0.35">
      <c r="A34" t="str">
        <f>TEXT(Numbers!A34,"General")</f>
        <v>10</v>
      </c>
    </row>
    <row r="35" spans="1:1" x14ac:dyDescent="0.35">
      <c r="A35" t="str">
        <f>TEXT(Numbers!A35,"General")</f>
        <v>0.95</v>
      </c>
    </row>
    <row r="36" spans="1:1" x14ac:dyDescent="0.35">
      <c r="A36" t="str">
        <f>TEXT(Numbers!A36,"General")</f>
        <v>0.995</v>
      </c>
    </row>
    <row r="37" spans="1:1" x14ac:dyDescent="0.35">
      <c r="A37" t="str">
        <f>TEXT(Numbers!A37,"General")</f>
        <v>0.9995</v>
      </c>
    </row>
    <row r="38" spans="1:1" x14ac:dyDescent="0.35">
      <c r="A38" t="str">
        <f>TEXT(Numbers!A38,"General")</f>
        <v>0.99995</v>
      </c>
    </row>
    <row r="39" spans="1:1" x14ac:dyDescent="0.35">
      <c r="A39" t="str">
        <f>TEXT(Numbers!A39,"General")</f>
        <v>0.999995</v>
      </c>
    </row>
    <row r="40" spans="1:1" x14ac:dyDescent="0.35">
      <c r="A40" t="str">
        <f>TEXT(Numbers!A40,"General")</f>
        <v>0.9999995</v>
      </c>
    </row>
    <row r="41" spans="1:1" x14ac:dyDescent="0.35">
      <c r="A41" t="str">
        <f>TEXT(Numbers!A41,"General")</f>
        <v>0.99999995</v>
      </c>
    </row>
    <row r="42" spans="1:1" x14ac:dyDescent="0.35">
      <c r="A42" t="str">
        <f>TEXT(Numbers!A42,"General")</f>
        <v>0.999999995</v>
      </c>
    </row>
    <row r="43" spans="1:1" x14ac:dyDescent="0.35">
      <c r="A43" t="str">
        <f>TEXT(Numbers!A43,"General")</f>
        <v>1</v>
      </c>
    </row>
    <row r="44" spans="1:1" x14ac:dyDescent="0.35">
      <c r="A44" t="str">
        <f>TEXT(Numbers!A44,"General")</f>
        <v>1</v>
      </c>
    </row>
    <row r="45" spans="1:1" x14ac:dyDescent="0.35">
      <c r="A45" t="str">
        <f>TEXT(Numbers!A45,"General")</f>
        <v>1</v>
      </c>
    </row>
    <row r="46" spans="1:1" x14ac:dyDescent="0.35">
      <c r="A46" t="str">
        <f>TEXT(Numbers!A46,"General")</f>
        <v>1</v>
      </c>
    </row>
    <row r="47" spans="1:1" x14ac:dyDescent="0.35">
      <c r="A47" t="str">
        <f>TEXT(Numbers!A47,"General")</f>
        <v>1.23456789</v>
      </c>
    </row>
    <row r="48" spans="1:1" x14ac:dyDescent="0.35">
      <c r="A48" t="str">
        <f>TEXT(Numbers!A48,"General")</f>
        <v>1.23456789</v>
      </c>
    </row>
    <row r="49" spans="1:1" x14ac:dyDescent="0.35">
      <c r="A49" t="str">
        <f>TEXT(Numbers!A49,"General")</f>
        <v>123456.789</v>
      </c>
    </row>
    <row r="50" spans="1:1" x14ac:dyDescent="0.35">
      <c r="A50" t="str">
        <f>TEXT(Numbers!A50,"General")</f>
        <v>0.000123457</v>
      </c>
    </row>
    <row r="51" spans="1:1" x14ac:dyDescent="0.35">
      <c r="A51" t="str">
        <f>TEXT(Numbers!A51,"General")</f>
        <v>0.000123457</v>
      </c>
    </row>
    <row r="52" spans="1:1" x14ac:dyDescent="0.35">
      <c r="A52" t="str">
        <f>TEXT(Numbers!A52,"General")</f>
        <v>1E+21</v>
      </c>
    </row>
    <row r="53" spans="1:1" x14ac:dyDescent="0.35">
      <c r="A53" t="str">
        <f>TEXT(Numbers!A53,"General")</f>
        <v>1E+21</v>
      </c>
    </row>
    <row r="54" spans="1:1" x14ac:dyDescent="0.35">
      <c r="A54" t="str">
        <f>TEXT(Numbers!A54,"General")</f>
        <v>1E+20</v>
      </c>
    </row>
    <row r="55" spans="1:1" x14ac:dyDescent="0.35">
      <c r="A55" t="str">
        <f>TEXT(Numbers!A55,"General")</f>
        <v>0</v>
      </c>
    </row>
    <row r="56" spans="1:1" x14ac:dyDescent="0.35">
      <c r="A56" t="str">
        <f>TEXT(Numbers!A56,"General")</f>
        <v>0</v>
      </c>
    </row>
    <row r="57" spans="1:1" x14ac:dyDescent="0.35">
      <c r="A57" t="str">
        <f>TEXT(Numbers!A57,"General")</f>
        <v>100</v>
      </c>
    </row>
    <row r="58" spans="1:1" x14ac:dyDescent="0.35">
      <c r="A58" t="str">
        <f>TEXT(Numbers!A58,"General")</f>
        <v>1000000</v>
      </c>
    </row>
    <row r="59" spans="1:1" x14ac:dyDescent="0.35">
      <c r="A59" t="str">
        <f>TEXT(Numbers!A59,"General")</f>
        <v>0.001</v>
      </c>
    </row>
    <row r="60" spans="1:1" x14ac:dyDescent="0.35">
      <c r="A60" t="str">
        <f>TEXT(Numbers!A60,"General")</f>
        <v>0.0001</v>
      </c>
    </row>
    <row r="61" spans="1:1" x14ac:dyDescent="0.35">
      <c r="A61" t="str">
        <f>TEXT(Numbers!A61,"General")</f>
        <v>12345678901</v>
      </c>
    </row>
    <row r="62" spans="1:1" x14ac:dyDescent="0.35">
      <c r="A62" t="str">
        <f>TEXT(Numbers!A62,"General")</f>
        <v>1.23457E+11</v>
      </c>
    </row>
    <row r="63" spans="1:1" x14ac:dyDescent="0.35">
      <c r="A63" t="str">
        <f>TEXT(Numbers!A63,"General")</f>
        <v>1.23457E+12</v>
      </c>
    </row>
    <row r="64" spans="1:1" x14ac:dyDescent="0.35">
      <c r="A64" t="str">
        <f>TEXT(Numbers!A64,"General")</f>
        <v>0.00001</v>
      </c>
    </row>
    <row r="65" spans="1:1" x14ac:dyDescent="0.35">
      <c r="A65" t="str">
        <f>TEXT(Numbers!A65,"General")</f>
        <v>0.000001</v>
      </c>
    </row>
    <row r="66" spans="1:1" x14ac:dyDescent="0.35">
      <c r="A66" t="str">
        <f>TEXT(Numbers!A66,"General")</f>
        <v>0.0000001</v>
      </c>
    </row>
    <row r="67" spans="1:1" x14ac:dyDescent="0.35">
      <c r="A67" t="str">
        <f>TEXT(Numbers!A67,"General")</f>
        <v>0.00000015</v>
      </c>
    </row>
    <row r="68" spans="1:1" x14ac:dyDescent="0.35">
      <c r="A68" t="str">
        <f>TEXT(Numbers!A68,"General")</f>
        <v>1E-30</v>
      </c>
    </row>
    <row r="69" spans="1:1" x14ac:dyDescent="0.35">
      <c r="A69" t="str">
        <f>TEXT(Numbers!A69,"General")</f>
        <v>1E-29</v>
      </c>
    </row>
    <row r="70" spans="1:1" x14ac:dyDescent="0.35">
      <c r="A70" t="str">
        <f>TEXT(Numbers!A70,"General")</f>
        <v>1E-28</v>
      </c>
    </row>
    <row r="71" spans="1:1" x14ac:dyDescent="0.35">
      <c r="A71" t="str">
        <f>TEXT(Numbers!A71,"General")</f>
        <v>1E-27</v>
      </c>
    </row>
    <row r="72" spans="1:1" x14ac:dyDescent="0.35">
      <c r="A72" t="str">
        <f>TEXT(Numbers!A72,"General")</f>
        <v>1E-26</v>
      </c>
    </row>
    <row r="73" spans="1:1" x14ac:dyDescent="0.35">
      <c r="A73" t="str">
        <f>TEXT(Numbers!A73,"General")</f>
        <v>1E-25</v>
      </c>
    </row>
    <row r="74" spans="1:1" x14ac:dyDescent="0.35">
      <c r="A74" t="str">
        <f>TEXT(Numbers!A74,"General")</f>
        <v>1E-24</v>
      </c>
    </row>
    <row r="75" spans="1:1" x14ac:dyDescent="0.35">
      <c r="A75" t="str">
        <f>TEXT(Numbers!A75,"General")</f>
        <v>1E-23</v>
      </c>
    </row>
    <row r="76" spans="1:1" x14ac:dyDescent="0.35">
      <c r="A76" t="str">
        <f>TEXT(Numbers!A76,"General")</f>
        <v>1E-22</v>
      </c>
    </row>
    <row r="77" spans="1:1" x14ac:dyDescent="0.35">
      <c r="A77" t="str">
        <f>TEXT(Numbers!A77,"General")</f>
        <v>1E-21</v>
      </c>
    </row>
    <row r="78" spans="1:1" x14ac:dyDescent="0.35">
      <c r="A78" t="str">
        <f>TEXT(Numbers!A78,"General")</f>
        <v>1E-20</v>
      </c>
    </row>
    <row r="79" spans="1:1" x14ac:dyDescent="0.35">
      <c r="A79" t="str">
        <f>TEXT(Numbers!A79,"General")</f>
        <v>1E-19</v>
      </c>
    </row>
    <row r="80" spans="1:1" x14ac:dyDescent="0.35">
      <c r="A80" t="str">
        <f>TEXT(Numbers!A80,"General")</f>
        <v>1E-18</v>
      </c>
    </row>
    <row r="81" spans="1:1" x14ac:dyDescent="0.35">
      <c r="A81" t="str">
        <f>TEXT(Numbers!A81,"General")</f>
        <v>1E-17</v>
      </c>
    </row>
    <row r="82" spans="1:1" x14ac:dyDescent="0.35">
      <c r="A82" t="str">
        <f>TEXT(Numbers!A82,"General")</f>
        <v>1E-16</v>
      </c>
    </row>
    <row r="83" spans="1:1" x14ac:dyDescent="0.35">
      <c r="A83" t="str">
        <f>TEXT(Numbers!A83,"General")</f>
        <v>1E-15</v>
      </c>
    </row>
    <row r="84" spans="1:1" x14ac:dyDescent="0.35">
      <c r="A84" t="str">
        <f>TEXT(Numbers!A84,"General")</f>
        <v>1E-14</v>
      </c>
    </row>
    <row r="85" spans="1:1" x14ac:dyDescent="0.35">
      <c r="A85" t="str">
        <f>TEXT(Numbers!A85,"General")</f>
        <v>1E-13</v>
      </c>
    </row>
    <row r="86" spans="1:1" x14ac:dyDescent="0.35">
      <c r="A86" t="str">
        <f>TEXT(Numbers!A86,"General")</f>
        <v>1E-12</v>
      </c>
    </row>
    <row r="87" spans="1:1" x14ac:dyDescent="0.35">
      <c r="A87" t="str">
        <f>TEXT(Numbers!A87,"General")</f>
        <v>1E-11</v>
      </c>
    </row>
    <row r="88" spans="1:1" x14ac:dyDescent="0.35">
      <c r="A88" t="str">
        <f>TEXT(Numbers!A88,"General")</f>
        <v>1E-10</v>
      </c>
    </row>
    <row r="89" spans="1:1" x14ac:dyDescent="0.35">
      <c r="A89" t="str">
        <f>TEXT(Numbers!A89,"General")</f>
        <v>0.000000001</v>
      </c>
    </row>
    <row r="90" spans="1:1" x14ac:dyDescent="0.35">
      <c r="A90" t="str">
        <f>TEXT(Numbers!A90,"General")</f>
        <v>0.00000001</v>
      </c>
    </row>
    <row r="91" spans="1:1" x14ac:dyDescent="0.35">
      <c r="A91" t="str">
        <f>TEXT(Numbers!A91,"General")</f>
        <v>0.01</v>
      </c>
    </row>
    <row r="92" spans="1:1" x14ac:dyDescent="0.35">
      <c r="A92" t="str">
        <f>TEXT(Numbers!A92,"General")</f>
        <v>1000</v>
      </c>
    </row>
    <row r="93" spans="1:1" x14ac:dyDescent="0.35">
      <c r="A93" t="str">
        <f>TEXT(Numbers!A93,"General")</f>
        <v>10000</v>
      </c>
    </row>
    <row r="94" spans="1:1" x14ac:dyDescent="0.35">
      <c r="A94" t="str">
        <f>TEXT(Numbers!A94,"General")</f>
        <v>100000</v>
      </c>
    </row>
    <row r="95" spans="1:1" x14ac:dyDescent="0.35">
      <c r="A95" t="str">
        <f>TEXT(Numbers!A95,"General")</f>
        <v>10000000</v>
      </c>
    </row>
    <row r="96" spans="1:1" x14ac:dyDescent="0.35">
      <c r="A96" t="str">
        <f>TEXT(Numbers!A96,"General")</f>
        <v>100000000</v>
      </c>
    </row>
    <row r="97" spans="1:1" x14ac:dyDescent="0.35">
      <c r="A97" t="str">
        <f>TEXT(Numbers!A97,"General")</f>
        <v>1000000000</v>
      </c>
    </row>
    <row r="98" spans="1:1" x14ac:dyDescent="0.35">
      <c r="A98" t="str">
        <f>TEXT(Numbers!A98,"General")</f>
        <v>10000000000</v>
      </c>
    </row>
    <row r="99" spans="1:1" x14ac:dyDescent="0.35">
      <c r="A99" t="str">
        <f>TEXT(Numbers!A99,"General")</f>
        <v>1E+11</v>
      </c>
    </row>
    <row r="100" spans="1:1" x14ac:dyDescent="0.35">
      <c r="A100" t="str">
        <f>TEXT(Numbers!A100,"General")</f>
        <v>1E+12</v>
      </c>
    </row>
    <row r="101" spans="1:1" x14ac:dyDescent="0.35">
      <c r="A101" t="str">
        <f>TEXT(Numbers!A101,"General")</f>
        <v>1E+13</v>
      </c>
    </row>
    <row r="102" spans="1:1" x14ac:dyDescent="0.35">
      <c r="A102" t="str">
        <f>TEXT(Numbers!A102,"General")</f>
        <v>1E+14</v>
      </c>
    </row>
    <row r="103" spans="1:1" x14ac:dyDescent="0.35">
      <c r="A103" t="str">
        <f>TEXT(Numbers!A103,"General")</f>
        <v>1E+15</v>
      </c>
    </row>
    <row r="104" spans="1:1" x14ac:dyDescent="0.35">
      <c r="A104" t="str">
        <f>TEXT(Numbers!A104,"General")</f>
        <v>1E+16</v>
      </c>
    </row>
    <row r="105" spans="1:1" x14ac:dyDescent="0.35">
      <c r="A105" t="str">
        <f>TEXT(Numbers!A105,"General")</f>
        <v>1E+17</v>
      </c>
    </row>
    <row r="106" spans="1:1" x14ac:dyDescent="0.35">
      <c r="A106" t="str">
        <f>TEXT(Numbers!A106,"General")</f>
        <v>1E+18</v>
      </c>
    </row>
    <row r="107" spans="1:1" x14ac:dyDescent="0.35">
      <c r="A107" t="str">
        <f>TEXT(Numbers!A107,"General")</f>
        <v>1E+19</v>
      </c>
    </row>
    <row r="108" spans="1:1" x14ac:dyDescent="0.35">
      <c r="A108" t="str">
        <f>TEXT(Numbers!A108,"General")</f>
        <v>1E+20</v>
      </c>
    </row>
    <row r="109" spans="1:1" x14ac:dyDescent="0.35">
      <c r="A109" t="str">
        <f>TEXT(Numbers!A109,"General")</f>
        <v>1E+22</v>
      </c>
    </row>
    <row r="110" spans="1:1" x14ac:dyDescent="0.35">
      <c r="A110" t="str">
        <f>TEXT(Numbers!A110,"General")</f>
        <v>1E+23</v>
      </c>
    </row>
    <row r="111" spans="1:1" x14ac:dyDescent="0.35">
      <c r="A111" t="str">
        <f>TEXT(Numbers!A111,"General")</f>
        <v>1E+24</v>
      </c>
    </row>
    <row r="112" spans="1:1" x14ac:dyDescent="0.35">
      <c r="A112" t="str">
        <f>TEXT(Numbers!A112,"General")</f>
        <v>1E+25</v>
      </c>
    </row>
    <row r="113" spans="1:1" x14ac:dyDescent="0.35">
      <c r="A113" t="str">
        <f>TEXT(Numbers!A113,"General")</f>
        <v>1E+26</v>
      </c>
    </row>
    <row r="114" spans="1:1" x14ac:dyDescent="0.35">
      <c r="A114" t="str">
        <f>TEXT(Numbers!A114,"General")</f>
        <v>1E+27</v>
      </c>
    </row>
    <row r="115" spans="1:1" x14ac:dyDescent="0.35">
      <c r="A115" t="str">
        <f>TEXT(Numbers!A115,"General")</f>
        <v>1E+28</v>
      </c>
    </row>
    <row r="116" spans="1:1" x14ac:dyDescent="0.35">
      <c r="A116" t="str">
        <f>TEXT(Numbers!A116,"General")</f>
        <v>1E+29</v>
      </c>
    </row>
    <row r="117" spans="1:1" x14ac:dyDescent="0.35">
      <c r="A117" t="str">
        <f>TEXT(Numbers!A117,"General")</f>
        <v>1E+30</v>
      </c>
    </row>
    <row r="118" spans="1:1" x14ac:dyDescent="0.35">
      <c r="A118" t="str">
        <f>TEXT(Numbers!A118,"General")</f>
        <v>1.5E-12</v>
      </c>
    </row>
    <row r="119" spans="1:1" x14ac:dyDescent="0.35">
      <c r="A119" t="str">
        <f>TEXT(Numbers!A119,"General")</f>
        <v>1.5E-11</v>
      </c>
    </row>
    <row r="120" spans="1:1" x14ac:dyDescent="0.35">
      <c r="A120" t="str">
        <f>TEXT(Numbers!A120,"General")</f>
        <v>1.5E-10</v>
      </c>
    </row>
    <row r="121" spans="1:1" x14ac:dyDescent="0.35">
      <c r="A121" t="str">
        <f>TEXT(Numbers!A121,"General")</f>
        <v>1.5E-09</v>
      </c>
    </row>
    <row r="122" spans="1:1" x14ac:dyDescent="0.35">
      <c r="A122" t="str">
        <f>TEXT(Numbers!A122,"General")</f>
        <v>0.000000015</v>
      </c>
    </row>
    <row r="123" spans="1:1" x14ac:dyDescent="0.35">
      <c r="A123" t="str">
        <f>TEXT(Numbers!A123,"General")</f>
        <v>0.0000015</v>
      </c>
    </row>
    <row r="124" spans="1:1" x14ac:dyDescent="0.35">
      <c r="A124" t="str">
        <f>TEXT(Numbers!A124,"General")</f>
        <v>0.000015</v>
      </c>
    </row>
    <row r="125" spans="1:1" x14ac:dyDescent="0.35">
      <c r="A125" t="str">
        <f>TEXT(Numbers!A125,"General")</f>
        <v>0.00015</v>
      </c>
    </row>
    <row r="126" spans="1:1" x14ac:dyDescent="0.35">
      <c r="A126" t="str">
        <f>TEXT(Numbers!A126,"General")</f>
        <v>0.0015</v>
      </c>
    </row>
    <row r="127" spans="1:1" x14ac:dyDescent="0.35">
      <c r="A127" t="str">
        <f>TEXT(Numbers!A127,"General")</f>
        <v>0.015</v>
      </c>
    </row>
    <row r="128" spans="1:1" x14ac:dyDescent="0.35">
      <c r="A128" t="str">
        <f>TEXT(Numbers!A128,"General")</f>
        <v>0.15</v>
      </c>
    </row>
    <row r="129" spans="1:1" x14ac:dyDescent="0.35">
      <c r="A129" t="str">
        <f>TEXT(Numbers!A129,"General")</f>
        <v>15</v>
      </c>
    </row>
    <row r="130" spans="1:1" x14ac:dyDescent="0.35">
      <c r="A130" t="str">
        <f>TEXT(Numbers!A130,"General")</f>
        <v>150</v>
      </c>
    </row>
    <row r="131" spans="1:1" x14ac:dyDescent="0.35">
      <c r="A131" t="str">
        <f>TEXT(Numbers!A131,"General")</f>
        <v>1500</v>
      </c>
    </row>
    <row r="132" spans="1:1" x14ac:dyDescent="0.35">
      <c r="A132" t="str">
        <f>TEXT(Numbers!A132,"General")</f>
        <v>15000</v>
      </c>
    </row>
    <row r="133" spans="1:1" x14ac:dyDescent="0.35">
      <c r="A133" t="str">
        <f>TEXT(Numbers!A133,"General")</f>
        <v>150000</v>
      </c>
    </row>
    <row r="134" spans="1:1" x14ac:dyDescent="0.35">
      <c r="A134" t="str">
        <f>TEXT(Numbers!A134,"General")</f>
        <v>1500000</v>
      </c>
    </row>
    <row r="135" spans="1:1" x14ac:dyDescent="0.35">
      <c r="A135" t="str">
        <f>TEXT(Numbers!A135,"General")</f>
        <v>15000000</v>
      </c>
    </row>
    <row r="136" spans="1:1" x14ac:dyDescent="0.35">
      <c r="A136" t="str">
        <f>TEXT(Numbers!A136,"General")</f>
        <v>150000000</v>
      </c>
    </row>
    <row r="137" spans="1:1" x14ac:dyDescent="0.35">
      <c r="A137" t="str">
        <f>TEXT(Numbers!A137,"General")</f>
        <v>1500000000</v>
      </c>
    </row>
    <row r="138" spans="1:1" x14ac:dyDescent="0.35">
      <c r="A138" t="str">
        <f>TEXT(Numbers!A138,"General")</f>
        <v>15000000000</v>
      </c>
    </row>
    <row r="139" spans="1:1" x14ac:dyDescent="0.35">
      <c r="A139" t="str">
        <f>TEXT(Numbers!A139,"General")</f>
        <v>1.5E+11</v>
      </c>
    </row>
    <row r="140" spans="1:1" x14ac:dyDescent="0.35">
      <c r="A140" t="str">
        <f>TEXT(Numbers!A140,"General")</f>
        <v>1.5E+12</v>
      </c>
    </row>
    <row r="141" spans="1:1" x14ac:dyDescent="0.35">
      <c r="A141" t="str">
        <f>TEXT(Numbers!A141,"General")</f>
        <v>1.5E+13</v>
      </c>
    </row>
    <row r="142" spans="1:1" x14ac:dyDescent="0.35">
      <c r="A142" t="str">
        <f>TEXT(Numbers!A142,"General")</f>
        <v>1.5E+14</v>
      </c>
    </row>
    <row r="143" spans="1:1" x14ac:dyDescent="0.35">
      <c r="A143" t="str">
        <f>TEXT(Numbers!A143,"General")</f>
        <v>1.5E+15</v>
      </c>
    </row>
    <row r="144" spans="1:1" x14ac:dyDescent="0.35">
      <c r="A144" t="str">
        <f>TEXT(Numbers!A144,"General")</f>
        <v>1.5E+16</v>
      </c>
    </row>
    <row r="145" spans="1:1" x14ac:dyDescent="0.35">
      <c r="A145" t="str">
        <f>TEXT(Numbers!A145,"General")</f>
        <v>1.5E+17</v>
      </c>
    </row>
    <row r="146" spans="1:1" x14ac:dyDescent="0.35">
      <c r="A146" t="str">
        <f>TEXT(Numbers!A146,"General")</f>
        <v>1.5E+18</v>
      </c>
    </row>
    <row r="147" spans="1:1" x14ac:dyDescent="0.35">
      <c r="A147" t="str">
        <f>TEXT(Numbers!A147,"General")</f>
        <v>1.5E+19</v>
      </c>
    </row>
    <row r="148" spans="1:1" x14ac:dyDescent="0.35">
      <c r="A148" t="str">
        <f>TEXT(Numbers!A148,"General")</f>
        <v>1.5E+20</v>
      </c>
    </row>
    <row r="149" spans="1:1" x14ac:dyDescent="0.35">
      <c r="A149" t="str">
        <f>TEXT(Numbers!A149,"General")</f>
        <v>1.5E+21</v>
      </c>
    </row>
    <row r="150" spans="1:1" x14ac:dyDescent="0.35">
      <c r="A150" t="str">
        <f>TEXT(Numbers!A150,"General")</f>
        <v>1.5E+22</v>
      </c>
    </row>
    <row r="151" spans="1:1" x14ac:dyDescent="0.35">
      <c r="A151" t="str">
        <f>TEXT(Numbers!A151,"General")</f>
        <v>1.23457E-12</v>
      </c>
    </row>
    <row r="152" spans="1:1" x14ac:dyDescent="0.35">
      <c r="A152" t="str">
        <f>TEXT(Numbers!A152,"General")</f>
        <v>1.23457E-11</v>
      </c>
    </row>
    <row r="153" spans="1:1" x14ac:dyDescent="0.35">
      <c r="A153" t="str">
        <f>TEXT(Numbers!A153,"General")</f>
        <v>1.23457E-10</v>
      </c>
    </row>
    <row r="154" spans="1:1" x14ac:dyDescent="0.35">
      <c r="A154" t="str">
        <f>TEXT(Numbers!A154,"General")</f>
        <v>1.23457E-09</v>
      </c>
    </row>
    <row r="155" spans="1:1" x14ac:dyDescent="0.35">
      <c r="A155" t="str">
        <f>TEXT(Numbers!A155,"General")</f>
        <v>1.23457E-08</v>
      </c>
    </row>
    <row r="156" spans="1:1" x14ac:dyDescent="0.35">
      <c r="A156" t="str">
        <f>TEXT(Numbers!A156,"General")</f>
        <v>1.23457E-07</v>
      </c>
    </row>
    <row r="157" spans="1:1" x14ac:dyDescent="0.35">
      <c r="A157" t="str">
        <f>TEXT(Numbers!A157,"General")</f>
        <v>1.23457E-06</v>
      </c>
    </row>
    <row r="158" spans="1:1" x14ac:dyDescent="0.35">
      <c r="A158" t="str">
        <f>TEXT(Numbers!A158,"General")</f>
        <v>0.000123457</v>
      </c>
    </row>
    <row r="159" spans="1:1" x14ac:dyDescent="0.35">
      <c r="A159" t="str">
        <f>TEXT(Numbers!A159,"General")</f>
        <v>0.001234568</v>
      </c>
    </row>
    <row r="160" spans="1:1" x14ac:dyDescent="0.35">
      <c r="A160" t="str">
        <f>TEXT(Numbers!A160,"General")</f>
        <v>0.012345679</v>
      </c>
    </row>
    <row r="161" spans="1:1" x14ac:dyDescent="0.35">
      <c r="A161" t="str">
        <f>TEXT(Numbers!A161,"General")</f>
        <v>0.123456789</v>
      </c>
    </row>
    <row r="162" spans="1:1" x14ac:dyDescent="0.35">
      <c r="A162" t="str">
        <f>TEXT(Numbers!A162,"General")</f>
        <v>1.23456789</v>
      </c>
    </row>
    <row r="163" spans="1:1" x14ac:dyDescent="0.35">
      <c r="A163" t="str">
        <f>TEXT(Numbers!A163,"General")</f>
        <v>12.3456789</v>
      </c>
    </row>
    <row r="164" spans="1:1" x14ac:dyDescent="0.35">
      <c r="A164" t="str">
        <f>TEXT(Numbers!A164,"General")</f>
        <v>123.456789</v>
      </c>
    </row>
    <row r="165" spans="1:1" x14ac:dyDescent="0.35">
      <c r="A165" t="str">
        <f>TEXT(Numbers!A165,"General")</f>
        <v>1234.56789</v>
      </c>
    </row>
    <row r="166" spans="1:1" x14ac:dyDescent="0.35">
      <c r="A166" t="str">
        <f>TEXT(Numbers!A166,"General")</f>
        <v>12345.6789</v>
      </c>
    </row>
    <row r="167" spans="1:1" x14ac:dyDescent="0.35">
      <c r="A167" t="str">
        <f>TEXT(Numbers!A167,"General")</f>
        <v>123456.789</v>
      </c>
    </row>
    <row r="168" spans="1:1" x14ac:dyDescent="0.35">
      <c r="A168" t="str">
        <f>TEXT(Numbers!A168,"General")</f>
        <v>1234567.89</v>
      </c>
    </row>
    <row r="169" spans="1:1" x14ac:dyDescent="0.35">
      <c r="A169" t="str">
        <f>TEXT(Numbers!A169,"General")</f>
        <v>12345678.9</v>
      </c>
    </row>
    <row r="170" spans="1:1" x14ac:dyDescent="0.35">
      <c r="A170" t="str">
        <f>TEXT(Numbers!A170,"General")</f>
        <v>123456789</v>
      </c>
    </row>
    <row r="171" spans="1:1" x14ac:dyDescent="0.35">
      <c r="A171" t="str">
        <f>TEXT(Numbers!A171,"General")</f>
        <v>1234567890</v>
      </c>
    </row>
    <row r="172" spans="1:1" x14ac:dyDescent="0.35">
      <c r="A172" t="str">
        <f>TEXT(Numbers!A172,"General")</f>
        <v>12345678901</v>
      </c>
    </row>
    <row r="173" spans="1:1" x14ac:dyDescent="0.35">
      <c r="A173" t="str">
        <f>TEXT(Numbers!A173,"General")</f>
        <v>1.23457E+11</v>
      </c>
    </row>
    <row r="174" spans="1:1" x14ac:dyDescent="0.35">
      <c r="A174" t="str">
        <f>TEXT(Numbers!A174,"General")</f>
        <v>1.23457E+12</v>
      </c>
    </row>
    <row r="175" spans="1:1" x14ac:dyDescent="0.35">
      <c r="A175" t="str">
        <f>TEXT(Numbers!A175,"General")</f>
        <v>1.23457E+13</v>
      </c>
    </row>
    <row r="176" spans="1:1" x14ac:dyDescent="0.35">
      <c r="A176" t="str">
        <f>TEXT(Numbers!A176,"General")</f>
        <v>1.23457E+14</v>
      </c>
    </row>
    <row r="177" spans="1:1" x14ac:dyDescent="0.35">
      <c r="A177" t="str">
        <f>TEXT(Numbers!A177,"General")</f>
        <v>1.23457E+15</v>
      </c>
    </row>
    <row r="178" spans="1:1" x14ac:dyDescent="0.35">
      <c r="A178" t="str">
        <f>TEXT(Numbers!A178,"General")</f>
        <v>1.23457E+16</v>
      </c>
    </row>
    <row r="179" spans="1:1" x14ac:dyDescent="0.35">
      <c r="A179" t="str">
        <f>TEXT(Numbers!A179,"General")</f>
        <v>1.23457E+17</v>
      </c>
    </row>
    <row r="180" spans="1:1" x14ac:dyDescent="0.35">
      <c r="A180" t="str">
        <f>TEXT(Numbers!A180,"General")</f>
        <v>1.23457E+18</v>
      </c>
    </row>
    <row r="181" spans="1:1" x14ac:dyDescent="0.35">
      <c r="A181" t="str">
        <f>TEXT(Numbers!A181,"General")</f>
        <v>1.23457E+19</v>
      </c>
    </row>
    <row r="182" spans="1:1" x14ac:dyDescent="0.35">
      <c r="A182" t="str">
        <f>TEXT(Numbers!A182,"General")</f>
        <v>1.23457E+20</v>
      </c>
    </row>
    <row r="183" spans="1:1" x14ac:dyDescent="0.35">
      <c r="A183" t="str">
        <f>TEXT(Numbers!A183,"General")</f>
        <v>1.23457E+21</v>
      </c>
    </row>
    <row r="184" spans="1:1" x14ac:dyDescent="0.35">
      <c r="A184" t="str">
        <f>TEXT(Numbers!A184,"General")</f>
        <v>1.23457E+22</v>
      </c>
    </row>
    <row r="185" spans="1:1" x14ac:dyDescent="0.35">
      <c r="A185" t="str">
        <f>TEXT(Numbers!A185,"General")</f>
        <v>-0.3</v>
      </c>
    </row>
    <row r="186" spans="1:1" x14ac:dyDescent="0.35">
      <c r="A186" t="str">
        <f>TEXT(Numbers!A186,"General")</f>
        <v>-0.00001</v>
      </c>
    </row>
    <row r="187" spans="1:1" x14ac:dyDescent="0.35">
      <c r="A187" t="str">
        <f>TEXT(Numbers!A187,"General")</f>
        <v>-1.5E+15</v>
      </c>
    </row>
    <row r="188" spans="1:1" x14ac:dyDescent="0.35">
      <c r="A188" t="str">
        <f>TEXT(Numbers!A188,"General")</f>
        <v>-1E+20</v>
      </c>
    </row>
    <row r="189" spans="1:1" x14ac:dyDescent="0.35">
      <c r="A189" t="str">
        <f>TEXT(Numbers!A189,"General")</f>
        <v>-1E-20</v>
      </c>
    </row>
    <row r="190" spans="1:1" x14ac:dyDescent="0.35">
      <c r="A190" t="str">
        <f>TEXT(Numbers!A190,"General")</f>
        <v>-123.456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52E7-74D0-48A5-9166-9291C1052224}">
  <dimension ref="A1:A322"/>
  <sheetViews>
    <sheetView workbookViewId="0"/>
  </sheetViews>
  <sheetFormatPr defaultRowHeight="14.5" x14ac:dyDescent="0.35"/>
  <sheetData>
    <row r="1" spans="1:1" x14ac:dyDescent="0.35">
      <c r="A1">
        <f>Pairs!B1-Pairs!A1</f>
        <v>0</v>
      </c>
    </row>
    <row r="2" spans="1:1" x14ac:dyDescent="0.35">
      <c r="A2">
        <f>Pairs!B2-Pairs!A2</f>
        <v>0</v>
      </c>
    </row>
    <row r="3" spans="1:1" x14ac:dyDescent="0.35">
      <c r="A3">
        <f>Pairs!B3-Pairs!A3</f>
        <v>0</v>
      </c>
    </row>
    <row r="4" spans="1:1" x14ac:dyDescent="0.35">
      <c r="A4">
        <f>Pairs!B4-Pairs!A4</f>
        <v>0</v>
      </c>
    </row>
    <row r="5" spans="1:1" x14ac:dyDescent="0.35">
      <c r="A5">
        <f>Pairs!B5-Pairs!A5</f>
        <v>0</v>
      </c>
    </row>
    <row r="6" spans="1:1" x14ac:dyDescent="0.35">
      <c r="A6">
        <f>Pairs!B6-Pairs!A6</f>
        <v>0</v>
      </c>
    </row>
    <row r="7" spans="1:1" x14ac:dyDescent="0.35">
      <c r="A7">
        <f>Pairs!B7-Pairs!A7</f>
        <v>0</v>
      </c>
    </row>
    <row r="8" spans="1:1" x14ac:dyDescent="0.35">
      <c r="A8">
        <f>Pairs!B8-Pairs!A8</f>
        <v>0</v>
      </c>
    </row>
    <row r="9" spans="1:1" x14ac:dyDescent="0.35">
      <c r="A9">
        <f>Pairs!B9-Pairs!A9</f>
        <v>0</v>
      </c>
    </row>
    <row r="10" spans="1:1" x14ac:dyDescent="0.35">
      <c r="A10">
        <f>Pairs!B10-Pairs!A10</f>
        <v>0</v>
      </c>
    </row>
    <row r="11" spans="1:1" x14ac:dyDescent="0.35">
      <c r="A11">
        <f>Pairs!B11-Pairs!A11</f>
        <v>0</v>
      </c>
    </row>
    <row r="12" spans="1:1" x14ac:dyDescent="0.35">
      <c r="A12">
        <f>Pairs!B12-Pairs!A12</f>
        <v>0</v>
      </c>
    </row>
    <row r="13" spans="1:1" x14ac:dyDescent="0.35">
      <c r="A13">
        <f>Pairs!B13-Pairs!A13</f>
        <v>0</v>
      </c>
    </row>
    <row r="14" spans="1:1" x14ac:dyDescent="0.35">
      <c r="A14">
        <f>Pairs!B14-Pairs!A14</f>
        <v>0</v>
      </c>
    </row>
    <row r="15" spans="1:1" x14ac:dyDescent="0.35">
      <c r="A15">
        <f>Pairs!B15-Pairs!A15</f>
        <v>1.7763568394002505E-15</v>
      </c>
    </row>
    <row r="16" spans="1:1" x14ac:dyDescent="0.35">
      <c r="A16">
        <f>Pairs!B16-Pairs!A16</f>
        <v>-8.8817841970012523E-16</v>
      </c>
    </row>
    <row r="17" spans="1:1" x14ac:dyDescent="0.35">
      <c r="A17">
        <f>Pairs!B17-Pairs!A17</f>
        <v>2.2204460492503131E-15</v>
      </c>
    </row>
    <row r="18" spans="1:1" x14ac:dyDescent="0.35">
      <c r="A18">
        <f>Pairs!B18-Pairs!A18</f>
        <v>-1.1102230246251565E-15</v>
      </c>
    </row>
    <row r="19" spans="1:1" x14ac:dyDescent="0.35">
      <c r="A19">
        <f>Pairs!B19-Pairs!A19</f>
        <v>2.6645352591003757E-15</v>
      </c>
    </row>
    <row r="20" spans="1:1" x14ac:dyDescent="0.35">
      <c r="A20">
        <f>Pairs!B20-Pairs!A20</f>
        <v>-1.3322676295501878E-15</v>
      </c>
    </row>
    <row r="21" spans="1:1" x14ac:dyDescent="0.35">
      <c r="A21">
        <f>Pairs!B21-Pairs!A21</f>
        <v>3.5527136788005009E-15</v>
      </c>
    </row>
    <row r="22" spans="1:1" x14ac:dyDescent="0.35">
      <c r="A22">
        <f>Pairs!B22-Pairs!A22</f>
        <v>-1.7763568394002505E-15</v>
      </c>
    </row>
    <row r="23" spans="1:1" x14ac:dyDescent="0.35">
      <c r="A23">
        <f>Pairs!B23-Pairs!A23</f>
        <v>4.4408920985006262E-15</v>
      </c>
    </row>
    <row r="24" spans="1:1" x14ac:dyDescent="0.35">
      <c r="A24">
        <f>Pairs!B24-Pairs!A24</f>
        <v>-2.2204460492503131E-15</v>
      </c>
    </row>
    <row r="25" spans="1:1" x14ac:dyDescent="0.35">
      <c r="A25">
        <f>Pairs!B25-Pairs!A25</f>
        <v>5.3290705182007514E-15</v>
      </c>
    </row>
    <row r="26" spans="1:1" x14ac:dyDescent="0.35">
      <c r="A26">
        <f>Pairs!B26-Pairs!A26</f>
        <v>-2.6645352591003757E-15</v>
      </c>
    </row>
    <row r="27" spans="1:1" x14ac:dyDescent="0.35">
      <c r="A27">
        <f>Pairs!B27-Pairs!A27</f>
        <v>7.1054273576010019E-15</v>
      </c>
    </row>
    <row r="28" spans="1:1" x14ac:dyDescent="0.35">
      <c r="A28">
        <f>Pairs!B28-Pairs!A28</f>
        <v>-3.5527136788005009E-15</v>
      </c>
    </row>
    <row r="29" spans="1:1" x14ac:dyDescent="0.35">
      <c r="A29">
        <f>Pairs!B29-Pairs!A29</f>
        <v>1.0658141036401503E-14</v>
      </c>
    </row>
    <row r="30" spans="1:1" x14ac:dyDescent="0.35">
      <c r="A30">
        <f>Pairs!B30-Pairs!A30</f>
        <v>-5.3290705182007514E-15</v>
      </c>
    </row>
    <row r="31" spans="1:1" x14ac:dyDescent="0.35">
      <c r="A31">
        <f>Pairs!B31-Pairs!A31</f>
        <v>1.4210854715202004E-14</v>
      </c>
    </row>
    <row r="32" spans="1:1" x14ac:dyDescent="0.35">
      <c r="A32">
        <f>Pairs!B32-Pairs!A32</f>
        <v>-7.1054273576010019E-15</v>
      </c>
    </row>
    <row r="33" spans="1:1" x14ac:dyDescent="0.35">
      <c r="A33">
        <f>Pairs!B33-Pairs!A33</f>
        <v>2.2204460492503131E-14</v>
      </c>
    </row>
    <row r="34" spans="1:1" x14ac:dyDescent="0.35">
      <c r="A34">
        <f>Pairs!B34-Pairs!A34</f>
        <v>-1.1102230246251565E-14</v>
      </c>
    </row>
    <row r="35" spans="1:1" x14ac:dyDescent="0.35">
      <c r="A35">
        <f>Pairs!B35-Pairs!A35</f>
        <v>2.8421709430404007E-14</v>
      </c>
    </row>
    <row r="36" spans="1:1" x14ac:dyDescent="0.35">
      <c r="A36">
        <f>Pairs!B36-Pairs!A36</f>
        <v>-1.4210854715202004E-14</v>
      </c>
    </row>
    <row r="37" spans="1:1" x14ac:dyDescent="0.35">
      <c r="A37">
        <f>Pairs!B37-Pairs!A37</f>
        <v>5.6843418860808015E-14</v>
      </c>
    </row>
    <row r="38" spans="1:1" x14ac:dyDescent="0.35">
      <c r="A38">
        <f>Pairs!B38-Pairs!A38</f>
        <v>-2.8421709430404007E-14</v>
      </c>
    </row>
    <row r="39" spans="1:1" x14ac:dyDescent="0.35">
      <c r="A39">
        <f>Pairs!B39-Pairs!A39</f>
        <v>1.1368683772161603E-13</v>
      </c>
    </row>
    <row r="40" spans="1:1" x14ac:dyDescent="0.35">
      <c r="A40">
        <f>Pairs!B40-Pairs!A40</f>
        <v>-5.6843418860808015E-14</v>
      </c>
    </row>
    <row r="41" spans="1:1" x14ac:dyDescent="0.35">
      <c r="A41">
        <f>Pairs!B41-Pairs!A41</f>
        <v>2.2737367544323206E-13</v>
      </c>
    </row>
    <row r="42" spans="1:1" x14ac:dyDescent="0.35">
      <c r="A42">
        <f>Pairs!B42-Pairs!A42</f>
        <v>-1.1368683772161603E-13</v>
      </c>
    </row>
    <row r="43" spans="1:1" x14ac:dyDescent="0.35">
      <c r="A43">
        <f>Pairs!B43-Pairs!A43</f>
        <v>4.5474735088646412E-13</v>
      </c>
    </row>
    <row r="44" spans="1:1" x14ac:dyDescent="0.35">
      <c r="A44">
        <f>Pairs!B44-Pairs!A44</f>
        <v>-2.2737367544323206E-13</v>
      </c>
    </row>
    <row r="45" spans="1:1" x14ac:dyDescent="0.35">
      <c r="A45">
        <f>Pairs!B45-Pairs!A45</f>
        <v>9.0949470177292824E-13</v>
      </c>
    </row>
    <row r="46" spans="1:1" x14ac:dyDescent="0.35">
      <c r="A46">
        <f>Pairs!B46-Pairs!A46</f>
        <v>-4.5474735088646412E-13</v>
      </c>
    </row>
    <row r="47" spans="1:1" x14ac:dyDescent="0.35">
      <c r="A47">
        <f>Pairs!B47-Pairs!A47</f>
        <v>0</v>
      </c>
    </row>
    <row r="48" spans="1:1" x14ac:dyDescent="0.35">
      <c r="A48">
        <f>Pairs!B48-Pairs!A48</f>
        <v>0</v>
      </c>
    </row>
    <row r="49" spans="1:1" x14ac:dyDescent="0.35">
      <c r="A49">
        <f>Pairs!B49-Pairs!A49</f>
        <v>0</v>
      </c>
    </row>
    <row r="50" spans="1:1" x14ac:dyDescent="0.35">
      <c r="A50">
        <f>Pairs!B50-Pairs!A50</f>
        <v>0</v>
      </c>
    </row>
    <row r="51" spans="1:1" x14ac:dyDescent="0.35">
      <c r="A51">
        <f>Pairs!B51-Pairs!A51</f>
        <v>0</v>
      </c>
    </row>
    <row r="52" spans="1:1" x14ac:dyDescent="0.35">
      <c r="A52">
        <f>Pairs!B52-Pairs!A52</f>
        <v>0</v>
      </c>
    </row>
    <row r="53" spans="1:1" x14ac:dyDescent="0.35">
      <c r="A53">
        <f>Pairs!B53-Pairs!A53</f>
        <v>0</v>
      </c>
    </row>
    <row r="54" spans="1:1" x14ac:dyDescent="0.35">
      <c r="A54">
        <f>Pairs!B54-Pairs!A54</f>
        <v>0</v>
      </c>
    </row>
    <row r="55" spans="1:1" x14ac:dyDescent="0.35">
      <c r="A55">
        <f>Pairs!B55-Pairs!A55</f>
        <v>0</v>
      </c>
    </row>
    <row r="56" spans="1:1" x14ac:dyDescent="0.35">
      <c r="A56">
        <f>Pairs!B56-Pairs!A56</f>
        <v>0</v>
      </c>
    </row>
    <row r="57" spans="1:1" x14ac:dyDescent="0.35">
      <c r="A57">
        <f>Pairs!B57-Pairs!A57</f>
        <v>0</v>
      </c>
    </row>
    <row r="58" spans="1:1" x14ac:dyDescent="0.35">
      <c r="A58">
        <f>Pairs!B58-Pairs!A58</f>
        <v>0</v>
      </c>
    </row>
    <row r="59" spans="1:1" x14ac:dyDescent="0.35">
      <c r="A59">
        <f>Pairs!B59-Pairs!A59</f>
        <v>0</v>
      </c>
    </row>
    <row r="60" spans="1:1" x14ac:dyDescent="0.35">
      <c r="A60">
        <f>Pairs!B60-Pairs!A60</f>
        <v>0</v>
      </c>
    </row>
    <row r="61" spans="1:1" x14ac:dyDescent="0.35">
      <c r="A61">
        <f>Pairs!B61-Pairs!A61</f>
        <v>3.5527136788005009E-15</v>
      </c>
    </row>
    <row r="62" spans="1:1" x14ac:dyDescent="0.35">
      <c r="A62">
        <f>Pairs!B62-Pairs!A62</f>
        <v>-3.5527136788005009E-15</v>
      </c>
    </row>
    <row r="63" spans="1:1" x14ac:dyDescent="0.35">
      <c r="A63">
        <f>Pairs!B63-Pairs!A63</f>
        <v>4.4408920985006262E-15</v>
      </c>
    </row>
    <row r="64" spans="1:1" x14ac:dyDescent="0.35">
      <c r="A64">
        <f>Pairs!B64-Pairs!A64</f>
        <v>-4.4408920985006262E-15</v>
      </c>
    </row>
    <row r="65" spans="1:1" x14ac:dyDescent="0.35">
      <c r="A65">
        <f>Pairs!B65-Pairs!A65</f>
        <v>5.3290705182007514E-15</v>
      </c>
    </row>
    <row r="66" spans="1:1" x14ac:dyDescent="0.35">
      <c r="A66">
        <f>Pairs!B66-Pairs!A66</f>
        <v>-5.3290705182007514E-15</v>
      </c>
    </row>
    <row r="67" spans="1:1" x14ac:dyDescent="0.35">
      <c r="A67">
        <f>Pairs!B67-Pairs!A67</f>
        <v>7.1054273576010019E-15</v>
      </c>
    </row>
    <row r="68" spans="1:1" x14ac:dyDescent="0.35">
      <c r="A68">
        <f>Pairs!B68-Pairs!A68</f>
        <v>-7.1054273576010019E-15</v>
      </c>
    </row>
    <row r="69" spans="1:1" x14ac:dyDescent="0.35">
      <c r="A69">
        <f>Pairs!B69-Pairs!A69</f>
        <v>8.8817841970012523E-15</v>
      </c>
    </row>
    <row r="70" spans="1:1" x14ac:dyDescent="0.35">
      <c r="A70">
        <f>Pairs!B70-Pairs!A70</f>
        <v>-8.8817841970012523E-15</v>
      </c>
    </row>
    <row r="71" spans="1:1" x14ac:dyDescent="0.35">
      <c r="A71">
        <f>Pairs!B71-Pairs!A71</f>
        <v>1.0658141036401503E-14</v>
      </c>
    </row>
    <row r="72" spans="1:1" x14ac:dyDescent="0.35">
      <c r="A72">
        <f>Pairs!B72-Pairs!A72</f>
        <v>-1.0658141036401503E-14</v>
      </c>
    </row>
    <row r="73" spans="1:1" x14ac:dyDescent="0.35">
      <c r="A73">
        <f>Pairs!B73-Pairs!A73</f>
        <v>1.4210854715202004E-14</v>
      </c>
    </row>
    <row r="74" spans="1:1" x14ac:dyDescent="0.35">
      <c r="A74">
        <f>Pairs!B74-Pairs!A74</f>
        <v>-1.4210854715202004E-14</v>
      </c>
    </row>
    <row r="75" spans="1:1" x14ac:dyDescent="0.35">
      <c r="A75">
        <f>Pairs!B75-Pairs!A75</f>
        <v>2.1316282072803006E-14</v>
      </c>
    </row>
    <row r="76" spans="1:1" x14ac:dyDescent="0.35">
      <c r="A76">
        <f>Pairs!B76-Pairs!A76</f>
        <v>-2.1316282072803006E-14</v>
      </c>
    </row>
    <row r="77" spans="1:1" x14ac:dyDescent="0.35">
      <c r="A77">
        <f>Pairs!B77-Pairs!A77</f>
        <v>2.8421709430404007E-14</v>
      </c>
    </row>
    <row r="78" spans="1:1" x14ac:dyDescent="0.35">
      <c r="A78">
        <f>Pairs!B78-Pairs!A78</f>
        <v>-2.8421709430404007E-14</v>
      </c>
    </row>
    <row r="79" spans="1:1" x14ac:dyDescent="0.35">
      <c r="A79">
        <f>Pairs!B79-Pairs!A79</f>
        <v>4.4408920985006262E-14</v>
      </c>
    </row>
    <row r="80" spans="1:1" x14ac:dyDescent="0.35">
      <c r="A80">
        <f>Pairs!B80-Pairs!A80</f>
        <v>-4.4408920985006262E-14</v>
      </c>
    </row>
    <row r="81" spans="1:1" x14ac:dyDescent="0.35">
      <c r="A81">
        <f>Pairs!B81-Pairs!A81</f>
        <v>5.6843418860808015E-14</v>
      </c>
    </row>
    <row r="82" spans="1:1" x14ac:dyDescent="0.35">
      <c r="A82">
        <f>Pairs!B82-Pairs!A82</f>
        <v>-5.6843418860808015E-14</v>
      </c>
    </row>
    <row r="83" spans="1:1" x14ac:dyDescent="0.35">
      <c r="A83">
        <f>Pairs!B83-Pairs!A83</f>
        <v>1.1368683772161603E-13</v>
      </c>
    </row>
    <row r="84" spans="1:1" x14ac:dyDescent="0.35">
      <c r="A84">
        <f>Pairs!B84-Pairs!A84</f>
        <v>-1.1368683772161603E-13</v>
      </c>
    </row>
    <row r="85" spans="1:1" x14ac:dyDescent="0.35">
      <c r="A85">
        <f>Pairs!B85-Pairs!A85</f>
        <v>2.2737367544323206E-13</v>
      </c>
    </row>
    <row r="86" spans="1:1" x14ac:dyDescent="0.35">
      <c r="A86">
        <f>Pairs!B86-Pairs!A86</f>
        <v>-2.2737367544323206E-13</v>
      </c>
    </row>
    <row r="87" spans="1:1" x14ac:dyDescent="0.35">
      <c r="A87">
        <f>Pairs!B87-Pairs!A87</f>
        <v>4.5474735088646412E-13</v>
      </c>
    </row>
    <row r="88" spans="1:1" x14ac:dyDescent="0.35">
      <c r="A88">
        <f>Pairs!B88-Pairs!A88</f>
        <v>-4.5474735088646412E-13</v>
      </c>
    </row>
    <row r="89" spans="1:1" x14ac:dyDescent="0.35">
      <c r="A89">
        <f>Pairs!B89-Pairs!A89</f>
        <v>9.0949470177292824E-13</v>
      </c>
    </row>
    <row r="90" spans="1:1" x14ac:dyDescent="0.35">
      <c r="A90">
        <f>Pairs!B90-Pairs!A90</f>
        <v>-9.0949470177292824E-13</v>
      </c>
    </row>
    <row r="91" spans="1:1" x14ac:dyDescent="0.35">
      <c r="A91">
        <f>Pairs!B91-Pairs!A91</f>
        <v>1.8189894035458565E-12</v>
      </c>
    </row>
    <row r="92" spans="1:1" x14ac:dyDescent="0.35">
      <c r="A92">
        <f>Pairs!B92-Pairs!A92</f>
        <v>-1.8189894035458565E-12</v>
      </c>
    </row>
    <row r="93" spans="1:1" x14ac:dyDescent="0.35">
      <c r="A93">
        <f>Pairs!B93-Pairs!A93</f>
        <v>0</v>
      </c>
    </row>
    <row r="94" spans="1:1" x14ac:dyDescent="0.35">
      <c r="A94">
        <f>Pairs!B94-Pairs!A94</f>
        <v>0</v>
      </c>
    </row>
    <row r="95" spans="1:1" x14ac:dyDescent="0.35">
      <c r="A95">
        <f>Pairs!B95-Pairs!A95</f>
        <v>0</v>
      </c>
    </row>
    <row r="96" spans="1:1" x14ac:dyDescent="0.35">
      <c r="A96">
        <f>Pairs!B96-Pairs!A96</f>
        <v>0</v>
      </c>
    </row>
    <row r="97" spans="1:1" x14ac:dyDescent="0.35">
      <c r="A97">
        <f>Pairs!B97-Pairs!A97</f>
        <v>0</v>
      </c>
    </row>
    <row r="98" spans="1:1" x14ac:dyDescent="0.35">
      <c r="A98">
        <f>Pairs!B98-Pairs!A98</f>
        <v>0</v>
      </c>
    </row>
    <row r="99" spans="1:1" x14ac:dyDescent="0.35">
      <c r="A99">
        <f>Pairs!B99-Pairs!A99</f>
        <v>0</v>
      </c>
    </row>
    <row r="100" spans="1:1" x14ac:dyDescent="0.35">
      <c r="A100">
        <f>Pairs!B100-Pairs!A100</f>
        <v>0</v>
      </c>
    </row>
    <row r="101" spans="1:1" x14ac:dyDescent="0.35">
      <c r="A101">
        <f>Pairs!B101-Pairs!A101</f>
        <v>0</v>
      </c>
    </row>
    <row r="102" spans="1:1" x14ac:dyDescent="0.35">
      <c r="A102">
        <f>Pairs!B102-Pairs!A102</f>
        <v>0</v>
      </c>
    </row>
    <row r="103" spans="1:1" x14ac:dyDescent="0.35">
      <c r="A103">
        <f>Pairs!B103-Pairs!A103</f>
        <v>0</v>
      </c>
    </row>
    <row r="104" spans="1:1" x14ac:dyDescent="0.35">
      <c r="A104">
        <f>Pairs!B104-Pairs!A104</f>
        <v>0</v>
      </c>
    </row>
    <row r="105" spans="1:1" x14ac:dyDescent="0.35">
      <c r="A105">
        <f>Pairs!B105-Pairs!A105</f>
        <v>0</v>
      </c>
    </row>
    <row r="106" spans="1:1" x14ac:dyDescent="0.35">
      <c r="A106">
        <f>Pairs!B106-Pairs!A106</f>
        <v>0</v>
      </c>
    </row>
    <row r="107" spans="1:1" x14ac:dyDescent="0.35">
      <c r="A107">
        <f>Pairs!B107-Pairs!A107</f>
        <v>1.1102230246251565E-16</v>
      </c>
    </row>
    <row r="108" spans="1:1" x14ac:dyDescent="0.35">
      <c r="A108">
        <f>Pairs!B108-Pairs!A108</f>
        <v>-1.1102230246251565E-16</v>
      </c>
    </row>
    <row r="109" spans="1:1" x14ac:dyDescent="0.35">
      <c r="A109">
        <f>Pairs!B109-Pairs!A109</f>
        <v>1.3877787807814457E-16</v>
      </c>
    </row>
    <row r="110" spans="1:1" x14ac:dyDescent="0.35">
      <c r="A110">
        <f>Pairs!B110-Pairs!A110</f>
        <v>-1.3877787807814457E-16</v>
      </c>
    </row>
    <row r="111" spans="1:1" x14ac:dyDescent="0.35">
      <c r="A111">
        <f>Pairs!B111-Pairs!A111</f>
        <v>1.6653345369377348E-16</v>
      </c>
    </row>
    <row r="112" spans="1:1" x14ac:dyDescent="0.35">
      <c r="A112">
        <f>Pairs!B112-Pairs!A112</f>
        <v>-1.6653345369377348E-16</v>
      </c>
    </row>
    <row r="113" spans="1:1" x14ac:dyDescent="0.35">
      <c r="A113">
        <f>Pairs!B113-Pairs!A113</f>
        <v>2.2204460492503131E-16</v>
      </c>
    </row>
    <row r="114" spans="1:1" x14ac:dyDescent="0.35">
      <c r="A114">
        <f>Pairs!B114-Pairs!A114</f>
        <v>-2.2204460492503131E-16</v>
      </c>
    </row>
    <row r="115" spans="1:1" x14ac:dyDescent="0.35">
      <c r="A115">
        <f>Pairs!B115-Pairs!A115</f>
        <v>2.7755575615628914E-16</v>
      </c>
    </row>
    <row r="116" spans="1:1" x14ac:dyDescent="0.35">
      <c r="A116">
        <f>Pairs!B116-Pairs!A116</f>
        <v>-2.7755575615628914E-16</v>
      </c>
    </row>
    <row r="117" spans="1:1" x14ac:dyDescent="0.35">
      <c r="A117">
        <f>Pairs!B117-Pairs!A117</f>
        <v>3.3306690738754696E-16</v>
      </c>
    </row>
    <row r="118" spans="1:1" x14ac:dyDescent="0.35">
      <c r="A118">
        <f>Pairs!B118-Pairs!A118</f>
        <v>-3.3306690738754696E-16</v>
      </c>
    </row>
    <row r="119" spans="1:1" x14ac:dyDescent="0.35">
      <c r="A119">
        <f>Pairs!B119-Pairs!A119</f>
        <v>4.4408920985006262E-16</v>
      </c>
    </row>
    <row r="120" spans="1:1" x14ac:dyDescent="0.35">
      <c r="A120">
        <f>Pairs!B120-Pairs!A120</f>
        <v>-4.4408920985006262E-16</v>
      </c>
    </row>
    <row r="121" spans="1:1" x14ac:dyDescent="0.35">
      <c r="A121">
        <f>Pairs!B121-Pairs!A121</f>
        <v>6.6613381477509392E-16</v>
      </c>
    </row>
    <row r="122" spans="1:1" x14ac:dyDescent="0.35">
      <c r="A122">
        <f>Pairs!B122-Pairs!A122</f>
        <v>-6.6613381477509392E-16</v>
      </c>
    </row>
    <row r="123" spans="1:1" x14ac:dyDescent="0.35">
      <c r="A123">
        <f>Pairs!B123-Pairs!A123</f>
        <v>8.8817841970012523E-16</v>
      </c>
    </row>
    <row r="124" spans="1:1" x14ac:dyDescent="0.35">
      <c r="A124">
        <f>Pairs!B124-Pairs!A124</f>
        <v>-8.8817841970012523E-16</v>
      </c>
    </row>
    <row r="125" spans="1:1" x14ac:dyDescent="0.35">
      <c r="A125">
        <f>Pairs!B125-Pairs!A125</f>
        <v>1.3877787807814457E-15</v>
      </c>
    </row>
    <row r="126" spans="1:1" x14ac:dyDescent="0.35">
      <c r="A126">
        <f>Pairs!B126-Pairs!A126</f>
        <v>-1.3877787807814457E-15</v>
      </c>
    </row>
    <row r="127" spans="1:1" x14ac:dyDescent="0.35">
      <c r="A127">
        <f>Pairs!B127-Pairs!A127</f>
        <v>1.7763568394002505E-15</v>
      </c>
    </row>
    <row r="128" spans="1:1" x14ac:dyDescent="0.35">
      <c r="A128">
        <f>Pairs!B128-Pairs!A128</f>
        <v>-1.7763568394002505E-15</v>
      </c>
    </row>
    <row r="129" spans="1:1" x14ac:dyDescent="0.35">
      <c r="A129">
        <f>Pairs!B129-Pairs!A129</f>
        <v>3.5527136788005009E-15</v>
      </c>
    </row>
    <row r="130" spans="1:1" x14ac:dyDescent="0.35">
      <c r="A130">
        <f>Pairs!B130-Pairs!A130</f>
        <v>-3.5527136788005009E-15</v>
      </c>
    </row>
    <row r="131" spans="1:1" x14ac:dyDescent="0.35">
      <c r="A131">
        <f>Pairs!B131-Pairs!A131</f>
        <v>7.1054273576010019E-15</v>
      </c>
    </row>
    <row r="132" spans="1:1" x14ac:dyDescent="0.35">
      <c r="A132">
        <f>Pairs!B132-Pairs!A132</f>
        <v>-7.1054273576010019E-15</v>
      </c>
    </row>
    <row r="133" spans="1:1" x14ac:dyDescent="0.35">
      <c r="A133">
        <f>Pairs!B133-Pairs!A133</f>
        <v>1.4210854715202004E-14</v>
      </c>
    </row>
    <row r="134" spans="1:1" x14ac:dyDescent="0.35">
      <c r="A134">
        <f>Pairs!B134-Pairs!A134</f>
        <v>-1.4210854715202004E-14</v>
      </c>
    </row>
    <row r="135" spans="1:1" x14ac:dyDescent="0.35">
      <c r="A135">
        <f>Pairs!B135-Pairs!A135</f>
        <v>2.8421709430404007E-14</v>
      </c>
    </row>
    <row r="136" spans="1:1" x14ac:dyDescent="0.35">
      <c r="A136">
        <f>Pairs!B136-Pairs!A136</f>
        <v>-2.8421709430404007E-14</v>
      </c>
    </row>
    <row r="137" spans="1:1" x14ac:dyDescent="0.35">
      <c r="A137">
        <f>Pairs!B137-Pairs!A137</f>
        <v>5.6843418860808015E-14</v>
      </c>
    </row>
    <row r="138" spans="1:1" x14ac:dyDescent="0.35">
      <c r="A138">
        <f>Pairs!B138-Pairs!A138</f>
        <v>-5.6843418860808015E-14</v>
      </c>
    </row>
    <row r="139" spans="1:1" x14ac:dyDescent="0.35">
      <c r="A139">
        <f>Pairs!B139-Pairs!A139</f>
        <v>0</v>
      </c>
    </row>
    <row r="140" spans="1:1" x14ac:dyDescent="0.35">
      <c r="A140">
        <f>Pairs!B140-Pairs!A140</f>
        <v>0</v>
      </c>
    </row>
    <row r="141" spans="1:1" x14ac:dyDescent="0.35">
      <c r="A141">
        <f>Pairs!B141-Pairs!A141</f>
        <v>0</v>
      </c>
    </row>
    <row r="142" spans="1:1" x14ac:dyDescent="0.35">
      <c r="A142">
        <f>Pairs!B142-Pairs!A142</f>
        <v>0</v>
      </c>
    </row>
    <row r="143" spans="1:1" x14ac:dyDescent="0.35">
      <c r="A143">
        <f>Pairs!B143-Pairs!A143</f>
        <v>0</v>
      </c>
    </row>
    <row r="144" spans="1:1" x14ac:dyDescent="0.35">
      <c r="A144">
        <f>Pairs!B144-Pairs!A144</f>
        <v>0</v>
      </c>
    </row>
    <row r="145" spans="1:1" x14ac:dyDescent="0.35">
      <c r="A145">
        <f>Pairs!B145-Pairs!A145</f>
        <v>0</v>
      </c>
    </row>
    <row r="146" spans="1:1" x14ac:dyDescent="0.35">
      <c r="A146">
        <f>Pairs!B146-Pairs!A146</f>
        <v>0</v>
      </c>
    </row>
    <row r="147" spans="1:1" x14ac:dyDescent="0.35">
      <c r="A147">
        <f>Pairs!B147-Pairs!A147</f>
        <v>0</v>
      </c>
    </row>
    <row r="148" spans="1:1" x14ac:dyDescent="0.35">
      <c r="A148">
        <f>Pairs!B148-Pairs!A148</f>
        <v>0</v>
      </c>
    </row>
    <row r="149" spans="1:1" x14ac:dyDescent="0.35">
      <c r="A149">
        <f>Pairs!B149-Pairs!A149</f>
        <v>0</v>
      </c>
    </row>
    <row r="150" spans="1:1" x14ac:dyDescent="0.35">
      <c r="A150">
        <f>Pairs!B150-Pairs!A150</f>
        <v>0</v>
      </c>
    </row>
    <row r="151" spans="1:1" x14ac:dyDescent="0.35">
      <c r="A151">
        <f>Pairs!B151-Pairs!A151</f>
        <v>0</v>
      </c>
    </row>
    <row r="152" spans="1:1" x14ac:dyDescent="0.35">
      <c r="A152">
        <f>Pairs!B152-Pairs!A152</f>
        <v>0</v>
      </c>
    </row>
    <row r="153" spans="1:1" x14ac:dyDescent="0.35">
      <c r="A153">
        <f>Pairs!B153-Pairs!A153</f>
        <v>1.1368683772161603E-13</v>
      </c>
    </row>
    <row r="154" spans="1:1" x14ac:dyDescent="0.35">
      <c r="A154">
        <f>Pairs!B154-Pairs!A154</f>
        <v>-1.1368683772161603E-13</v>
      </c>
    </row>
    <row r="155" spans="1:1" x14ac:dyDescent="0.35">
      <c r="A155">
        <f>Pairs!B155-Pairs!A155</f>
        <v>1.4210854715202004E-13</v>
      </c>
    </row>
    <row r="156" spans="1:1" x14ac:dyDescent="0.35">
      <c r="A156">
        <f>Pairs!B156-Pairs!A156</f>
        <v>-1.4210854715202004E-13</v>
      </c>
    </row>
    <row r="157" spans="1:1" x14ac:dyDescent="0.35">
      <c r="A157">
        <f>Pairs!B157-Pairs!A157</f>
        <v>1.7053025658242404E-13</v>
      </c>
    </row>
    <row r="158" spans="1:1" x14ac:dyDescent="0.35">
      <c r="A158">
        <f>Pairs!B158-Pairs!A158</f>
        <v>-1.7053025658242404E-13</v>
      </c>
    </row>
    <row r="159" spans="1:1" x14ac:dyDescent="0.35">
      <c r="A159">
        <f>Pairs!B159-Pairs!A159</f>
        <v>2.2737367544323206E-13</v>
      </c>
    </row>
    <row r="160" spans="1:1" x14ac:dyDescent="0.35">
      <c r="A160">
        <f>Pairs!B160-Pairs!A160</f>
        <v>-2.2737367544323206E-13</v>
      </c>
    </row>
    <row r="161" spans="1:1" x14ac:dyDescent="0.35">
      <c r="A161">
        <f>Pairs!B161-Pairs!A161</f>
        <v>2.8421709430404007E-13</v>
      </c>
    </row>
    <row r="162" spans="1:1" x14ac:dyDescent="0.35">
      <c r="A162">
        <f>Pairs!B162-Pairs!A162</f>
        <v>-2.8421709430404007E-13</v>
      </c>
    </row>
    <row r="163" spans="1:1" x14ac:dyDescent="0.35">
      <c r="A163">
        <f>Pairs!B163-Pairs!A163</f>
        <v>3.4106051316484809E-13</v>
      </c>
    </row>
    <row r="164" spans="1:1" x14ac:dyDescent="0.35">
      <c r="A164">
        <f>Pairs!B164-Pairs!A164</f>
        <v>-3.4106051316484809E-13</v>
      </c>
    </row>
    <row r="165" spans="1:1" x14ac:dyDescent="0.35">
      <c r="A165">
        <f>Pairs!B165-Pairs!A165</f>
        <v>4.5474735088646412E-13</v>
      </c>
    </row>
    <row r="166" spans="1:1" x14ac:dyDescent="0.35">
      <c r="A166">
        <f>Pairs!B166-Pairs!A166</f>
        <v>-4.5474735088646412E-13</v>
      </c>
    </row>
    <row r="167" spans="1:1" x14ac:dyDescent="0.35">
      <c r="A167">
        <f>Pairs!B167-Pairs!A167</f>
        <v>6.8212102632969618E-13</v>
      </c>
    </row>
    <row r="168" spans="1:1" x14ac:dyDescent="0.35">
      <c r="A168">
        <f>Pairs!B168-Pairs!A168</f>
        <v>-6.8212102632969618E-13</v>
      </c>
    </row>
    <row r="169" spans="1:1" x14ac:dyDescent="0.35">
      <c r="A169">
        <f>Pairs!B169-Pairs!A169</f>
        <v>9.0949470177292824E-13</v>
      </c>
    </row>
    <row r="170" spans="1:1" x14ac:dyDescent="0.35">
      <c r="A170">
        <f>Pairs!B170-Pairs!A170</f>
        <v>-9.0949470177292824E-13</v>
      </c>
    </row>
    <row r="171" spans="1:1" x14ac:dyDescent="0.35">
      <c r="A171">
        <f>Pairs!B171-Pairs!A171</f>
        <v>1.4210854715202004E-12</v>
      </c>
    </row>
    <row r="172" spans="1:1" x14ac:dyDescent="0.35">
      <c r="A172">
        <f>Pairs!B172-Pairs!A172</f>
        <v>-1.4210854715202004E-12</v>
      </c>
    </row>
    <row r="173" spans="1:1" x14ac:dyDescent="0.35">
      <c r="A173">
        <f>Pairs!B173-Pairs!A173</f>
        <v>1.8189894035458565E-12</v>
      </c>
    </row>
    <row r="174" spans="1:1" x14ac:dyDescent="0.35">
      <c r="A174">
        <f>Pairs!B174-Pairs!A174</f>
        <v>-1.8189894035458565E-12</v>
      </c>
    </row>
    <row r="175" spans="1:1" x14ac:dyDescent="0.35">
      <c r="A175">
        <f>Pairs!B175-Pairs!A175</f>
        <v>3.637978807091713E-12</v>
      </c>
    </row>
    <row r="176" spans="1:1" x14ac:dyDescent="0.35">
      <c r="A176">
        <f>Pairs!B176-Pairs!A176</f>
        <v>-3.637978807091713E-12</v>
      </c>
    </row>
    <row r="177" spans="1:1" x14ac:dyDescent="0.35">
      <c r="A177">
        <f>Pairs!B177-Pairs!A177</f>
        <v>7.2759576141834259E-12</v>
      </c>
    </row>
    <row r="178" spans="1:1" x14ac:dyDescent="0.35">
      <c r="A178">
        <f>Pairs!B178-Pairs!A178</f>
        <v>-7.2759576141834259E-12</v>
      </c>
    </row>
    <row r="179" spans="1:1" x14ac:dyDescent="0.35">
      <c r="A179">
        <f>Pairs!B179-Pairs!A179</f>
        <v>1.4551915228366852E-11</v>
      </c>
    </row>
    <row r="180" spans="1:1" x14ac:dyDescent="0.35">
      <c r="A180">
        <f>Pairs!B180-Pairs!A180</f>
        <v>-1.4551915228366852E-11</v>
      </c>
    </row>
    <row r="181" spans="1:1" x14ac:dyDescent="0.35">
      <c r="A181">
        <f>Pairs!B181-Pairs!A181</f>
        <v>2.9103830456733704E-11</v>
      </c>
    </row>
    <row r="182" spans="1:1" x14ac:dyDescent="0.35">
      <c r="A182">
        <f>Pairs!B182-Pairs!A182</f>
        <v>-2.9103830456733704E-11</v>
      </c>
    </row>
    <row r="183" spans="1:1" x14ac:dyDescent="0.35">
      <c r="A183">
        <f>Pairs!B183-Pairs!A183</f>
        <v>5.8207660913467407E-11</v>
      </c>
    </row>
    <row r="184" spans="1:1" x14ac:dyDescent="0.35">
      <c r="A184">
        <f>Pairs!B184-Pairs!A184</f>
        <v>-5.8207660913467407E-11</v>
      </c>
    </row>
    <row r="185" spans="1:1" x14ac:dyDescent="0.35">
      <c r="A185">
        <f>Pairs!B185-Pairs!A185</f>
        <v>0</v>
      </c>
    </row>
    <row r="186" spans="1:1" x14ac:dyDescent="0.35">
      <c r="A186">
        <f>Pairs!B186-Pairs!A186</f>
        <v>0</v>
      </c>
    </row>
    <row r="187" spans="1:1" x14ac:dyDescent="0.35">
      <c r="A187">
        <f>Pairs!B187-Pairs!A187</f>
        <v>0</v>
      </c>
    </row>
    <row r="188" spans="1:1" x14ac:dyDescent="0.35">
      <c r="A188">
        <f>Pairs!B188-Pairs!A188</f>
        <v>0</v>
      </c>
    </row>
    <row r="189" spans="1:1" x14ac:dyDescent="0.35">
      <c r="A189">
        <f>Pairs!B189-Pairs!A189</f>
        <v>0</v>
      </c>
    </row>
    <row r="190" spans="1:1" x14ac:dyDescent="0.35">
      <c r="A190">
        <f>Pairs!B190-Pairs!A190</f>
        <v>0</v>
      </c>
    </row>
    <row r="191" spans="1:1" x14ac:dyDescent="0.35">
      <c r="A191">
        <f>Pairs!B191-Pairs!A191</f>
        <v>0</v>
      </c>
    </row>
    <row r="192" spans="1:1" x14ac:dyDescent="0.35">
      <c r="A192">
        <f>Pairs!B192-Pairs!A192</f>
        <v>0</v>
      </c>
    </row>
    <row r="193" spans="1:1" x14ac:dyDescent="0.35">
      <c r="A193">
        <f>Pairs!B193-Pairs!A193</f>
        <v>0</v>
      </c>
    </row>
    <row r="194" spans="1:1" x14ac:dyDescent="0.35">
      <c r="A194">
        <f>Pairs!B194-Pairs!A194</f>
        <v>0</v>
      </c>
    </row>
    <row r="195" spans="1:1" x14ac:dyDescent="0.35">
      <c r="A195">
        <f>Pairs!B195-Pairs!A195</f>
        <v>0</v>
      </c>
    </row>
    <row r="196" spans="1:1" x14ac:dyDescent="0.35">
      <c r="A196">
        <f>Pairs!B196-Pairs!A196</f>
        <v>0</v>
      </c>
    </row>
    <row r="197" spans="1:1" x14ac:dyDescent="0.35">
      <c r="A197">
        <f>Pairs!B197-Pairs!A197</f>
        <v>0</v>
      </c>
    </row>
    <row r="198" spans="1:1" x14ac:dyDescent="0.35">
      <c r="A198">
        <f>Pairs!B198-Pairs!A198</f>
        <v>0</v>
      </c>
    </row>
    <row r="199" spans="1:1" x14ac:dyDescent="0.35">
      <c r="A199">
        <f>Pairs!B199-Pairs!A199</f>
        <v>1.52587890625E-5</v>
      </c>
    </row>
    <row r="200" spans="1:1" x14ac:dyDescent="0.35">
      <c r="A200">
        <f>Pairs!B200-Pairs!A200</f>
        <v>-1.52587890625E-5</v>
      </c>
    </row>
    <row r="201" spans="1:1" x14ac:dyDescent="0.35">
      <c r="A201">
        <f>Pairs!B201-Pairs!A201</f>
        <v>1.9073486328125E-5</v>
      </c>
    </row>
    <row r="202" spans="1:1" x14ac:dyDescent="0.35">
      <c r="A202">
        <f>Pairs!B202-Pairs!A202</f>
        <v>-1.9073486328125E-5</v>
      </c>
    </row>
    <row r="203" spans="1:1" x14ac:dyDescent="0.35">
      <c r="A203">
        <f>Pairs!B203-Pairs!A203</f>
        <v>2.288818359375E-5</v>
      </c>
    </row>
    <row r="204" spans="1:1" x14ac:dyDescent="0.35">
      <c r="A204">
        <f>Pairs!B204-Pairs!A204</f>
        <v>-2.288818359375E-5</v>
      </c>
    </row>
    <row r="205" spans="1:1" x14ac:dyDescent="0.35">
      <c r="A205">
        <f>Pairs!B205-Pairs!A205</f>
        <v>3.0517578125E-5</v>
      </c>
    </row>
    <row r="206" spans="1:1" x14ac:dyDescent="0.35">
      <c r="A206">
        <f>Pairs!B206-Pairs!A206</f>
        <v>-3.0517578125E-5</v>
      </c>
    </row>
    <row r="207" spans="1:1" x14ac:dyDescent="0.35">
      <c r="A207">
        <f>Pairs!B207-Pairs!A207</f>
        <v>3.814697265625E-5</v>
      </c>
    </row>
    <row r="208" spans="1:1" x14ac:dyDescent="0.35">
      <c r="A208">
        <f>Pairs!B208-Pairs!A208</f>
        <v>-3.814697265625E-5</v>
      </c>
    </row>
    <row r="209" spans="1:1" x14ac:dyDescent="0.35">
      <c r="A209">
        <f>Pairs!B209-Pairs!A209</f>
        <v>4.57763671875E-5</v>
      </c>
    </row>
    <row r="210" spans="1:1" x14ac:dyDescent="0.35">
      <c r="A210">
        <f>Pairs!B210-Pairs!A210</f>
        <v>-4.57763671875E-5</v>
      </c>
    </row>
    <row r="211" spans="1:1" x14ac:dyDescent="0.35">
      <c r="A211">
        <f>Pairs!B211-Pairs!A211</f>
        <v>6.103515625E-5</v>
      </c>
    </row>
    <row r="212" spans="1:1" x14ac:dyDescent="0.35">
      <c r="A212">
        <f>Pairs!B212-Pairs!A212</f>
        <v>-6.103515625E-5</v>
      </c>
    </row>
    <row r="213" spans="1:1" x14ac:dyDescent="0.35">
      <c r="A213">
        <f>Pairs!B213-Pairs!A213</f>
        <v>9.1552734375E-5</v>
      </c>
    </row>
    <row r="214" spans="1:1" x14ac:dyDescent="0.35">
      <c r="A214">
        <f>Pairs!B214-Pairs!A214</f>
        <v>-9.1552734375E-5</v>
      </c>
    </row>
    <row r="215" spans="1:1" x14ac:dyDescent="0.35">
      <c r="A215">
        <f>Pairs!B215-Pairs!A215</f>
        <v>1.220703125E-4</v>
      </c>
    </row>
    <row r="216" spans="1:1" x14ac:dyDescent="0.35">
      <c r="A216">
        <f>Pairs!B216-Pairs!A216</f>
        <v>-1.220703125E-4</v>
      </c>
    </row>
    <row r="217" spans="1:1" x14ac:dyDescent="0.35">
      <c r="A217">
        <f>Pairs!B217-Pairs!A217</f>
        <v>1.9073486328125E-4</v>
      </c>
    </row>
    <row r="218" spans="1:1" x14ac:dyDescent="0.35">
      <c r="A218">
        <f>Pairs!B218-Pairs!A218</f>
        <v>-1.9073486328125E-4</v>
      </c>
    </row>
    <row r="219" spans="1:1" x14ac:dyDescent="0.35">
      <c r="A219">
        <f>Pairs!B219-Pairs!A219</f>
        <v>2.44140625E-4</v>
      </c>
    </row>
    <row r="220" spans="1:1" x14ac:dyDescent="0.35">
      <c r="A220">
        <f>Pairs!B220-Pairs!A220</f>
        <v>-2.44140625E-4</v>
      </c>
    </row>
    <row r="221" spans="1:1" x14ac:dyDescent="0.35">
      <c r="A221">
        <f>Pairs!B221-Pairs!A221</f>
        <v>4.8828125E-4</v>
      </c>
    </row>
    <row r="222" spans="1:1" x14ac:dyDescent="0.35">
      <c r="A222">
        <f>Pairs!B222-Pairs!A222</f>
        <v>-4.8828125E-4</v>
      </c>
    </row>
    <row r="223" spans="1:1" x14ac:dyDescent="0.35">
      <c r="A223">
        <f>Pairs!B223-Pairs!A223</f>
        <v>9.765625E-4</v>
      </c>
    </row>
    <row r="224" spans="1:1" x14ac:dyDescent="0.35">
      <c r="A224">
        <f>Pairs!B224-Pairs!A224</f>
        <v>-9.765625E-4</v>
      </c>
    </row>
    <row r="225" spans="1:1" x14ac:dyDescent="0.35">
      <c r="A225">
        <f>Pairs!B225-Pairs!A225</f>
        <v>1.953125E-3</v>
      </c>
    </row>
    <row r="226" spans="1:1" x14ac:dyDescent="0.35">
      <c r="A226">
        <f>Pairs!B226-Pairs!A226</f>
        <v>-1.953125E-3</v>
      </c>
    </row>
    <row r="227" spans="1:1" x14ac:dyDescent="0.35">
      <c r="A227">
        <f>Pairs!B227-Pairs!A227</f>
        <v>3.90625E-3</v>
      </c>
    </row>
    <row r="228" spans="1:1" x14ac:dyDescent="0.35">
      <c r="A228">
        <f>Pairs!B228-Pairs!A228</f>
        <v>-3.90625E-3</v>
      </c>
    </row>
    <row r="229" spans="1:1" x14ac:dyDescent="0.35">
      <c r="A229">
        <f>Pairs!B229-Pairs!A229</f>
        <v>7.8125E-3</v>
      </c>
    </row>
    <row r="230" spans="1:1" x14ac:dyDescent="0.35">
      <c r="A230">
        <f>Pairs!B230-Pairs!A230</f>
        <v>-7.8125E-3</v>
      </c>
    </row>
    <row r="231" spans="1:1" x14ac:dyDescent="0.35">
      <c r="A231">
        <f>Pairs!B231-Pairs!A231</f>
        <v>0</v>
      </c>
    </row>
    <row r="232" spans="1:1" x14ac:dyDescent="0.35">
      <c r="A232">
        <f>Pairs!B232-Pairs!A232</f>
        <v>0</v>
      </c>
    </row>
    <row r="233" spans="1:1" x14ac:dyDescent="0.35">
      <c r="A233">
        <f>Pairs!B233-Pairs!A233</f>
        <v>0</v>
      </c>
    </row>
    <row r="234" spans="1:1" x14ac:dyDescent="0.35">
      <c r="A234">
        <f>Pairs!B234-Pairs!A234</f>
        <v>0</v>
      </c>
    </row>
    <row r="235" spans="1:1" x14ac:dyDescent="0.35">
      <c r="A235">
        <f>Pairs!B235-Pairs!A235</f>
        <v>0</v>
      </c>
    </row>
    <row r="236" spans="1:1" x14ac:dyDescent="0.35">
      <c r="A236">
        <f>Pairs!B236-Pairs!A236</f>
        <v>0</v>
      </c>
    </row>
    <row r="237" spans="1:1" x14ac:dyDescent="0.35">
      <c r="A237">
        <f>Pairs!B237-Pairs!A237</f>
        <v>0</v>
      </c>
    </row>
    <row r="238" spans="1:1" x14ac:dyDescent="0.35">
      <c r="A238">
        <f>Pairs!B238-Pairs!A238</f>
        <v>0</v>
      </c>
    </row>
    <row r="239" spans="1:1" x14ac:dyDescent="0.35">
      <c r="A239">
        <f>Pairs!B239-Pairs!A239</f>
        <v>0</v>
      </c>
    </row>
    <row r="240" spans="1:1" x14ac:dyDescent="0.35">
      <c r="A240">
        <f>Pairs!B240-Pairs!A240</f>
        <v>0</v>
      </c>
    </row>
    <row r="241" spans="1:1" x14ac:dyDescent="0.35">
      <c r="A241">
        <f>Pairs!B241-Pairs!A241</f>
        <v>0</v>
      </c>
    </row>
    <row r="242" spans="1:1" x14ac:dyDescent="0.35">
      <c r="A242">
        <f>Pairs!B242-Pairs!A242</f>
        <v>0</v>
      </c>
    </row>
    <row r="243" spans="1:1" x14ac:dyDescent="0.35">
      <c r="A243">
        <f>Pairs!B243-Pairs!A243</f>
        <v>0</v>
      </c>
    </row>
    <row r="244" spans="1:1" x14ac:dyDescent="0.35">
      <c r="A244">
        <f>Pairs!B244-Pairs!A244</f>
        <v>0</v>
      </c>
    </row>
    <row r="245" spans="1:1" x14ac:dyDescent="0.35">
      <c r="A245">
        <f>Pairs!B245-Pairs!A245</f>
        <v>1.0339757656912846E-25</v>
      </c>
    </row>
    <row r="246" spans="1:1" x14ac:dyDescent="0.35">
      <c r="A246">
        <f>Pairs!B246-Pairs!A246</f>
        <v>-1.0339757656912846E-25</v>
      </c>
    </row>
    <row r="247" spans="1:1" x14ac:dyDescent="0.35">
      <c r="A247">
        <f>Pairs!B247-Pairs!A247</f>
        <v>1.2924697071141057E-25</v>
      </c>
    </row>
    <row r="248" spans="1:1" x14ac:dyDescent="0.35">
      <c r="A248">
        <f>Pairs!B248-Pairs!A248</f>
        <v>-1.2924697071141057E-25</v>
      </c>
    </row>
    <row r="249" spans="1:1" x14ac:dyDescent="0.35">
      <c r="A249">
        <f>Pairs!B249-Pairs!A249</f>
        <v>1.5509636485369269E-25</v>
      </c>
    </row>
    <row r="250" spans="1:1" x14ac:dyDescent="0.35">
      <c r="A250">
        <f>Pairs!B250-Pairs!A250</f>
        <v>-1.5509636485369269E-25</v>
      </c>
    </row>
    <row r="251" spans="1:1" x14ac:dyDescent="0.35">
      <c r="A251">
        <f>Pairs!B251-Pairs!A251</f>
        <v>2.0679515313825692E-25</v>
      </c>
    </row>
    <row r="252" spans="1:1" x14ac:dyDescent="0.35">
      <c r="A252">
        <f>Pairs!B252-Pairs!A252</f>
        <v>-2.0679515313825692E-25</v>
      </c>
    </row>
    <row r="253" spans="1:1" x14ac:dyDescent="0.35">
      <c r="A253">
        <f>Pairs!B253-Pairs!A253</f>
        <v>2.5849394142282115E-25</v>
      </c>
    </row>
    <row r="254" spans="1:1" x14ac:dyDescent="0.35">
      <c r="A254">
        <f>Pairs!B254-Pairs!A254</f>
        <v>-2.5849394142282115E-25</v>
      </c>
    </row>
    <row r="255" spans="1:1" x14ac:dyDescent="0.35">
      <c r="A255">
        <f>Pairs!B255-Pairs!A255</f>
        <v>3.1019272970738538E-25</v>
      </c>
    </row>
    <row r="256" spans="1:1" x14ac:dyDescent="0.35">
      <c r="A256">
        <f>Pairs!B256-Pairs!A256</f>
        <v>-3.1019272970738538E-25</v>
      </c>
    </row>
    <row r="257" spans="1:1" x14ac:dyDescent="0.35">
      <c r="A257">
        <f>Pairs!B257-Pairs!A257</f>
        <v>4.1359030627651384E-25</v>
      </c>
    </row>
    <row r="258" spans="1:1" x14ac:dyDescent="0.35">
      <c r="A258">
        <f>Pairs!B258-Pairs!A258</f>
        <v>-4.1359030627651384E-25</v>
      </c>
    </row>
    <row r="259" spans="1:1" x14ac:dyDescent="0.35">
      <c r="A259">
        <f>Pairs!B259-Pairs!A259</f>
        <v>6.2038545941477076E-25</v>
      </c>
    </row>
    <row r="260" spans="1:1" x14ac:dyDescent="0.35">
      <c r="A260">
        <f>Pairs!B260-Pairs!A260</f>
        <v>-6.2038545941477076E-25</v>
      </c>
    </row>
    <row r="261" spans="1:1" x14ac:dyDescent="0.35">
      <c r="A261">
        <f>Pairs!B261-Pairs!A261</f>
        <v>8.2718061255302767E-25</v>
      </c>
    </row>
    <row r="262" spans="1:1" x14ac:dyDescent="0.35">
      <c r="A262">
        <f>Pairs!B262-Pairs!A262</f>
        <v>-8.2718061255302767E-25</v>
      </c>
    </row>
    <row r="263" spans="1:1" x14ac:dyDescent="0.35">
      <c r="A263">
        <f>Pairs!B263-Pairs!A263</f>
        <v>1.2924697071141057E-24</v>
      </c>
    </row>
    <row r="264" spans="1:1" x14ac:dyDescent="0.35">
      <c r="A264">
        <f>Pairs!B264-Pairs!A264</f>
        <v>-1.2924697071141057E-24</v>
      </c>
    </row>
    <row r="265" spans="1:1" x14ac:dyDescent="0.35">
      <c r="A265">
        <f>Pairs!B265-Pairs!A265</f>
        <v>1.6543612251060553E-24</v>
      </c>
    </row>
    <row r="266" spans="1:1" x14ac:dyDescent="0.35">
      <c r="A266">
        <f>Pairs!B266-Pairs!A266</f>
        <v>-1.6543612251060553E-24</v>
      </c>
    </row>
    <row r="267" spans="1:1" x14ac:dyDescent="0.35">
      <c r="A267">
        <f>Pairs!B267-Pairs!A267</f>
        <v>3.3087224502121107E-24</v>
      </c>
    </row>
    <row r="268" spans="1:1" x14ac:dyDescent="0.35">
      <c r="A268">
        <f>Pairs!B268-Pairs!A268</f>
        <v>-3.3087224502121107E-24</v>
      </c>
    </row>
    <row r="269" spans="1:1" x14ac:dyDescent="0.35">
      <c r="A269">
        <f>Pairs!B269-Pairs!A269</f>
        <v>6.6174449004242214E-24</v>
      </c>
    </row>
    <row r="270" spans="1:1" x14ac:dyDescent="0.35">
      <c r="A270">
        <f>Pairs!B270-Pairs!A270</f>
        <v>-6.6174449004242214E-24</v>
      </c>
    </row>
    <row r="271" spans="1:1" x14ac:dyDescent="0.35">
      <c r="A271">
        <f>Pairs!B271-Pairs!A271</f>
        <v>1.3234889800848443E-23</v>
      </c>
    </row>
    <row r="272" spans="1:1" x14ac:dyDescent="0.35">
      <c r="A272">
        <f>Pairs!B272-Pairs!A272</f>
        <v>-1.3234889800848443E-23</v>
      </c>
    </row>
    <row r="273" spans="1:1" x14ac:dyDescent="0.35">
      <c r="A273">
        <f>Pairs!B273-Pairs!A273</f>
        <v>2.6469779601696886E-23</v>
      </c>
    </row>
    <row r="274" spans="1:1" x14ac:dyDescent="0.35">
      <c r="A274">
        <f>Pairs!B274-Pairs!A274</f>
        <v>-2.6469779601696886E-23</v>
      </c>
    </row>
    <row r="275" spans="1:1" x14ac:dyDescent="0.35">
      <c r="A275">
        <f>Pairs!B275-Pairs!A275</f>
        <v>5.2939559203393771E-23</v>
      </c>
    </row>
    <row r="276" spans="1:1" x14ac:dyDescent="0.35">
      <c r="A276">
        <f>Pairs!B276-Pairs!A276</f>
        <v>-5.2939559203393771E-23</v>
      </c>
    </row>
    <row r="277" spans="1:1" x14ac:dyDescent="0.35">
      <c r="A277">
        <f>Pairs!B277-Pairs!A277</f>
        <v>0</v>
      </c>
    </row>
    <row r="278" spans="1:1" x14ac:dyDescent="0.35">
      <c r="A278">
        <f>Pairs!B278-Pairs!A278</f>
        <v>0</v>
      </c>
    </row>
    <row r="279" spans="1:1" x14ac:dyDescent="0.35">
      <c r="A279">
        <f>Pairs!B279-Pairs!A279</f>
        <v>0</v>
      </c>
    </row>
    <row r="280" spans="1:1" x14ac:dyDescent="0.35">
      <c r="A280">
        <f>Pairs!B280-Pairs!A280</f>
        <v>0</v>
      </c>
    </row>
    <row r="281" spans="1:1" x14ac:dyDescent="0.35">
      <c r="A281">
        <f>Pairs!B281-Pairs!A281</f>
        <v>0</v>
      </c>
    </row>
    <row r="282" spans="1:1" x14ac:dyDescent="0.35">
      <c r="A282">
        <f>Pairs!B282-Pairs!A282</f>
        <v>0</v>
      </c>
    </row>
    <row r="283" spans="1:1" x14ac:dyDescent="0.35">
      <c r="A283">
        <f>Pairs!B283-Pairs!A283</f>
        <v>0</v>
      </c>
    </row>
    <row r="284" spans="1:1" x14ac:dyDescent="0.35">
      <c r="A284">
        <f>Pairs!B284-Pairs!A284</f>
        <v>0</v>
      </c>
    </row>
    <row r="285" spans="1:1" x14ac:dyDescent="0.35">
      <c r="A285">
        <f>Pairs!B285-Pairs!A285</f>
        <v>0</v>
      </c>
    </row>
    <row r="286" spans="1:1" x14ac:dyDescent="0.35">
      <c r="A286">
        <f>Pairs!B286-Pairs!A286</f>
        <v>0</v>
      </c>
    </row>
    <row r="287" spans="1:1" x14ac:dyDescent="0.35">
      <c r="A287">
        <f>Pairs!B287-Pairs!A287</f>
        <v>0</v>
      </c>
    </row>
    <row r="288" spans="1:1" x14ac:dyDescent="0.35">
      <c r="A288">
        <f>Pairs!B288-Pairs!A288</f>
        <v>0</v>
      </c>
    </row>
    <row r="289" spans="1:1" x14ac:dyDescent="0.35">
      <c r="A289">
        <f>Pairs!B289-Pairs!A289</f>
        <v>0</v>
      </c>
    </row>
    <row r="290" spans="1:1" x14ac:dyDescent="0.35">
      <c r="A290">
        <f>Pairs!B290-Pairs!A290</f>
        <v>0</v>
      </c>
    </row>
    <row r="291" spans="1:1" x14ac:dyDescent="0.35">
      <c r="A291">
        <f>Pairs!B291-Pairs!A291</f>
        <v>1.1896135267822265E+285</v>
      </c>
    </row>
    <row r="292" spans="1:1" x14ac:dyDescent="0.35">
      <c r="A292">
        <f>Pairs!B292-Pairs!A292</f>
        <v>-1.1896135267822265E+285</v>
      </c>
    </row>
    <row r="293" spans="1:1" x14ac:dyDescent="0.35">
      <c r="A293">
        <f>Pairs!B293-Pairs!A293</f>
        <v>1.4870169084777831E+285</v>
      </c>
    </row>
    <row r="294" spans="1:1" x14ac:dyDescent="0.35">
      <c r="A294">
        <f>Pairs!B294-Pairs!A294</f>
        <v>-1.4870169084777831E+285</v>
      </c>
    </row>
    <row r="295" spans="1:1" x14ac:dyDescent="0.35">
      <c r="A295">
        <f>Pairs!B295-Pairs!A295</f>
        <v>1.7844202901733397E+285</v>
      </c>
    </row>
    <row r="296" spans="1:1" x14ac:dyDescent="0.35">
      <c r="A296">
        <f>Pairs!B296-Pairs!A296</f>
        <v>-1.7844202901733397E+285</v>
      </c>
    </row>
    <row r="297" spans="1:1" x14ac:dyDescent="0.35">
      <c r="A297">
        <f>Pairs!B297-Pairs!A297</f>
        <v>2.3792270535644529E+285</v>
      </c>
    </row>
    <row r="298" spans="1:1" x14ac:dyDescent="0.35">
      <c r="A298">
        <f>Pairs!B298-Pairs!A298</f>
        <v>-2.3792270535644529E+285</v>
      </c>
    </row>
    <row r="299" spans="1:1" x14ac:dyDescent="0.35">
      <c r="A299">
        <f>Pairs!B299-Pairs!A299</f>
        <v>2.9740338169555661E+285</v>
      </c>
    </row>
    <row r="300" spans="1:1" x14ac:dyDescent="0.35">
      <c r="A300">
        <f>Pairs!B300-Pairs!A300</f>
        <v>-2.9740338169555661E+285</v>
      </c>
    </row>
    <row r="301" spans="1:1" x14ac:dyDescent="0.35">
      <c r="A301">
        <f>Pairs!B301-Pairs!A301</f>
        <v>3.5688405803466794E+285</v>
      </c>
    </row>
    <row r="302" spans="1:1" x14ac:dyDescent="0.35">
      <c r="A302">
        <f>Pairs!B302-Pairs!A302</f>
        <v>-3.5688405803466794E+285</v>
      </c>
    </row>
    <row r="303" spans="1:1" x14ac:dyDescent="0.35">
      <c r="A303">
        <f>Pairs!B303-Pairs!A303</f>
        <v>4.7584541071289058E+285</v>
      </c>
    </row>
    <row r="304" spans="1:1" x14ac:dyDescent="0.35">
      <c r="A304">
        <f>Pairs!B304-Pairs!A304</f>
        <v>-4.7584541071289058E+285</v>
      </c>
    </row>
    <row r="305" spans="1:1" x14ac:dyDescent="0.35">
      <c r="A305">
        <f>Pairs!B305-Pairs!A305</f>
        <v>7.1376811606933587E+285</v>
      </c>
    </row>
    <row r="306" spans="1:1" x14ac:dyDescent="0.35">
      <c r="A306">
        <f>Pairs!B306-Pairs!A306</f>
        <v>-7.1376811606933587E+285</v>
      </c>
    </row>
    <row r="307" spans="1:1" x14ac:dyDescent="0.35">
      <c r="A307">
        <f>Pairs!B307-Pairs!A307</f>
        <v>9.5169082142578116E+285</v>
      </c>
    </row>
    <row r="308" spans="1:1" x14ac:dyDescent="0.35">
      <c r="A308">
        <f>Pairs!B308-Pairs!A308</f>
        <v>-9.5169082142578116E+285</v>
      </c>
    </row>
    <row r="309" spans="1:1" x14ac:dyDescent="0.35">
      <c r="A309">
        <f>Pairs!B309-Pairs!A309</f>
        <v>1.4870169084777831E+286</v>
      </c>
    </row>
    <row r="310" spans="1:1" x14ac:dyDescent="0.35">
      <c r="A310">
        <f>Pairs!B310-Pairs!A310</f>
        <v>-1.4870169084777831E+286</v>
      </c>
    </row>
    <row r="311" spans="1:1" x14ac:dyDescent="0.35">
      <c r="A311">
        <f>Pairs!B311-Pairs!A311</f>
        <v>1.9033816428515623E+286</v>
      </c>
    </row>
    <row r="312" spans="1:1" x14ac:dyDescent="0.35">
      <c r="A312">
        <f>Pairs!B312-Pairs!A312</f>
        <v>-1.9033816428515623E+286</v>
      </c>
    </row>
    <row r="313" spans="1:1" x14ac:dyDescent="0.35">
      <c r="A313">
        <f>Pairs!B313-Pairs!A313</f>
        <v>3.8067632857031246E+286</v>
      </c>
    </row>
    <row r="314" spans="1:1" x14ac:dyDescent="0.35">
      <c r="A314">
        <f>Pairs!B314-Pairs!A314</f>
        <v>-3.8067632857031246E+286</v>
      </c>
    </row>
    <row r="315" spans="1:1" x14ac:dyDescent="0.35">
      <c r="A315">
        <f>Pairs!B315-Pairs!A315</f>
        <v>7.6135265714062493E+286</v>
      </c>
    </row>
    <row r="316" spans="1:1" x14ac:dyDescent="0.35">
      <c r="A316">
        <f>Pairs!B316-Pairs!A316</f>
        <v>-7.6135265714062493E+286</v>
      </c>
    </row>
    <row r="317" spans="1:1" x14ac:dyDescent="0.35">
      <c r="A317">
        <f>Pairs!B317-Pairs!A317</f>
        <v>1.5227053142812499E+287</v>
      </c>
    </row>
    <row r="318" spans="1:1" x14ac:dyDescent="0.35">
      <c r="A318">
        <f>Pairs!B318-Pairs!A318</f>
        <v>-1.5227053142812499E+287</v>
      </c>
    </row>
    <row r="319" spans="1:1" x14ac:dyDescent="0.35">
      <c r="A319">
        <f>Pairs!B319-Pairs!A319</f>
        <v>3.0454106285624997E+287</v>
      </c>
    </row>
    <row r="320" spans="1:1" x14ac:dyDescent="0.35">
      <c r="A320">
        <f>Pairs!B320-Pairs!A320</f>
        <v>-3.0454106285624997E+287</v>
      </c>
    </row>
    <row r="321" spans="1:1" x14ac:dyDescent="0.35">
      <c r="A321">
        <f>Pairs!B321-Pairs!A321</f>
        <v>6.0908212571249994E+287</v>
      </c>
    </row>
    <row r="322" spans="1:1" x14ac:dyDescent="0.35">
      <c r="A322">
        <f>Pairs!B322-Pairs!A322</f>
        <v>-6.0908212571249994E+287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6378-2040-4057-8CC3-4ADA0A37EFE1}">
  <dimension ref="A1:A322"/>
  <sheetViews>
    <sheetView workbookViewId="0"/>
  </sheetViews>
  <sheetFormatPr defaultRowHeight="14.5" x14ac:dyDescent="0.35"/>
  <sheetData>
    <row r="1" spans="1:1" x14ac:dyDescent="0.35">
      <c r="A1">
        <f>SUM(Pairs!B1,-Pairs!A1)</f>
        <v>0</v>
      </c>
    </row>
    <row r="2" spans="1:1" x14ac:dyDescent="0.35">
      <c r="A2">
        <f>SUM(Pairs!B2,-Pairs!A2)</f>
        <v>0</v>
      </c>
    </row>
    <row r="3" spans="1:1" x14ac:dyDescent="0.35">
      <c r="A3">
        <f>SUM(Pairs!B3,-Pairs!A3)</f>
        <v>0</v>
      </c>
    </row>
    <row r="4" spans="1:1" x14ac:dyDescent="0.35">
      <c r="A4">
        <f>SUM(Pairs!B4,-Pairs!A4)</f>
        <v>0</v>
      </c>
    </row>
    <row r="5" spans="1:1" x14ac:dyDescent="0.35">
      <c r="A5">
        <f>SUM(Pairs!B5,-Pairs!A5)</f>
        <v>0</v>
      </c>
    </row>
    <row r="6" spans="1:1" x14ac:dyDescent="0.35">
      <c r="A6">
        <f>SUM(Pairs!B6,-Pairs!A6)</f>
        <v>0</v>
      </c>
    </row>
    <row r="7" spans="1:1" x14ac:dyDescent="0.35">
      <c r="A7">
        <f>SUM(Pairs!B7,-Pairs!A7)</f>
        <v>0</v>
      </c>
    </row>
    <row r="8" spans="1:1" x14ac:dyDescent="0.35">
      <c r="A8">
        <f>SUM(Pairs!B8,-Pairs!A8)</f>
        <v>0</v>
      </c>
    </row>
    <row r="9" spans="1:1" x14ac:dyDescent="0.35">
      <c r="A9">
        <f>SUM(Pairs!B9,-Pairs!A9)</f>
        <v>0</v>
      </c>
    </row>
    <row r="10" spans="1:1" x14ac:dyDescent="0.35">
      <c r="A10">
        <f>SUM(Pairs!B10,-Pairs!A10)</f>
        <v>0</v>
      </c>
    </row>
    <row r="11" spans="1:1" x14ac:dyDescent="0.35">
      <c r="A11">
        <f>SUM(Pairs!B11,-Pairs!A11)</f>
        <v>0</v>
      </c>
    </row>
    <row r="12" spans="1:1" x14ac:dyDescent="0.35">
      <c r="A12">
        <f>SUM(Pairs!B12,-Pairs!A12)</f>
        <v>0</v>
      </c>
    </row>
    <row r="13" spans="1:1" x14ac:dyDescent="0.35">
      <c r="A13">
        <f>SUM(Pairs!B13,-Pairs!A13)</f>
        <v>0</v>
      </c>
    </row>
    <row r="14" spans="1:1" x14ac:dyDescent="0.35">
      <c r="A14">
        <f>SUM(Pairs!B14,-Pairs!A14)</f>
        <v>0</v>
      </c>
    </row>
    <row r="15" spans="1:1" x14ac:dyDescent="0.35">
      <c r="A15">
        <f>SUM(Pairs!B15,-Pairs!A15)</f>
        <v>1.7763568394002505E-15</v>
      </c>
    </row>
    <row r="16" spans="1:1" x14ac:dyDescent="0.35">
      <c r="A16">
        <f>SUM(Pairs!B16,-Pairs!A16)</f>
        <v>-8.8817841970012523E-16</v>
      </c>
    </row>
    <row r="17" spans="1:1" x14ac:dyDescent="0.35">
      <c r="A17">
        <f>SUM(Pairs!B17,-Pairs!A17)</f>
        <v>2.2204460492503131E-15</v>
      </c>
    </row>
    <row r="18" spans="1:1" x14ac:dyDescent="0.35">
      <c r="A18">
        <f>SUM(Pairs!B18,-Pairs!A18)</f>
        <v>-1.1102230246251565E-15</v>
      </c>
    </row>
    <row r="19" spans="1:1" x14ac:dyDescent="0.35">
      <c r="A19">
        <f>SUM(Pairs!B19,-Pairs!A19)</f>
        <v>2.6645352591003757E-15</v>
      </c>
    </row>
    <row r="20" spans="1:1" x14ac:dyDescent="0.35">
      <c r="A20">
        <f>SUM(Pairs!B20,-Pairs!A20)</f>
        <v>-1.3322676295501878E-15</v>
      </c>
    </row>
    <row r="21" spans="1:1" x14ac:dyDescent="0.35">
      <c r="A21">
        <f>SUM(Pairs!B21,-Pairs!A21)</f>
        <v>3.5527136788005009E-15</v>
      </c>
    </row>
    <row r="22" spans="1:1" x14ac:dyDescent="0.35">
      <c r="A22">
        <f>SUM(Pairs!B22,-Pairs!A22)</f>
        <v>-1.7763568394002505E-15</v>
      </c>
    </row>
    <row r="23" spans="1:1" x14ac:dyDescent="0.35">
      <c r="A23">
        <f>SUM(Pairs!B23,-Pairs!A23)</f>
        <v>4.4408920985006262E-15</v>
      </c>
    </row>
    <row r="24" spans="1:1" x14ac:dyDescent="0.35">
      <c r="A24">
        <f>SUM(Pairs!B24,-Pairs!A24)</f>
        <v>-2.2204460492503131E-15</v>
      </c>
    </row>
    <row r="25" spans="1:1" x14ac:dyDescent="0.35">
      <c r="A25">
        <f>SUM(Pairs!B25,-Pairs!A25)</f>
        <v>5.3290705182007514E-15</v>
      </c>
    </row>
    <row r="26" spans="1:1" x14ac:dyDescent="0.35">
      <c r="A26">
        <f>SUM(Pairs!B26,-Pairs!A26)</f>
        <v>-2.6645352591003757E-15</v>
      </c>
    </row>
    <row r="27" spans="1:1" x14ac:dyDescent="0.35">
      <c r="A27">
        <f>SUM(Pairs!B27,-Pairs!A27)</f>
        <v>7.1054273576010019E-15</v>
      </c>
    </row>
    <row r="28" spans="1:1" x14ac:dyDescent="0.35">
      <c r="A28">
        <f>SUM(Pairs!B28,-Pairs!A28)</f>
        <v>-3.5527136788005009E-15</v>
      </c>
    </row>
    <row r="29" spans="1:1" x14ac:dyDescent="0.35">
      <c r="A29">
        <f>SUM(Pairs!B29,-Pairs!A29)</f>
        <v>1.0658141036401503E-14</v>
      </c>
    </row>
    <row r="30" spans="1:1" x14ac:dyDescent="0.35">
      <c r="A30">
        <f>SUM(Pairs!B30,-Pairs!A30)</f>
        <v>-5.3290705182007514E-15</v>
      </c>
    </row>
    <row r="31" spans="1:1" x14ac:dyDescent="0.35">
      <c r="A31">
        <f>SUM(Pairs!B31,-Pairs!A31)</f>
        <v>1.4210854715202004E-14</v>
      </c>
    </row>
    <row r="32" spans="1:1" x14ac:dyDescent="0.35">
      <c r="A32">
        <f>SUM(Pairs!B32,-Pairs!A32)</f>
        <v>-7.1054273576010019E-15</v>
      </c>
    </row>
    <row r="33" spans="1:1" x14ac:dyDescent="0.35">
      <c r="A33">
        <f>SUM(Pairs!B33,-Pairs!A33)</f>
        <v>2.2204460492503131E-14</v>
      </c>
    </row>
    <row r="34" spans="1:1" x14ac:dyDescent="0.35">
      <c r="A34">
        <f>SUM(Pairs!B34,-Pairs!A34)</f>
        <v>-1.1102230246251565E-14</v>
      </c>
    </row>
    <row r="35" spans="1:1" x14ac:dyDescent="0.35">
      <c r="A35">
        <f>SUM(Pairs!B35,-Pairs!A35)</f>
        <v>2.8421709430404007E-14</v>
      </c>
    </row>
    <row r="36" spans="1:1" x14ac:dyDescent="0.35">
      <c r="A36">
        <f>SUM(Pairs!B36,-Pairs!A36)</f>
        <v>-1.4210854715202004E-14</v>
      </c>
    </row>
    <row r="37" spans="1:1" x14ac:dyDescent="0.35">
      <c r="A37">
        <f>SUM(Pairs!B37,-Pairs!A37)</f>
        <v>5.6843418860808015E-14</v>
      </c>
    </row>
    <row r="38" spans="1:1" x14ac:dyDescent="0.35">
      <c r="A38">
        <f>SUM(Pairs!B38,-Pairs!A38)</f>
        <v>-2.8421709430404007E-14</v>
      </c>
    </row>
    <row r="39" spans="1:1" x14ac:dyDescent="0.35">
      <c r="A39">
        <f>SUM(Pairs!B39,-Pairs!A39)</f>
        <v>1.1368683772161603E-13</v>
      </c>
    </row>
    <row r="40" spans="1:1" x14ac:dyDescent="0.35">
      <c r="A40">
        <f>SUM(Pairs!B40,-Pairs!A40)</f>
        <v>-5.6843418860808015E-14</v>
      </c>
    </row>
    <row r="41" spans="1:1" x14ac:dyDescent="0.35">
      <c r="A41">
        <f>SUM(Pairs!B41,-Pairs!A41)</f>
        <v>2.2737367544323206E-13</v>
      </c>
    </row>
    <row r="42" spans="1:1" x14ac:dyDescent="0.35">
      <c r="A42">
        <f>SUM(Pairs!B42,-Pairs!A42)</f>
        <v>-1.1368683772161603E-13</v>
      </c>
    </row>
    <row r="43" spans="1:1" x14ac:dyDescent="0.35">
      <c r="A43">
        <f>SUM(Pairs!B43,-Pairs!A43)</f>
        <v>4.5474735088646412E-13</v>
      </c>
    </row>
    <row r="44" spans="1:1" x14ac:dyDescent="0.35">
      <c r="A44">
        <f>SUM(Pairs!B44,-Pairs!A44)</f>
        <v>-2.2737367544323206E-13</v>
      </c>
    </row>
    <row r="45" spans="1:1" x14ac:dyDescent="0.35">
      <c r="A45">
        <f>SUM(Pairs!B45,-Pairs!A45)</f>
        <v>9.0949470177292824E-13</v>
      </c>
    </row>
    <row r="46" spans="1:1" x14ac:dyDescent="0.35">
      <c r="A46">
        <f>SUM(Pairs!B46,-Pairs!A46)</f>
        <v>-4.5474735088646412E-13</v>
      </c>
    </row>
    <row r="47" spans="1:1" x14ac:dyDescent="0.35">
      <c r="A47">
        <f>SUM(Pairs!B47,-Pairs!A47)</f>
        <v>0</v>
      </c>
    </row>
    <row r="48" spans="1:1" x14ac:dyDescent="0.35">
      <c r="A48">
        <f>SUM(Pairs!B48,-Pairs!A48)</f>
        <v>0</v>
      </c>
    </row>
    <row r="49" spans="1:1" x14ac:dyDescent="0.35">
      <c r="A49">
        <f>SUM(Pairs!B49,-Pairs!A49)</f>
        <v>0</v>
      </c>
    </row>
    <row r="50" spans="1:1" x14ac:dyDescent="0.35">
      <c r="A50">
        <f>SUM(Pairs!B50,-Pairs!A50)</f>
        <v>0</v>
      </c>
    </row>
    <row r="51" spans="1:1" x14ac:dyDescent="0.35">
      <c r="A51">
        <f>SUM(Pairs!B51,-Pairs!A51)</f>
        <v>0</v>
      </c>
    </row>
    <row r="52" spans="1:1" x14ac:dyDescent="0.35">
      <c r="A52">
        <f>SUM(Pairs!B52,-Pairs!A52)</f>
        <v>0</v>
      </c>
    </row>
    <row r="53" spans="1:1" x14ac:dyDescent="0.35">
      <c r="A53">
        <f>SUM(Pairs!B53,-Pairs!A53)</f>
        <v>0</v>
      </c>
    </row>
    <row r="54" spans="1:1" x14ac:dyDescent="0.35">
      <c r="A54">
        <f>SUM(Pairs!B54,-Pairs!A54)</f>
        <v>0</v>
      </c>
    </row>
    <row r="55" spans="1:1" x14ac:dyDescent="0.35">
      <c r="A55">
        <f>SUM(Pairs!B55,-Pairs!A55)</f>
        <v>0</v>
      </c>
    </row>
    <row r="56" spans="1:1" x14ac:dyDescent="0.35">
      <c r="A56">
        <f>SUM(Pairs!B56,-Pairs!A56)</f>
        <v>0</v>
      </c>
    </row>
    <row r="57" spans="1:1" x14ac:dyDescent="0.35">
      <c r="A57">
        <f>SUM(Pairs!B57,-Pairs!A57)</f>
        <v>0</v>
      </c>
    </row>
    <row r="58" spans="1:1" x14ac:dyDescent="0.35">
      <c r="A58">
        <f>SUM(Pairs!B58,-Pairs!A58)</f>
        <v>0</v>
      </c>
    </row>
    <row r="59" spans="1:1" x14ac:dyDescent="0.35">
      <c r="A59">
        <f>SUM(Pairs!B59,-Pairs!A59)</f>
        <v>0</v>
      </c>
    </row>
    <row r="60" spans="1:1" x14ac:dyDescent="0.35">
      <c r="A60">
        <f>SUM(Pairs!B60,-Pairs!A60)</f>
        <v>0</v>
      </c>
    </row>
    <row r="61" spans="1:1" x14ac:dyDescent="0.35">
      <c r="A61">
        <f>SUM(Pairs!B61,-Pairs!A61)</f>
        <v>3.5527136788005009E-15</v>
      </c>
    </row>
    <row r="62" spans="1:1" x14ac:dyDescent="0.35">
      <c r="A62">
        <f>SUM(Pairs!B62,-Pairs!A62)</f>
        <v>-3.5527136788005009E-15</v>
      </c>
    </row>
    <row r="63" spans="1:1" x14ac:dyDescent="0.35">
      <c r="A63">
        <f>SUM(Pairs!B63,-Pairs!A63)</f>
        <v>4.4408920985006262E-15</v>
      </c>
    </row>
    <row r="64" spans="1:1" x14ac:dyDescent="0.35">
      <c r="A64">
        <f>SUM(Pairs!B64,-Pairs!A64)</f>
        <v>-4.4408920985006262E-15</v>
      </c>
    </row>
    <row r="65" spans="1:1" x14ac:dyDescent="0.35">
      <c r="A65">
        <f>SUM(Pairs!B65,-Pairs!A65)</f>
        <v>5.3290705182007514E-15</v>
      </c>
    </row>
    <row r="66" spans="1:1" x14ac:dyDescent="0.35">
      <c r="A66">
        <f>SUM(Pairs!B66,-Pairs!A66)</f>
        <v>-5.3290705182007514E-15</v>
      </c>
    </row>
    <row r="67" spans="1:1" x14ac:dyDescent="0.35">
      <c r="A67">
        <f>SUM(Pairs!B67,-Pairs!A67)</f>
        <v>7.1054273576010019E-15</v>
      </c>
    </row>
    <row r="68" spans="1:1" x14ac:dyDescent="0.35">
      <c r="A68">
        <f>SUM(Pairs!B68,-Pairs!A68)</f>
        <v>-7.1054273576010019E-15</v>
      </c>
    </row>
    <row r="69" spans="1:1" x14ac:dyDescent="0.35">
      <c r="A69">
        <f>SUM(Pairs!B69,-Pairs!A69)</f>
        <v>8.8817841970012523E-15</v>
      </c>
    </row>
    <row r="70" spans="1:1" x14ac:dyDescent="0.35">
      <c r="A70">
        <f>SUM(Pairs!B70,-Pairs!A70)</f>
        <v>-8.8817841970012523E-15</v>
      </c>
    </row>
    <row r="71" spans="1:1" x14ac:dyDescent="0.35">
      <c r="A71">
        <f>SUM(Pairs!B71,-Pairs!A71)</f>
        <v>1.0658141036401503E-14</v>
      </c>
    </row>
    <row r="72" spans="1:1" x14ac:dyDescent="0.35">
      <c r="A72">
        <f>SUM(Pairs!B72,-Pairs!A72)</f>
        <v>-1.0658141036401503E-14</v>
      </c>
    </row>
    <row r="73" spans="1:1" x14ac:dyDescent="0.35">
      <c r="A73">
        <f>SUM(Pairs!B73,-Pairs!A73)</f>
        <v>1.4210854715202004E-14</v>
      </c>
    </row>
    <row r="74" spans="1:1" x14ac:dyDescent="0.35">
      <c r="A74">
        <f>SUM(Pairs!B74,-Pairs!A74)</f>
        <v>-1.4210854715202004E-14</v>
      </c>
    </row>
    <row r="75" spans="1:1" x14ac:dyDescent="0.35">
      <c r="A75">
        <f>SUM(Pairs!B75,-Pairs!A75)</f>
        <v>2.1316282072803006E-14</v>
      </c>
    </row>
    <row r="76" spans="1:1" x14ac:dyDescent="0.35">
      <c r="A76">
        <f>SUM(Pairs!B76,-Pairs!A76)</f>
        <v>-2.1316282072803006E-14</v>
      </c>
    </row>
    <row r="77" spans="1:1" x14ac:dyDescent="0.35">
      <c r="A77">
        <f>SUM(Pairs!B77,-Pairs!A77)</f>
        <v>2.8421709430404007E-14</v>
      </c>
    </row>
    <row r="78" spans="1:1" x14ac:dyDescent="0.35">
      <c r="A78">
        <f>SUM(Pairs!B78,-Pairs!A78)</f>
        <v>-2.8421709430404007E-14</v>
      </c>
    </row>
    <row r="79" spans="1:1" x14ac:dyDescent="0.35">
      <c r="A79">
        <f>SUM(Pairs!B79,-Pairs!A79)</f>
        <v>4.4408920985006262E-14</v>
      </c>
    </row>
    <row r="80" spans="1:1" x14ac:dyDescent="0.35">
      <c r="A80">
        <f>SUM(Pairs!B80,-Pairs!A80)</f>
        <v>-4.4408920985006262E-14</v>
      </c>
    </row>
    <row r="81" spans="1:1" x14ac:dyDescent="0.35">
      <c r="A81">
        <f>SUM(Pairs!B81,-Pairs!A81)</f>
        <v>5.6843418860808015E-14</v>
      </c>
    </row>
    <row r="82" spans="1:1" x14ac:dyDescent="0.35">
      <c r="A82">
        <f>SUM(Pairs!B82,-Pairs!A82)</f>
        <v>-5.6843418860808015E-14</v>
      </c>
    </row>
    <row r="83" spans="1:1" x14ac:dyDescent="0.35">
      <c r="A83">
        <f>SUM(Pairs!B83,-Pairs!A83)</f>
        <v>1.1368683772161603E-13</v>
      </c>
    </row>
    <row r="84" spans="1:1" x14ac:dyDescent="0.35">
      <c r="A84">
        <f>SUM(Pairs!B84,-Pairs!A84)</f>
        <v>-1.1368683772161603E-13</v>
      </c>
    </row>
    <row r="85" spans="1:1" x14ac:dyDescent="0.35">
      <c r="A85">
        <f>SUM(Pairs!B85,-Pairs!A85)</f>
        <v>2.2737367544323206E-13</v>
      </c>
    </row>
    <row r="86" spans="1:1" x14ac:dyDescent="0.35">
      <c r="A86">
        <f>SUM(Pairs!B86,-Pairs!A86)</f>
        <v>-2.2737367544323206E-13</v>
      </c>
    </row>
    <row r="87" spans="1:1" x14ac:dyDescent="0.35">
      <c r="A87">
        <f>SUM(Pairs!B87,-Pairs!A87)</f>
        <v>4.5474735088646412E-13</v>
      </c>
    </row>
    <row r="88" spans="1:1" x14ac:dyDescent="0.35">
      <c r="A88">
        <f>SUM(Pairs!B88,-Pairs!A88)</f>
        <v>-4.5474735088646412E-13</v>
      </c>
    </row>
    <row r="89" spans="1:1" x14ac:dyDescent="0.35">
      <c r="A89">
        <f>SUM(Pairs!B89,-Pairs!A89)</f>
        <v>9.0949470177292824E-13</v>
      </c>
    </row>
    <row r="90" spans="1:1" x14ac:dyDescent="0.35">
      <c r="A90">
        <f>SUM(Pairs!B90,-Pairs!A90)</f>
        <v>-9.0949470177292824E-13</v>
      </c>
    </row>
    <row r="91" spans="1:1" x14ac:dyDescent="0.35">
      <c r="A91">
        <f>SUM(Pairs!B91,-Pairs!A91)</f>
        <v>1.8189894035458565E-12</v>
      </c>
    </row>
    <row r="92" spans="1:1" x14ac:dyDescent="0.35">
      <c r="A92">
        <f>SUM(Pairs!B92,-Pairs!A92)</f>
        <v>-1.8189894035458565E-12</v>
      </c>
    </row>
    <row r="93" spans="1:1" x14ac:dyDescent="0.35">
      <c r="A93">
        <f>SUM(Pairs!B93,-Pairs!A93)</f>
        <v>0</v>
      </c>
    </row>
    <row r="94" spans="1:1" x14ac:dyDescent="0.35">
      <c r="A94">
        <f>SUM(Pairs!B94,-Pairs!A94)</f>
        <v>0</v>
      </c>
    </row>
    <row r="95" spans="1:1" x14ac:dyDescent="0.35">
      <c r="A95">
        <f>SUM(Pairs!B95,-Pairs!A95)</f>
        <v>0</v>
      </c>
    </row>
    <row r="96" spans="1:1" x14ac:dyDescent="0.35">
      <c r="A96">
        <f>SUM(Pairs!B96,-Pairs!A96)</f>
        <v>0</v>
      </c>
    </row>
    <row r="97" spans="1:1" x14ac:dyDescent="0.35">
      <c r="A97">
        <f>SUM(Pairs!B97,-Pairs!A97)</f>
        <v>0</v>
      </c>
    </row>
    <row r="98" spans="1:1" x14ac:dyDescent="0.35">
      <c r="A98">
        <f>SUM(Pairs!B98,-Pairs!A98)</f>
        <v>0</v>
      </c>
    </row>
    <row r="99" spans="1:1" x14ac:dyDescent="0.35">
      <c r="A99">
        <f>SUM(Pairs!B99,-Pairs!A99)</f>
        <v>0</v>
      </c>
    </row>
    <row r="100" spans="1:1" x14ac:dyDescent="0.35">
      <c r="A100">
        <f>SUM(Pairs!B100,-Pairs!A100)</f>
        <v>0</v>
      </c>
    </row>
    <row r="101" spans="1:1" x14ac:dyDescent="0.35">
      <c r="A101">
        <f>SUM(Pairs!B101,-Pairs!A101)</f>
        <v>0</v>
      </c>
    </row>
    <row r="102" spans="1:1" x14ac:dyDescent="0.35">
      <c r="A102">
        <f>SUM(Pairs!B102,-Pairs!A102)</f>
        <v>0</v>
      </c>
    </row>
    <row r="103" spans="1:1" x14ac:dyDescent="0.35">
      <c r="A103">
        <f>SUM(Pairs!B103,-Pairs!A103)</f>
        <v>0</v>
      </c>
    </row>
    <row r="104" spans="1:1" x14ac:dyDescent="0.35">
      <c r="A104">
        <f>SUM(Pairs!B104,-Pairs!A104)</f>
        <v>0</v>
      </c>
    </row>
    <row r="105" spans="1:1" x14ac:dyDescent="0.35">
      <c r="A105">
        <f>SUM(Pairs!B105,-Pairs!A105)</f>
        <v>0</v>
      </c>
    </row>
    <row r="106" spans="1:1" x14ac:dyDescent="0.35">
      <c r="A106">
        <f>SUM(Pairs!B106,-Pairs!A106)</f>
        <v>0</v>
      </c>
    </row>
    <row r="107" spans="1:1" x14ac:dyDescent="0.35">
      <c r="A107">
        <f>SUM(Pairs!B107,-Pairs!A107)</f>
        <v>1.1102230246251565E-16</v>
      </c>
    </row>
    <row r="108" spans="1:1" x14ac:dyDescent="0.35">
      <c r="A108">
        <f>SUM(Pairs!B108,-Pairs!A108)</f>
        <v>-1.1102230246251565E-16</v>
      </c>
    </row>
    <row r="109" spans="1:1" x14ac:dyDescent="0.35">
      <c r="A109">
        <f>SUM(Pairs!B109,-Pairs!A109)</f>
        <v>1.3877787807814457E-16</v>
      </c>
    </row>
    <row r="110" spans="1:1" x14ac:dyDescent="0.35">
      <c r="A110">
        <f>SUM(Pairs!B110,-Pairs!A110)</f>
        <v>-1.3877787807814457E-16</v>
      </c>
    </row>
    <row r="111" spans="1:1" x14ac:dyDescent="0.35">
      <c r="A111">
        <f>SUM(Pairs!B111,-Pairs!A111)</f>
        <v>1.6653345369377348E-16</v>
      </c>
    </row>
    <row r="112" spans="1:1" x14ac:dyDescent="0.35">
      <c r="A112">
        <f>SUM(Pairs!B112,-Pairs!A112)</f>
        <v>-1.6653345369377348E-16</v>
      </c>
    </row>
    <row r="113" spans="1:1" x14ac:dyDescent="0.35">
      <c r="A113">
        <f>SUM(Pairs!B113,-Pairs!A113)</f>
        <v>2.2204460492503131E-16</v>
      </c>
    </row>
    <row r="114" spans="1:1" x14ac:dyDescent="0.35">
      <c r="A114">
        <f>SUM(Pairs!B114,-Pairs!A114)</f>
        <v>-2.2204460492503131E-16</v>
      </c>
    </row>
    <row r="115" spans="1:1" x14ac:dyDescent="0.35">
      <c r="A115">
        <f>SUM(Pairs!B115,-Pairs!A115)</f>
        <v>2.7755575615628914E-16</v>
      </c>
    </row>
    <row r="116" spans="1:1" x14ac:dyDescent="0.35">
      <c r="A116">
        <f>SUM(Pairs!B116,-Pairs!A116)</f>
        <v>-2.7755575615628914E-16</v>
      </c>
    </row>
    <row r="117" spans="1:1" x14ac:dyDescent="0.35">
      <c r="A117">
        <f>SUM(Pairs!B117,-Pairs!A117)</f>
        <v>3.3306690738754696E-16</v>
      </c>
    </row>
    <row r="118" spans="1:1" x14ac:dyDescent="0.35">
      <c r="A118">
        <f>SUM(Pairs!B118,-Pairs!A118)</f>
        <v>-3.3306690738754696E-16</v>
      </c>
    </row>
    <row r="119" spans="1:1" x14ac:dyDescent="0.35">
      <c r="A119">
        <f>SUM(Pairs!B119,-Pairs!A119)</f>
        <v>4.4408920985006262E-16</v>
      </c>
    </row>
    <row r="120" spans="1:1" x14ac:dyDescent="0.35">
      <c r="A120">
        <f>SUM(Pairs!B120,-Pairs!A120)</f>
        <v>-4.4408920985006262E-16</v>
      </c>
    </row>
    <row r="121" spans="1:1" x14ac:dyDescent="0.35">
      <c r="A121">
        <f>SUM(Pairs!B121,-Pairs!A121)</f>
        <v>6.6613381477509392E-16</v>
      </c>
    </row>
    <row r="122" spans="1:1" x14ac:dyDescent="0.35">
      <c r="A122">
        <f>SUM(Pairs!B122,-Pairs!A122)</f>
        <v>-6.6613381477509392E-16</v>
      </c>
    </row>
    <row r="123" spans="1:1" x14ac:dyDescent="0.35">
      <c r="A123">
        <f>SUM(Pairs!B123,-Pairs!A123)</f>
        <v>8.8817841970012523E-16</v>
      </c>
    </row>
    <row r="124" spans="1:1" x14ac:dyDescent="0.35">
      <c r="A124">
        <f>SUM(Pairs!B124,-Pairs!A124)</f>
        <v>-8.8817841970012523E-16</v>
      </c>
    </row>
    <row r="125" spans="1:1" x14ac:dyDescent="0.35">
      <c r="A125">
        <f>SUM(Pairs!B125,-Pairs!A125)</f>
        <v>1.3877787807814457E-15</v>
      </c>
    </row>
    <row r="126" spans="1:1" x14ac:dyDescent="0.35">
      <c r="A126">
        <f>SUM(Pairs!B126,-Pairs!A126)</f>
        <v>-1.3877787807814457E-15</v>
      </c>
    </row>
    <row r="127" spans="1:1" x14ac:dyDescent="0.35">
      <c r="A127">
        <f>SUM(Pairs!B127,-Pairs!A127)</f>
        <v>1.7763568394002505E-15</v>
      </c>
    </row>
    <row r="128" spans="1:1" x14ac:dyDescent="0.35">
      <c r="A128">
        <f>SUM(Pairs!B128,-Pairs!A128)</f>
        <v>-1.7763568394002505E-15</v>
      </c>
    </row>
    <row r="129" spans="1:1" x14ac:dyDescent="0.35">
      <c r="A129">
        <f>SUM(Pairs!B129,-Pairs!A129)</f>
        <v>3.5527136788005009E-15</v>
      </c>
    </row>
    <row r="130" spans="1:1" x14ac:dyDescent="0.35">
      <c r="A130">
        <f>SUM(Pairs!B130,-Pairs!A130)</f>
        <v>-3.5527136788005009E-15</v>
      </c>
    </row>
    <row r="131" spans="1:1" x14ac:dyDescent="0.35">
      <c r="A131">
        <f>SUM(Pairs!B131,-Pairs!A131)</f>
        <v>7.1054273576010019E-15</v>
      </c>
    </row>
    <row r="132" spans="1:1" x14ac:dyDescent="0.35">
      <c r="A132">
        <f>SUM(Pairs!B132,-Pairs!A132)</f>
        <v>-7.1054273576010019E-15</v>
      </c>
    </row>
    <row r="133" spans="1:1" x14ac:dyDescent="0.35">
      <c r="A133">
        <f>SUM(Pairs!B133,-Pairs!A133)</f>
        <v>1.4210854715202004E-14</v>
      </c>
    </row>
    <row r="134" spans="1:1" x14ac:dyDescent="0.35">
      <c r="A134">
        <f>SUM(Pairs!B134,-Pairs!A134)</f>
        <v>-1.4210854715202004E-14</v>
      </c>
    </row>
    <row r="135" spans="1:1" x14ac:dyDescent="0.35">
      <c r="A135">
        <f>SUM(Pairs!B135,-Pairs!A135)</f>
        <v>2.8421709430404007E-14</v>
      </c>
    </row>
    <row r="136" spans="1:1" x14ac:dyDescent="0.35">
      <c r="A136">
        <f>SUM(Pairs!B136,-Pairs!A136)</f>
        <v>-2.8421709430404007E-14</v>
      </c>
    </row>
    <row r="137" spans="1:1" x14ac:dyDescent="0.35">
      <c r="A137">
        <f>SUM(Pairs!B137,-Pairs!A137)</f>
        <v>5.6843418860808015E-14</v>
      </c>
    </row>
    <row r="138" spans="1:1" x14ac:dyDescent="0.35">
      <c r="A138">
        <f>SUM(Pairs!B138,-Pairs!A138)</f>
        <v>-5.6843418860808015E-14</v>
      </c>
    </row>
    <row r="139" spans="1:1" x14ac:dyDescent="0.35">
      <c r="A139">
        <f>SUM(Pairs!B139,-Pairs!A139)</f>
        <v>0</v>
      </c>
    </row>
    <row r="140" spans="1:1" x14ac:dyDescent="0.35">
      <c r="A140">
        <f>SUM(Pairs!B140,-Pairs!A140)</f>
        <v>0</v>
      </c>
    </row>
    <row r="141" spans="1:1" x14ac:dyDescent="0.35">
      <c r="A141">
        <f>SUM(Pairs!B141,-Pairs!A141)</f>
        <v>0</v>
      </c>
    </row>
    <row r="142" spans="1:1" x14ac:dyDescent="0.35">
      <c r="A142">
        <f>SUM(Pairs!B142,-Pairs!A142)</f>
        <v>0</v>
      </c>
    </row>
    <row r="143" spans="1:1" x14ac:dyDescent="0.35">
      <c r="A143">
        <f>SUM(Pairs!B143,-Pairs!A143)</f>
        <v>0</v>
      </c>
    </row>
    <row r="144" spans="1:1" x14ac:dyDescent="0.35">
      <c r="A144">
        <f>SUM(Pairs!B144,-Pairs!A144)</f>
        <v>0</v>
      </c>
    </row>
    <row r="145" spans="1:1" x14ac:dyDescent="0.35">
      <c r="A145">
        <f>SUM(Pairs!B145,-Pairs!A145)</f>
        <v>0</v>
      </c>
    </row>
    <row r="146" spans="1:1" x14ac:dyDescent="0.35">
      <c r="A146">
        <f>SUM(Pairs!B146,-Pairs!A146)</f>
        <v>0</v>
      </c>
    </row>
    <row r="147" spans="1:1" x14ac:dyDescent="0.35">
      <c r="A147">
        <f>SUM(Pairs!B147,-Pairs!A147)</f>
        <v>0</v>
      </c>
    </row>
    <row r="148" spans="1:1" x14ac:dyDescent="0.35">
      <c r="A148">
        <f>SUM(Pairs!B148,-Pairs!A148)</f>
        <v>0</v>
      </c>
    </row>
    <row r="149" spans="1:1" x14ac:dyDescent="0.35">
      <c r="A149">
        <f>SUM(Pairs!B149,-Pairs!A149)</f>
        <v>0</v>
      </c>
    </row>
    <row r="150" spans="1:1" x14ac:dyDescent="0.35">
      <c r="A150">
        <f>SUM(Pairs!B150,-Pairs!A150)</f>
        <v>0</v>
      </c>
    </row>
    <row r="151" spans="1:1" x14ac:dyDescent="0.35">
      <c r="A151">
        <f>SUM(Pairs!B151,-Pairs!A151)</f>
        <v>0</v>
      </c>
    </row>
    <row r="152" spans="1:1" x14ac:dyDescent="0.35">
      <c r="A152">
        <f>SUM(Pairs!B152,-Pairs!A152)</f>
        <v>0</v>
      </c>
    </row>
    <row r="153" spans="1:1" x14ac:dyDescent="0.35">
      <c r="A153">
        <f>SUM(Pairs!B153,-Pairs!A153)</f>
        <v>1.1368683772161603E-13</v>
      </c>
    </row>
    <row r="154" spans="1:1" x14ac:dyDescent="0.35">
      <c r="A154">
        <f>SUM(Pairs!B154,-Pairs!A154)</f>
        <v>-1.1368683772161603E-13</v>
      </c>
    </row>
    <row r="155" spans="1:1" x14ac:dyDescent="0.35">
      <c r="A155">
        <f>SUM(Pairs!B155,-Pairs!A155)</f>
        <v>1.4210854715202004E-13</v>
      </c>
    </row>
    <row r="156" spans="1:1" x14ac:dyDescent="0.35">
      <c r="A156">
        <f>SUM(Pairs!B156,-Pairs!A156)</f>
        <v>-1.4210854715202004E-13</v>
      </c>
    </row>
    <row r="157" spans="1:1" x14ac:dyDescent="0.35">
      <c r="A157">
        <f>SUM(Pairs!B157,-Pairs!A157)</f>
        <v>1.7053025658242404E-13</v>
      </c>
    </row>
    <row r="158" spans="1:1" x14ac:dyDescent="0.35">
      <c r="A158">
        <f>SUM(Pairs!B158,-Pairs!A158)</f>
        <v>-1.7053025658242404E-13</v>
      </c>
    </row>
    <row r="159" spans="1:1" x14ac:dyDescent="0.35">
      <c r="A159">
        <f>SUM(Pairs!B159,-Pairs!A159)</f>
        <v>2.2737367544323206E-13</v>
      </c>
    </row>
    <row r="160" spans="1:1" x14ac:dyDescent="0.35">
      <c r="A160">
        <f>SUM(Pairs!B160,-Pairs!A160)</f>
        <v>-2.2737367544323206E-13</v>
      </c>
    </row>
    <row r="161" spans="1:1" x14ac:dyDescent="0.35">
      <c r="A161">
        <f>SUM(Pairs!B161,-Pairs!A161)</f>
        <v>2.8421709430404007E-13</v>
      </c>
    </row>
    <row r="162" spans="1:1" x14ac:dyDescent="0.35">
      <c r="A162">
        <f>SUM(Pairs!B162,-Pairs!A162)</f>
        <v>-2.8421709430404007E-13</v>
      </c>
    </row>
    <row r="163" spans="1:1" x14ac:dyDescent="0.35">
      <c r="A163">
        <f>SUM(Pairs!B163,-Pairs!A163)</f>
        <v>3.4106051316484809E-13</v>
      </c>
    </row>
    <row r="164" spans="1:1" x14ac:dyDescent="0.35">
      <c r="A164">
        <f>SUM(Pairs!B164,-Pairs!A164)</f>
        <v>-3.4106051316484809E-13</v>
      </c>
    </row>
    <row r="165" spans="1:1" x14ac:dyDescent="0.35">
      <c r="A165">
        <f>SUM(Pairs!B165,-Pairs!A165)</f>
        <v>4.5474735088646412E-13</v>
      </c>
    </row>
    <row r="166" spans="1:1" x14ac:dyDescent="0.35">
      <c r="A166">
        <f>SUM(Pairs!B166,-Pairs!A166)</f>
        <v>-4.5474735088646412E-13</v>
      </c>
    </row>
    <row r="167" spans="1:1" x14ac:dyDescent="0.35">
      <c r="A167">
        <f>SUM(Pairs!B167,-Pairs!A167)</f>
        <v>6.8212102632969618E-13</v>
      </c>
    </row>
    <row r="168" spans="1:1" x14ac:dyDescent="0.35">
      <c r="A168">
        <f>SUM(Pairs!B168,-Pairs!A168)</f>
        <v>-6.8212102632969618E-13</v>
      </c>
    </row>
    <row r="169" spans="1:1" x14ac:dyDescent="0.35">
      <c r="A169">
        <f>SUM(Pairs!B169,-Pairs!A169)</f>
        <v>9.0949470177292824E-13</v>
      </c>
    </row>
    <row r="170" spans="1:1" x14ac:dyDescent="0.35">
      <c r="A170">
        <f>SUM(Pairs!B170,-Pairs!A170)</f>
        <v>-9.0949470177292824E-13</v>
      </c>
    </row>
    <row r="171" spans="1:1" x14ac:dyDescent="0.35">
      <c r="A171">
        <f>SUM(Pairs!B171,-Pairs!A171)</f>
        <v>1.4210854715202004E-12</v>
      </c>
    </row>
    <row r="172" spans="1:1" x14ac:dyDescent="0.35">
      <c r="A172">
        <f>SUM(Pairs!B172,-Pairs!A172)</f>
        <v>-1.4210854715202004E-12</v>
      </c>
    </row>
    <row r="173" spans="1:1" x14ac:dyDescent="0.35">
      <c r="A173">
        <f>SUM(Pairs!B173,-Pairs!A173)</f>
        <v>1.8189894035458565E-12</v>
      </c>
    </row>
    <row r="174" spans="1:1" x14ac:dyDescent="0.35">
      <c r="A174">
        <f>SUM(Pairs!B174,-Pairs!A174)</f>
        <v>-1.8189894035458565E-12</v>
      </c>
    </row>
    <row r="175" spans="1:1" x14ac:dyDescent="0.35">
      <c r="A175">
        <f>SUM(Pairs!B175,-Pairs!A175)</f>
        <v>3.637978807091713E-12</v>
      </c>
    </row>
    <row r="176" spans="1:1" x14ac:dyDescent="0.35">
      <c r="A176">
        <f>SUM(Pairs!B176,-Pairs!A176)</f>
        <v>-3.637978807091713E-12</v>
      </c>
    </row>
    <row r="177" spans="1:1" x14ac:dyDescent="0.35">
      <c r="A177">
        <f>SUM(Pairs!B177,-Pairs!A177)</f>
        <v>7.2759576141834259E-12</v>
      </c>
    </row>
    <row r="178" spans="1:1" x14ac:dyDescent="0.35">
      <c r="A178">
        <f>SUM(Pairs!B178,-Pairs!A178)</f>
        <v>-7.2759576141834259E-12</v>
      </c>
    </row>
    <row r="179" spans="1:1" x14ac:dyDescent="0.35">
      <c r="A179">
        <f>SUM(Pairs!B179,-Pairs!A179)</f>
        <v>1.4551915228366852E-11</v>
      </c>
    </row>
    <row r="180" spans="1:1" x14ac:dyDescent="0.35">
      <c r="A180">
        <f>SUM(Pairs!B180,-Pairs!A180)</f>
        <v>-1.4551915228366852E-11</v>
      </c>
    </row>
    <row r="181" spans="1:1" x14ac:dyDescent="0.35">
      <c r="A181">
        <f>SUM(Pairs!B181,-Pairs!A181)</f>
        <v>2.9103830456733704E-11</v>
      </c>
    </row>
    <row r="182" spans="1:1" x14ac:dyDescent="0.35">
      <c r="A182">
        <f>SUM(Pairs!B182,-Pairs!A182)</f>
        <v>-2.9103830456733704E-11</v>
      </c>
    </row>
    <row r="183" spans="1:1" x14ac:dyDescent="0.35">
      <c r="A183">
        <f>SUM(Pairs!B183,-Pairs!A183)</f>
        <v>5.8207660913467407E-11</v>
      </c>
    </row>
    <row r="184" spans="1:1" x14ac:dyDescent="0.35">
      <c r="A184">
        <f>SUM(Pairs!B184,-Pairs!A184)</f>
        <v>-5.8207660913467407E-11</v>
      </c>
    </row>
    <row r="185" spans="1:1" x14ac:dyDescent="0.35">
      <c r="A185">
        <f>SUM(Pairs!B185,-Pairs!A185)</f>
        <v>0</v>
      </c>
    </row>
    <row r="186" spans="1:1" x14ac:dyDescent="0.35">
      <c r="A186">
        <f>SUM(Pairs!B186,-Pairs!A186)</f>
        <v>0</v>
      </c>
    </row>
    <row r="187" spans="1:1" x14ac:dyDescent="0.35">
      <c r="A187">
        <f>SUM(Pairs!B187,-Pairs!A187)</f>
        <v>0</v>
      </c>
    </row>
    <row r="188" spans="1:1" x14ac:dyDescent="0.35">
      <c r="A188">
        <f>SUM(Pairs!B188,-Pairs!A188)</f>
        <v>0</v>
      </c>
    </row>
    <row r="189" spans="1:1" x14ac:dyDescent="0.35">
      <c r="A189">
        <f>SUM(Pairs!B189,-Pairs!A189)</f>
        <v>0</v>
      </c>
    </row>
    <row r="190" spans="1:1" x14ac:dyDescent="0.35">
      <c r="A190">
        <f>SUM(Pairs!B190,-Pairs!A190)</f>
        <v>0</v>
      </c>
    </row>
    <row r="191" spans="1:1" x14ac:dyDescent="0.35">
      <c r="A191">
        <f>SUM(Pairs!B191,-Pairs!A191)</f>
        <v>0</v>
      </c>
    </row>
    <row r="192" spans="1:1" x14ac:dyDescent="0.35">
      <c r="A192">
        <f>SUM(Pairs!B192,-Pairs!A192)</f>
        <v>0</v>
      </c>
    </row>
    <row r="193" spans="1:1" x14ac:dyDescent="0.35">
      <c r="A193">
        <f>SUM(Pairs!B193,-Pairs!A193)</f>
        <v>0</v>
      </c>
    </row>
    <row r="194" spans="1:1" x14ac:dyDescent="0.35">
      <c r="A194">
        <f>SUM(Pairs!B194,-Pairs!A194)</f>
        <v>0</v>
      </c>
    </row>
    <row r="195" spans="1:1" x14ac:dyDescent="0.35">
      <c r="A195">
        <f>SUM(Pairs!B195,-Pairs!A195)</f>
        <v>0</v>
      </c>
    </row>
    <row r="196" spans="1:1" x14ac:dyDescent="0.35">
      <c r="A196">
        <f>SUM(Pairs!B196,-Pairs!A196)</f>
        <v>0</v>
      </c>
    </row>
    <row r="197" spans="1:1" x14ac:dyDescent="0.35">
      <c r="A197">
        <f>SUM(Pairs!B197,-Pairs!A197)</f>
        <v>0</v>
      </c>
    </row>
    <row r="198" spans="1:1" x14ac:dyDescent="0.35">
      <c r="A198">
        <f>SUM(Pairs!B198,-Pairs!A198)</f>
        <v>0</v>
      </c>
    </row>
    <row r="199" spans="1:1" x14ac:dyDescent="0.35">
      <c r="A199">
        <f>SUM(Pairs!B199,-Pairs!A199)</f>
        <v>1.52587890625E-5</v>
      </c>
    </row>
    <row r="200" spans="1:1" x14ac:dyDescent="0.35">
      <c r="A200">
        <f>SUM(Pairs!B200,-Pairs!A200)</f>
        <v>-1.52587890625E-5</v>
      </c>
    </row>
    <row r="201" spans="1:1" x14ac:dyDescent="0.35">
      <c r="A201">
        <f>SUM(Pairs!B201,-Pairs!A201)</f>
        <v>1.9073486328125E-5</v>
      </c>
    </row>
    <row r="202" spans="1:1" x14ac:dyDescent="0.35">
      <c r="A202">
        <f>SUM(Pairs!B202,-Pairs!A202)</f>
        <v>-1.9073486328125E-5</v>
      </c>
    </row>
    <row r="203" spans="1:1" x14ac:dyDescent="0.35">
      <c r="A203">
        <f>SUM(Pairs!B203,-Pairs!A203)</f>
        <v>2.288818359375E-5</v>
      </c>
    </row>
    <row r="204" spans="1:1" x14ac:dyDescent="0.35">
      <c r="A204">
        <f>SUM(Pairs!B204,-Pairs!A204)</f>
        <v>-2.288818359375E-5</v>
      </c>
    </row>
    <row r="205" spans="1:1" x14ac:dyDescent="0.35">
      <c r="A205">
        <f>SUM(Pairs!B205,-Pairs!A205)</f>
        <v>3.0517578125E-5</v>
      </c>
    </row>
    <row r="206" spans="1:1" x14ac:dyDescent="0.35">
      <c r="A206">
        <f>SUM(Pairs!B206,-Pairs!A206)</f>
        <v>-3.0517578125E-5</v>
      </c>
    </row>
    <row r="207" spans="1:1" x14ac:dyDescent="0.35">
      <c r="A207">
        <f>SUM(Pairs!B207,-Pairs!A207)</f>
        <v>3.814697265625E-5</v>
      </c>
    </row>
    <row r="208" spans="1:1" x14ac:dyDescent="0.35">
      <c r="A208">
        <f>SUM(Pairs!B208,-Pairs!A208)</f>
        <v>-3.814697265625E-5</v>
      </c>
    </row>
    <row r="209" spans="1:1" x14ac:dyDescent="0.35">
      <c r="A209">
        <f>SUM(Pairs!B209,-Pairs!A209)</f>
        <v>4.57763671875E-5</v>
      </c>
    </row>
    <row r="210" spans="1:1" x14ac:dyDescent="0.35">
      <c r="A210">
        <f>SUM(Pairs!B210,-Pairs!A210)</f>
        <v>-4.57763671875E-5</v>
      </c>
    </row>
    <row r="211" spans="1:1" x14ac:dyDescent="0.35">
      <c r="A211">
        <f>SUM(Pairs!B211,-Pairs!A211)</f>
        <v>6.103515625E-5</v>
      </c>
    </row>
    <row r="212" spans="1:1" x14ac:dyDescent="0.35">
      <c r="A212">
        <f>SUM(Pairs!B212,-Pairs!A212)</f>
        <v>-6.103515625E-5</v>
      </c>
    </row>
    <row r="213" spans="1:1" x14ac:dyDescent="0.35">
      <c r="A213">
        <f>SUM(Pairs!B213,-Pairs!A213)</f>
        <v>9.1552734375E-5</v>
      </c>
    </row>
    <row r="214" spans="1:1" x14ac:dyDescent="0.35">
      <c r="A214">
        <f>SUM(Pairs!B214,-Pairs!A214)</f>
        <v>-9.1552734375E-5</v>
      </c>
    </row>
    <row r="215" spans="1:1" x14ac:dyDescent="0.35">
      <c r="A215">
        <f>SUM(Pairs!B215,-Pairs!A215)</f>
        <v>1.220703125E-4</v>
      </c>
    </row>
    <row r="216" spans="1:1" x14ac:dyDescent="0.35">
      <c r="A216">
        <f>SUM(Pairs!B216,-Pairs!A216)</f>
        <v>-1.220703125E-4</v>
      </c>
    </row>
    <row r="217" spans="1:1" x14ac:dyDescent="0.35">
      <c r="A217">
        <f>SUM(Pairs!B217,-Pairs!A217)</f>
        <v>1.9073486328125E-4</v>
      </c>
    </row>
    <row r="218" spans="1:1" x14ac:dyDescent="0.35">
      <c r="A218">
        <f>SUM(Pairs!B218,-Pairs!A218)</f>
        <v>-1.9073486328125E-4</v>
      </c>
    </row>
    <row r="219" spans="1:1" x14ac:dyDescent="0.35">
      <c r="A219">
        <f>SUM(Pairs!B219,-Pairs!A219)</f>
        <v>2.44140625E-4</v>
      </c>
    </row>
    <row r="220" spans="1:1" x14ac:dyDescent="0.35">
      <c r="A220">
        <f>SUM(Pairs!B220,-Pairs!A220)</f>
        <v>-2.44140625E-4</v>
      </c>
    </row>
    <row r="221" spans="1:1" x14ac:dyDescent="0.35">
      <c r="A221">
        <f>SUM(Pairs!B221,-Pairs!A221)</f>
        <v>4.8828125E-4</v>
      </c>
    </row>
    <row r="222" spans="1:1" x14ac:dyDescent="0.35">
      <c r="A222">
        <f>SUM(Pairs!B222,-Pairs!A222)</f>
        <v>-4.8828125E-4</v>
      </c>
    </row>
    <row r="223" spans="1:1" x14ac:dyDescent="0.35">
      <c r="A223">
        <f>SUM(Pairs!B223,-Pairs!A223)</f>
        <v>9.765625E-4</v>
      </c>
    </row>
    <row r="224" spans="1:1" x14ac:dyDescent="0.35">
      <c r="A224">
        <f>SUM(Pairs!B224,-Pairs!A224)</f>
        <v>-9.765625E-4</v>
      </c>
    </row>
    <row r="225" spans="1:1" x14ac:dyDescent="0.35">
      <c r="A225">
        <f>SUM(Pairs!B225,-Pairs!A225)</f>
        <v>1.953125E-3</v>
      </c>
    </row>
    <row r="226" spans="1:1" x14ac:dyDescent="0.35">
      <c r="A226">
        <f>SUM(Pairs!B226,-Pairs!A226)</f>
        <v>-1.953125E-3</v>
      </c>
    </row>
    <row r="227" spans="1:1" x14ac:dyDescent="0.35">
      <c r="A227">
        <f>SUM(Pairs!B227,-Pairs!A227)</f>
        <v>3.90625E-3</v>
      </c>
    </row>
    <row r="228" spans="1:1" x14ac:dyDescent="0.35">
      <c r="A228">
        <f>SUM(Pairs!B228,-Pairs!A228)</f>
        <v>-3.90625E-3</v>
      </c>
    </row>
    <row r="229" spans="1:1" x14ac:dyDescent="0.35">
      <c r="A229">
        <f>SUM(Pairs!B229,-Pairs!A229)</f>
        <v>7.8125E-3</v>
      </c>
    </row>
    <row r="230" spans="1:1" x14ac:dyDescent="0.35">
      <c r="A230">
        <f>SUM(Pairs!B230,-Pairs!A230)</f>
        <v>-7.8125E-3</v>
      </c>
    </row>
    <row r="231" spans="1:1" x14ac:dyDescent="0.35">
      <c r="A231">
        <f>SUM(Pairs!B231,-Pairs!A231)</f>
        <v>0</v>
      </c>
    </row>
    <row r="232" spans="1:1" x14ac:dyDescent="0.35">
      <c r="A232">
        <f>SUM(Pairs!B232,-Pairs!A232)</f>
        <v>0</v>
      </c>
    </row>
    <row r="233" spans="1:1" x14ac:dyDescent="0.35">
      <c r="A233">
        <f>SUM(Pairs!B233,-Pairs!A233)</f>
        <v>0</v>
      </c>
    </row>
    <row r="234" spans="1:1" x14ac:dyDescent="0.35">
      <c r="A234">
        <f>SUM(Pairs!B234,-Pairs!A234)</f>
        <v>0</v>
      </c>
    </row>
    <row r="235" spans="1:1" x14ac:dyDescent="0.35">
      <c r="A235">
        <f>SUM(Pairs!B235,-Pairs!A235)</f>
        <v>0</v>
      </c>
    </row>
    <row r="236" spans="1:1" x14ac:dyDescent="0.35">
      <c r="A236">
        <f>SUM(Pairs!B236,-Pairs!A236)</f>
        <v>0</v>
      </c>
    </row>
    <row r="237" spans="1:1" x14ac:dyDescent="0.35">
      <c r="A237">
        <f>SUM(Pairs!B237,-Pairs!A237)</f>
        <v>0</v>
      </c>
    </row>
    <row r="238" spans="1:1" x14ac:dyDescent="0.35">
      <c r="A238">
        <f>SUM(Pairs!B238,-Pairs!A238)</f>
        <v>0</v>
      </c>
    </row>
    <row r="239" spans="1:1" x14ac:dyDescent="0.35">
      <c r="A239">
        <f>SUM(Pairs!B239,-Pairs!A239)</f>
        <v>0</v>
      </c>
    </row>
    <row r="240" spans="1:1" x14ac:dyDescent="0.35">
      <c r="A240">
        <f>SUM(Pairs!B240,-Pairs!A240)</f>
        <v>0</v>
      </c>
    </row>
    <row r="241" spans="1:1" x14ac:dyDescent="0.35">
      <c r="A241">
        <f>SUM(Pairs!B241,-Pairs!A241)</f>
        <v>0</v>
      </c>
    </row>
    <row r="242" spans="1:1" x14ac:dyDescent="0.35">
      <c r="A242">
        <f>SUM(Pairs!B242,-Pairs!A242)</f>
        <v>0</v>
      </c>
    </row>
    <row r="243" spans="1:1" x14ac:dyDescent="0.35">
      <c r="A243">
        <f>SUM(Pairs!B243,-Pairs!A243)</f>
        <v>0</v>
      </c>
    </row>
    <row r="244" spans="1:1" x14ac:dyDescent="0.35">
      <c r="A244">
        <f>SUM(Pairs!B244,-Pairs!A244)</f>
        <v>0</v>
      </c>
    </row>
    <row r="245" spans="1:1" x14ac:dyDescent="0.35">
      <c r="A245">
        <f>SUM(Pairs!B245,-Pairs!A245)</f>
        <v>1.0339757656912846E-25</v>
      </c>
    </row>
    <row r="246" spans="1:1" x14ac:dyDescent="0.35">
      <c r="A246">
        <f>SUM(Pairs!B246,-Pairs!A246)</f>
        <v>-1.0339757656912846E-25</v>
      </c>
    </row>
    <row r="247" spans="1:1" x14ac:dyDescent="0.35">
      <c r="A247">
        <f>SUM(Pairs!B247,-Pairs!A247)</f>
        <v>1.2924697071141057E-25</v>
      </c>
    </row>
    <row r="248" spans="1:1" x14ac:dyDescent="0.35">
      <c r="A248">
        <f>SUM(Pairs!B248,-Pairs!A248)</f>
        <v>-1.2924697071141057E-25</v>
      </c>
    </row>
    <row r="249" spans="1:1" x14ac:dyDescent="0.35">
      <c r="A249">
        <f>SUM(Pairs!B249,-Pairs!A249)</f>
        <v>1.5509636485369269E-25</v>
      </c>
    </row>
    <row r="250" spans="1:1" x14ac:dyDescent="0.35">
      <c r="A250">
        <f>SUM(Pairs!B250,-Pairs!A250)</f>
        <v>-1.5509636485369269E-25</v>
      </c>
    </row>
    <row r="251" spans="1:1" x14ac:dyDescent="0.35">
      <c r="A251">
        <f>SUM(Pairs!B251,-Pairs!A251)</f>
        <v>2.0679515313825692E-25</v>
      </c>
    </row>
    <row r="252" spans="1:1" x14ac:dyDescent="0.35">
      <c r="A252">
        <f>SUM(Pairs!B252,-Pairs!A252)</f>
        <v>-2.0679515313825692E-25</v>
      </c>
    </row>
    <row r="253" spans="1:1" x14ac:dyDescent="0.35">
      <c r="A253">
        <f>SUM(Pairs!B253,-Pairs!A253)</f>
        <v>2.5849394142282115E-25</v>
      </c>
    </row>
    <row r="254" spans="1:1" x14ac:dyDescent="0.35">
      <c r="A254">
        <f>SUM(Pairs!B254,-Pairs!A254)</f>
        <v>-2.5849394142282115E-25</v>
      </c>
    </row>
    <row r="255" spans="1:1" x14ac:dyDescent="0.35">
      <c r="A255">
        <f>SUM(Pairs!B255,-Pairs!A255)</f>
        <v>3.1019272970738538E-25</v>
      </c>
    </row>
    <row r="256" spans="1:1" x14ac:dyDescent="0.35">
      <c r="A256">
        <f>SUM(Pairs!B256,-Pairs!A256)</f>
        <v>-3.1019272970738538E-25</v>
      </c>
    </row>
    <row r="257" spans="1:1" x14ac:dyDescent="0.35">
      <c r="A257">
        <f>SUM(Pairs!B257,-Pairs!A257)</f>
        <v>4.1359030627651384E-25</v>
      </c>
    </row>
    <row r="258" spans="1:1" x14ac:dyDescent="0.35">
      <c r="A258">
        <f>SUM(Pairs!B258,-Pairs!A258)</f>
        <v>-4.1359030627651384E-25</v>
      </c>
    </row>
    <row r="259" spans="1:1" x14ac:dyDescent="0.35">
      <c r="A259">
        <f>SUM(Pairs!B259,-Pairs!A259)</f>
        <v>6.2038545941477076E-25</v>
      </c>
    </row>
    <row r="260" spans="1:1" x14ac:dyDescent="0.35">
      <c r="A260">
        <f>SUM(Pairs!B260,-Pairs!A260)</f>
        <v>-6.2038545941477076E-25</v>
      </c>
    </row>
    <row r="261" spans="1:1" x14ac:dyDescent="0.35">
      <c r="A261">
        <f>SUM(Pairs!B261,-Pairs!A261)</f>
        <v>8.2718061255302767E-25</v>
      </c>
    </row>
    <row r="262" spans="1:1" x14ac:dyDescent="0.35">
      <c r="A262">
        <f>SUM(Pairs!B262,-Pairs!A262)</f>
        <v>-8.2718061255302767E-25</v>
      </c>
    </row>
    <row r="263" spans="1:1" x14ac:dyDescent="0.35">
      <c r="A263">
        <f>SUM(Pairs!B263,-Pairs!A263)</f>
        <v>1.2924697071141057E-24</v>
      </c>
    </row>
    <row r="264" spans="1:1" x14ac:dyDescent="0.35">
      <c r="A264">
        <f>SUM(Pairs!B264,-Pairs!A264)</f>
        <v>-1.2924697071141057E-24</v>
      </c>
    </row>
    <row r="265" spans="1:1" x14ac:dyDescent="0.35">
      <c r="A265">
        <f>SUM(Pairs!B265,-Pairs!A265)</f>
        <v>1.6543612251060553E-24</v>
      </c>
    </row>
    <row r="266" spans="1:1" x14ac:dyDescent="0.35">
      <c r="A266">
        <f>SUM(Pairs!B266,-Pairs!A266)</f>
        <v>-1.6543612251060553E-24</v>
      </c>
    </row>
    <row r="267" spans="1:1" x14ac:dyDescent="0.35">
      <c r="A267">
        <f>SUM(Pairs!B267,-Pairs!A267)</f>
        <v>3.3087224502121107E-24</v>
      </c>
    </row>
    <row r="268" spans="1:1" x14ac:dyDescent="0.35">
      <c r="A268">
        <f>SUM(Pairs!B268,-Pairs!A268)</f>
        <v>-3.3087224502121107E-24</v>
      </c>
    </row>
    <row r="269" spans="1:1" x14ac:dyDescent="0.35">
      <c r="A269">
        <f>SUM(Pairs!B269,-Pairs!A269)</f>
        <v>6.6174449004242214E-24</v>
      </c>
    </row>
    <row r="270" spans="1:1" x14ac:dyDescent="0.35">
      <c r="A270">
        <f>SUM(Pairs!B270,-Pairs!A270)</f>
        <v>-6.6174449004242214E-24</v>
      </c>
    </row>
    <row r="271" spans="1:1" x14ac:dyDescent="0.35">
      <c r="A271">
        <f>SUM(Pairs!B271,-Pairs!A271)</f>
        <v>1.3234889800848443E-23</v>
      </c>
    </row>
    <row r="272" spans="1:1" x14ac:dyDescent="0.35">
      <c r="A272">
        <f>SUM(Pairs!B272,-Pairs!A272)</f>
        <v>-1.3234889800848443E-23</v>
      </c>
    </row>
    <row r="273" spans="1:1" x14ac:dyDescent="0.35">
      <c r="A273">
        <f>SUM(Pairs!B273,-Pairs!A273)</f>
        <v>2.6469779601696886E-23</v>
      </c>
    </row>
    <row r="274" spans="1:1" x14ac:dyDescent="0.35">
      <c r="A274">
        <f>SUM(Pairs!B274,-Pairs!A274)</f>
        <v>-2.6469779601696886E-23</v>
      </c>
    </row>
    <row r="275" spans="1:1" x14ac:dyDescent="0.35">
      <c r="A275">
        <f>SUM(Pairs!B275,-Pairs!A275)</f>
        <v>5.2939559203393771E-23</v>
      </c>
    </row>
    <row r="276" spans="1:1" x14ac:dyDescent="0.35">
      <c r="A276">
        <f>SUM(Pairs!B276,-Pairs!A276)</f>
        <v>-5.2939559203393771E-23</v>
      </c>
    </row>
    <row r="277" spans="1:1" x14ac:dyDescent="0.35">
      <c r="A277">
        <f>SUM(Pairs!B277,-Pairs!A277)</f>
        <v>0</v>
      </c>
    </row>
    <row r="278" spans="1:1" x14ac:dyDescent="0.35">
      <c r="A278">
        <f>SUM(Pairs!B278,-Pairs!A278)</f>
        <v>0</v>
      </c>
    </row>
    <row r="279" spans="1:1" x14ac:dyDescent="0.35">
      <c r="A279">
        <f>SUM(Pairs!B279,-Pairs!A279)</f>
        <v>0</v>
      </c>
    </row>
    <row r="280" spans="1:1" x14ac:dyDescent="0.35">
      <c r="A280">
        <f>SUM(Pairs!B280,-Pairs!A280)</f>
        <v>0</v>
      </c>
    </row>
    <row r="281" spans="1:1" x14ac:dyDescent="0.35">
      <c r="A281">
        <f>SUM(Pairs!B281,-Pairs!A281)</f>
        <v>0</v>
      </c>
    </row>
    <row r="282" spans="1:1" x14ac:dyDescent="0.35">
      <c r="A282">
        <f>SUM(Pairs!B282,-Pairs!A282)</f>
        <v>0</v>
      </c>
    </row>
    <row r="283" spans="1:1" x14ac:dyDescent="0.35">
      <c r="A283">
        <f>SUM(Pairs!B283,-Pairs!A283)</f>
        <v>0</v>
      </c>
    </row>
    <row r="284" spans="1:1" x14ac:dyDescent="0.35">
      <c r="A284">
        <f>SUM(Pairs!B284,-Pairs!A284)</f>
        <v>0</v>
      </c>
    </row>
    <row r="285" spans="1:1" x14ac:dyDescent="0.35">
      <c r="A285">
        <f>SUM(Pairs!B285,-Pairs!A285)</f>
        <v>0</v>
      </c>
    </row>
    <row r="286" spans="1:1" x14ac:dyDescent="0.35">
      <c r="A286">
        <f>SUM(Pairs!B286,-Pairs!A286)</f>
        <v>0</v>
      </c>
    </row>
    <row r="287" spans="1:1" x14ac:dyDescent="0.35">
      <c r="A287">
        <f>SUM(Pairs!B287,-Pairs!A287)</f>
        <v>0</v>
      </c>
    </row>
    <row r="288" spans="1:1" x14ac:dyDescent="0.35">
      <c r="A288">
        <f>SUM(Pairs!B288,-Pairs!A288)</f>
        <v>0</v>
      </c>
    </row>
    <row r="289" spans="1:1" x14ac:dyDescent="0.35">
      <c r="A289">
        <f>SUM(Pairs!B289,-Pairs!A289)</f>
        <v>0</v>
      </c>
    </row>
    <row r="290" spans="1:1" x14ac:dyDescent="0.35">
      <c r="A290">
        <f>SUM(Pairs!B290,-Pairs!A290)</f>
        <v>0</v>
      </c>
    </row>
    <row r="291" spans="1:1" x14ac:dyDescent="0.35">
      <c r="A291">
        <f>SUM(Pairs!B291,-Pairs!A291)</f>
        <v>1.1896135267822265E+285</v>
      </c>
    </row>
    <row r="292" spans="1:1" x14ac:dyDescent="0.35">
      <c r="A292">
        <f>SUM(Pairs!B292,-Pairs!A292)</f>
        <v>-1.1896135267822265E+285</v>
      </c>
    </row>
    <row r="293" spans="1:1" x14ac:dyDescent="0.35">
      <c r="A293">
        <f>SUM(Pairs!B293,-Pairs!A293)</f>
        <v>1.4870169084777831E+285</v>
      </c>
    </row>
    <row r="294" spans="1:1" x14ac:dyDescent="0.35">
      <c r="A294">
        <f>SUM(Pairs!B294,-Pairs!A294)</f>
        <v>-1.4870169084777831E+285</v>
      </c>
    </row>
    <row r="295" spans="1:1" x14ac:dyDescent="0.35">
      <c r="A295">
        <f>SUM(Pairs!B295,-Pairs!A295)</f>
        <v>1.7844202901733397E+285</v>
      </c>
    </row>
    <row r="296" spans="1:1" x14ac:dyDescent="0.35">
      <c r="A296">
        <f>SUM(Pairs!B296,-Pairs!A296)</f>
        <v>-1.7844202901733397E+285</v>
      </c>
    </row>
    <row r="297" spans="1:1" x14ac:dyDescent="0.35">
      <c r="A297">
        <f>SUM(Pairs!B297,-Pairs!A297)</f>
        <v>2.3792270535644529E+285</v>
      </c>
    </row>
    <row r="298" spans="1:1" x14ac:dyDescent="0.35">
      <c r="A298">
        <f>SUM(Pairs!B298,-Pairs!A298)</f>
        <v>-2.3792270535644529E+285</v>
      </c>
    </row>
    <row r="299" spans="1:1" x14ac:dyDescent="0.35">
      <c r="A299">
        <f>SUM(Pairs!B299,-Pairs!A299)</f>
        <v>2.9740338169555661E+285</v>
      </c>
    </row>
    <row r="300" spans="1:1" x14ac:dyDescent="0.35">
      <c r="A300">
        <f>SUM(Pairs!B300,-Pairs!A300)</f>
        <v>-2.9740338169555661E+285</v>
      </c>
    </row>
    <row r="301" spans="1:1" x14ac:dyDescent="0.35">
      <c r="A301">
        <f>SUM(Pairs!B301,-Pairs!A301)</f>
        <v>3.5688405803466794E+285</v>
      </c>
    </row>
    <row r="302" spans="1:1" x14ac:dyDescent="0.35">
      <c r="A302">
        <f>SUM(Pairs!B302,-Pairs!A302)</f>
        <v>-3.5688405803466794E+285</v>
      </c>
    </row>
    <row r="303" spans="1:1" x14ac:dyDescent="0.35">
      <c r="A303">
        <f>SUM(Pairs!B303,-Pairs!A303)</f>
        <v>4.7584541071289058E+285</v>
      </c>
    </row>
    <row r="304" spans="1:1" x14ac:dyDescent="0.35">
      <c r="A304">
        <f>SUM(Pairs!B304,-Pairs!A304)</f>
        <v>-4.7584541071289058E+285</v>
      </c>
    </row>
    <row r="305" spans="1:1" x14ac:dyDescent="0.35">
      <c r="A305">
        <f>SUM(Pairs!B305,-Pairs!A305)</f>
        <v>7.1376811606933587E+285</v>
      </c>
    </row>
    <row r="306" spans="1:1" x14ac:dyDescent="0.35">
      <c r="A306">
        <f>SUM(Pairs!B306,-Pairs!A306)</f>
        <v>-7.1376811606933587E+285</v>
      </c>
    </row>
    <row r="307" spans="1:1" x14ac:dyDescent="0.35">
      <c r="A307">
        <f>SUM(Pairs!B307,-Pairs!A307)</f>
        <v>9.5169082142578116E+285</v>
      </c>
    </row>
    <row r="308" spans="1:1" x14ac:dyDescent="0.35">
      <c r="A308">
        <f>SUM(Pairs!B308,-Pairs!A308)</f>
        <v>-9.5169082142578116E+285</v>
      </c>
    </row>
    <row r="309" spans="1:1" x14ac:dyDescent="0.35">
      <c r="A309">
        <f>SUM(Pairs!B309,-Pairs!A309)</f>
        <v>1.4870169084777831E+286</v>
      </c>
    </row>
    <row r="310" spans="1:1" x14ac:dyDescent="0.35">
      <c r="A310">
        <f>SUM(Pairs!B310,-Pairs!A310)</f>
        <v>-1.4870169084777831E+286</v>
      </c>
    </row>
    <row r="311" spans="1:1" x14ac:dyDescent="0.35">
      <c r="A311">
        <f>SUM(Pairs!B311,-Pairs!A311)</f>
        <v>1.9033816428515623E+286</v>
      </c>
    </row>
    <row r="312" spans="1:1" x14ac:dyDescent="0.35">
      <c r="A312">
        <f>SUM(Pairs!B312,-Pairs!A312)</f>
        <v>-1.9033816428515623E+286</v>
      </c>
    </row>
    <row r="313" spans="1:1" x14ac:dyDescent="0.35">
      <c r="A313">
        <f>SUM(Pairs!B313,-Pairs!A313)</f>
        <v>3.8067632857031246E+286</v>
      </c>
    </row>
    <row r="314" spans="1:1" x14ac:dyDescent="0.35">
      <c r="A314">
        <f>SUM(Pairs!B314,-Pairs!A314)</f>
        <v>-3.8067632857031246E+286</v>
      </c>
    </row>
    <row r="315" spans="1:1" x14ac:dyDescent="0.35">
      <c r="A315">
        <f>SUM(Pairs!B315,-Pairs!A315)</f>
        <v>7.6135265714062493E+286</v>
      </c>
    </row>
    <row r="316" spans="1:1" x14ac:dyDescent="0.35">
      <c r="A316">
        <f>SUM(Pairs!B316,-Pairs!A316)</f>
        <v>-7.6135265714062493E+286</v>
      </c>
    </row>
    <row r="317" spans="1:1" x14ac:dyDescent="0.35">
      <c r="A317">
        <f>SUM(Pairs!B317,-Pairs!A317)</f>
        <v>1.5227053142812499E+287</v>
      </c>
    </row>
    <row r="318" spans="1:1" x14ac:dyDescent="0.35">
      <c r="A318">
        <f>SUM(Pairs!B318,-Pairs!A318)</f>
        <v>-1.5227053142812499E+287</v>
      </c>
    </row>
    <row r="319" spans="1:1" x14ac:dyDescent="0.35">
      <c r="A319">
        <f>SUM(Pairs!B319,-Pairs!A319)</f>
        <v>3.0454106285624997E+287</v>
      </c>
    </row>
    <row r="320" spans="1:1" x14ac:dyDescent="0.35">
      <c r="A320">
        <f>SUM(Pairs!B320,-Pairs!A320)</f>
        <v>-3.0454106285624997E+287</v>
      </c>
    </row>
    <row r="321" spans="1:1" x14ac:dyDescent="0.35">
      <c r="A321">
        <f>SUM(Pairs!B321,-Pairs!A321)</f>
        <v>6.0908212571249994E+287</v>
      </c>
    </row>
    <row r="322" spans="1:1" x14ac:dyDescent="0.35">
      <c r="A322">
        <f>SUM(Pairs!B322,-Pairs!A322)</f>
        <v>-6.0908212571249994E+287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A59E-8F0B-488E-9E0F-973D74C614F7}">
  <dimension ref="A1:A322"/>
  <sheetViews>
    <sheetView workbookViewId="0"/>
  </sheetViews>
  <sheetFormatPr defaultRowHeight="14.5" x14ac:dyDescent="0.35"/>
  <sheetData>
    <row r="1" spans="1:1" x14ac:dyDescent="0.35">
      <c r="A1" t="b">
        <f>Pairs!A1=Pairs!B1</f>
        <v>1</v>
      </c>
    </row>
    <row r="2" spans="1:1" x14ac:dyDescent="0.35">
      <c r="A2" t="b">
        <f>Pairs!A2=Pairs!B2</f>
        <v>1</v>
      </c>
    </row>
    <row r="3" spans="1:1" x14ac:dyDescent="0.35">
      <c r="A3" t="b">
        <f>Pairs!A3=Pairs!B3</f>
        <v>1</v>
      </c>
    </row>
    <row r="4" spans="1:1" x14ac:dyDescent="0.35">
      <c r="A4" t="b">
        <f>Pairs!A4=Pairs!B4</f>
        <v>1</v>
      </c>
    </row>
    <row r="5" spans="1:1" x14ac:dyDescent="0.35">
      <c r="A5" t="b">
        <f>Pairs!A5=Pairs!B5</f>
        <v>1</v>
      </c>
    </row>
    <row r="6" spans="1:1" x14ac:dyDescent="0.35">
      <c r="A6" t="b">
        <f>Pairs!A6=Pairs!B6</f>
        <v>1</v>
      </c>
    </row>
    <row r="7" spans="1:1" x14ac:dyDescent="0.35">
      <c r="A7" t="b">
        <f>Pairs!A7=Pairs!B7</f>
        <v>1</v>
      </c>
    </row>
    <row r="8" spans="1:1" x14ac:dyDescent="0.35">
      <c r="A8" t="b">
        <f>Pairs!A8=Pairs!B8</f>
        <v>1</v>
      </c>
    </row>
    <row r="9" spans="1:1" x14ac:dyDescent="0.35">
      <c r="A9" t="b">
        <f>Pairs!A9=Pairs!B9</f>
        <v>1</v>
      </c>
    </row>
    <row r="10" spans="1:1" x14ac:dyDescent="0.35">
      <c r="A10" t="b">
        <f>Pairs!A10=Pairs!B10</f>
        <v>0</v>
      </c>
    </row>
    <row r="11" spans="1:1" x14ac:dyDescent="0.35">
      <c r="A11" t="b">
        <f>Pairs!A11=Pairs!B11</f>
        <v>1</v>
      </c>
    </row>
    <row r="12" spans="1:1" x14ac:dyDescent="0.35">
      <c r="A12" t="b">
        <f>Pairs!A12=Pairs!B12</f>
        <v>0</v>
      </c>
    </row>
    <row r="13" spans="1:1" x14ac:dyDescent="0.35">
      <c r="A13" t="b">
        <f>Pairs!A13=Pairs!B13</f>
        <v>1</v>
      </c>
    </row>
    <row r="14" spans="1:1" x14ac:dyDescent="0.35">
      <c r="A14" t="b">
        <f>Pairs!A14=Pairs!B14</f>
        <v>0</v>
      </c>
    </row>
    <row r="15" spans="1:1" x14ac:dyDescent="0.35">
      <c r="A15" t="b">
        <f>Pairs!A15=Pairs!B15</f>
        <v>1</v>
      </c>
    </row>
    <row r="16" spans="1:1" x14ac:dyDescent="0.35">
      <c r="A16" t="b">
        <f>Pairs!A16=Pairs!B16</f>
        <v>0</v>
      </c>
    </row>
    <row r="17" spans="1:1" x14ac:dyDescent="0.35">
      <c r="A17" t="b">
        <f>Pairs!A17=Pairs!B17</f>
        <v>1</v>
      </c>
    </row>
    <row r="18" spans="1:1" x14ac:dyDescent="0.35">
      <c r="A18" t="b">
        <f>Pairs!A18=Pairs!B18</f>
        <v>0</v>
      </c>
    </row>
    <row r="19" spans="1:1" x14ac:dyDescent="0.35">
      <c r="A19" t="b">
        <f>Pairs!A19=Pairs!B19</f>
        <v>1</v>
      </c>
    </row>
    <row r="20" spans="1:1" x14ac:dyDescent="0.35">
      <c r="A20" t="b">
        <f>Pairs!A20=Pairs!B20</f>
        <v>0</v>
      </c>
    </row>
    <row r="21" spans="1:1" x14ac:dyDescent="0.35">
      <c r="A21" t="b">
        <f>Pairs!A21=Pairs!B21</f>
        <v>1</v>
      </c>
    </row>
    <row r="22" spans="1:1" x14ac:dyDescent="0.35">
      <c r="A22" t="b">
        <f>Pairs!A22=Pairs!B22</f>
        <v>0</v>
      </c>
    </row>
    <row r="23" spans="1:1" x14ac:dyDescent="0.35">
      <c r="A23" t="b">
        <f>Pairs!A23=Pairs!B23</f>
        <v>1</v>
      </c>
    </row>
    <row r="24" spans="1:1" x14ac:dyDescent="0.35">
      <c r="A24" t="b">
        <f>Pairs!A24=Pairs!B24</f>
        <v>0</v>
      </c>
    </row>
    <row r="25" spans="1:1" x14ac:dyDescent="0.35">
      <c r="A25" t="b">
        <f>Pairs!A25=Pairs!B25</f>
        <v>0</v>
      </c>
    </row>
    <row r="26" spans="1:1" x14ac:dyDescent="0.35">
      <c r="A26" t="b">
        <f>Pairs!A26=Pairs!B26</f>
        <v>0</v>
      </c>
    </row>
    <row r="27" spans="1:1" x14ac:dyDescent="0.35">
      <c r="A27" t="b">
        <f>Pairs!A27=Pairs!B27</f>
        <v>0</v>
      </c>
    </row>
    <row r="28" spans="1:1" x14ac:dyDescent="0.35">
      <c r="A28" t="b">
        <f>Pairs!A28=Pairs!B28</f>
        <v>0</v>
      </c>
    </row>
    <row r="29" spans="1:1" x14ac:dyDescent="0.35">
      <c r="A29" t="b">
        <f>Pairs!A29=Pairs!B29</f>
        <v>0</v>
      </c>
    </row>
    <row r="30" spans="1:1" x14ac:dyDescent="0.35">
      <c r="A30" t="b">
        <f>Pairs!A30=Pairs!B30</f>
        <v>0</v>
      </c>
    </row>
    <row r="31" spans="1:1" x14ac:dyDescent="0.35">
      <c r="A31" t="b">
        <f>Pairs!A31=Pairs!B31</f>
        <v>0</v>
      </c>
    </row>
    <row r="32" spans="1:1" x14ac:dyDescent="0.35">
      <c r="A32" t="b">
        <f>Pairs!A32=Pairs!B32</f>
        <v>0</v>
      </c>
    </row>
    <row r="33" spans="1:1" x14ac:dyDescent="0.35">
      <c r="A33" t="b">
        <f>Pairs!A33=Pairs!B33</f>
        <v>0</v>
      </c>
    </row>
    <row r="34" spans="1:1" x14ac:dyDescent="0.35">
      <c r="A34" t="b">
        <f>Pairs!A34=Pairs!B34</f>
        <v>0</v>
      </c>
    </row>
    <row r="35" spans="1:1" x14ac:dyDescent="0.35">
      <c r="A35" t="b">
        <f>Pairs!A35=Pairs!B35</f>
        <v>0</v>
      </c>
    </row>
    <row r="36" spans="1:1" x14ac:dyDescent="0.35">
      <c r="A36" t="b">
        <f>Pairs!A36=Pairs!B36</f>
        <v>0</v>
      </c>
    </row>
    <row r="37" spans="1:1" x14ac:dyDescent="0.35">
      <c r="A37" t="b">
        <f>Pairs!A37=Pairs!B37</f>
        <v>0</v>
      </c>
    </row>
    <row r="38" spans="1:1" x14ac:dyDescent="0.35">
      <c r="A38" t="b">
        <f>Pairs!A38=Pairs!B38</f>
        <v>0</v>
      </c>
    </row>
    <row r="39" spans="1:1" x14ac:dyDescent="0.35">
      <c r="A39" t="b">
        <f>Pairs!A39=Pairs!B39</f>
        <v>0</v>
      </c>
    </row>
    <row r="40" spans="1:1" x14ac:dyDescent="0.35">
      <c r="A40" t="b">
        <f>Pairs!A40=Pairs!B40</f>
        <v>0</v>
      </c>
    </row>
    <row r="41" spans="1:1" x14ac:dyDescent="0.35">
      <c r="A41" t="b">
        <f>Pairs!A41=Pairs!B41</f>
        <v>0</v>
      </c>
    </row>
    <row r="42" spans="1:1" x14ac:dyDescent="0.35">
      <c r="A42" t="b">
        <f>Pairs!A42=Pairs!B42</f>
        <v>0</v>
      </c>
    </row>
    <row r="43" spans="1:1" x14ac:dyDescent="0.35">
      <c r="A43" t="b">
        <f>Pairs!A43=Pairs!B43</f>
        <v>0</v>
      </c>
    </row>
    <row r="44" spans="1:1" x14ac:dyDescent="0.35">
      <c r="A44" t="b">
        <f>Pairs!A44=Pairs!B44</f>
        <v>0</v>
      </c>
    </row>
    <row r="45" spans="1:1" x14ac:dyDescent="0.35">
      <c r="A45" t="b">
        <f>Pairs!A45=Pairs!B45</f>
        <v>0</v>
      </c>
    </row>
    <row r="46" spans="1:1" x14ac:dyDescent="0.35">
      <c r="A46" t="b">
        <f>Pairs!A46=Pairs!B46</f>
        <v>0</v>
      </c>
    </row>
    <row r="47" spans="1:1" x14ac:dyDescent="0.35">
      <c r="A47" t="b">
        <f>Pairs!A47=Pairs!B47</f>
        <v>1</v>
      </c>
    </row>
    <row r="48" spans="1:1" x14ac:dyDescent="0.35">
      <c r="A48" t="b">
        <f>Pairs!A48=Pairs!B48</f>
        <v>1</v>
      </c>
    </row>
    <row r="49" spans="1:1" x14ac:dyDescent="0.35">
      <c r="A49" t="b">
        <f>Pairs!A49=Pairs!B49</f>
        <v>1</v>
      </c>
    </row>
    <row r="50" spans="1:1" x14ac:dyDescent="0.35">
      <c r="A50" t="b">
        <f>Pairs!A50=Pairs!B50</f>
        <v>1</v>
      </c>
    </row>
    <row r="51" spans="1:1" x14ac:dyDescent="0.35">
      <c r="A51" t="b">
        <f>Pairs!A51=Pairs!B51</f>
        <v>1</v>
      </c>
    </row>
    <row r="52" spans="1:1" x14ac:dyDescent="0.35">
      <c r="A52" t="b">
        <f>Pairs!A52=Pairs!B52</f>
        <v>1</v>
      </c>
    </row>
    <row r="53" spans="1:1" x14ac:dyDescent="0.35">
      <c r="A53" t="b">
        <f>Pairs!A53=Pairs!B53</f>
        <v>1</v>
      </c>
    </row>
    <row r="54" spans="1:1" x14ac:dyDescent="0.35">
      <c r="A54" t="b">
        <f>Pairs!A54=Pairs!B54</f>
        <v>1</v>
      </c>
    </row>
    <row r="55" spans="1:1" x14ac:dyDescent="0.35">
      <c r="A55" t="b">
        <f>Pairs!A55=Pairs!B55</f>
        <v>1</v>
      </c>
    </row>
    <row r="56" spans="1:1" x14ac:dyDescent="0.35">
      <c r="A56" t="b">
        <f>Pairs!A56=Pairs!B56</f>
        <v>1</v>
      </c>
    </row>
    <row r="57" spans="1:1" x14ac:dyDescent="0.35">
      <c r="A57" t="b">
        <f>Pairs!A57=Pairs!B57</f>
        <v>1</v>
      </c>
    </row>
    <row r="58" spans="1:1" x14ac:dyDescent="0.35">
      <c r="A58" t="b">
        <f>Pairs!A58=Pairs!B58</f>
        <v>1</v>
      </c>
    </row>
    <row r="59" spans="1:1" x14ac:dyDescent="0.35">
      <c r="A59" t="b">
        <f>Pairs!A59=Pairs!B59</f>
        <v>1</v>
      </c>
    </row>
    <row r="60" spans="1:1" x14ac:dyDescent="0.35">
      <c r="A60" t="b">
        <f>Pairs!A60=Pairs!B60</f>
        <v>1</v>
      </c>
    </row>
    <row r="61" spans="1:1" x14ac:dyDescent="0.35">
      <c r="A61" t="b">
        <f>Pairs!A61=Pairs!B61</f>
        <v>1</v>
      </c>
    </row>
    <row r="62" spans="1:1" x14ac:dyDescent="0.35">
      <c r="A62" t="b">
        <f>Pairs!A62=Pairs!B62</f>
        <v>1</v>
      </c>
    </row>
    <row r="63" spans="1:1" x14ac:dyDescent="0.35">
      <c r="A63" t="b">
        <f>Pairs!A63=Pairs!B63</f>
        <v>1</v>
      </c>
    </row>
    <row r="64" spans="1:1" x14ac:dyDescent="0.35">
      <c r="A64" t="b">
        <f>Pairs!A64=Pairs!B64</f>
        <v>1</v>
      </c>
    </row>
    <row r="65" spans="1:1" x14ac:dyDescent="0.35">
      <c r="A65" t="b">
        <f>Pairs!A65=Pairs!B65</f>
        <v>0</v>
      </c>
    </row>
    <row r="66" spans="1:1" x14ac:dyDescent="0.35">
      <c r="A66" t="b">
        <f>Pairs!A66=Pairs!B66</f>
        <v>0</v>
      </c>
    </row>
    <row r="67" spans="1:1" x14ac:dyDescent="0.35">
      <c r="A67" t="b">
        <f>Pairs!A67=Pairs!B67</f>
        <v>0</v>
      </c>
    </row>
    <row r="68" spans="1:1" x14ac:dyDescent="0.35">
      <c r="A68" t="b">
        <f>Pairs!A68=Pairs!B68</f>
        <v>0</v>
      </c>
    </row>
    <row r="69" spans="1:1" x14ac:dyDescent="0.35">
      <c r="A69" t="b">
        <f>Pairs!A69=Pairs!B69</f>
        <v>0</v>
      </c>
    </row>
    <row r="70" spans="1:1" x14ac:dyDescent="0.35">
      <c r="A70" t="b">
        <f>Pairs!A70=Pairs!B70</f>
        <v>0</v>
      </c>
    </row>
    <row r="71" spans="1:1" x14ac:dyDescent="0.35">
      <c r="A71" t="b">
        <f>Pairs!A71=Pairs!B71</f>
        <v>0</v>
      </c>
    </row>
    <row r="72" spans="1:1" x14ac:dyDescent="0.35">
      <c r="A72" t="b">
        <f>Pairs!A72=Pairs!B72</f>
        <v>0</v>
      </c>
    </row>
    <row r="73" spans="1:1" x14ac:dyDescent="0.35">
      <c r="A73" t="b">
        <f>Pairs!A73=Pairs!B73</f>
        <v>0</v>
      </c>
    </row>
    <row r="74" spans="1:1" x14ac:dyDescent="0.35">
      <c r="A74" t="b">
        <f>Pairs!A74=Pairs!B74</f>
        <v>0</v>
      </c>
    </row>
    <row r="75" spans="1:1" x14ac:dyDescent="0.35">
      <c r="A75" t="b">
        <f>Pairs!A75=Pairs!B75</f>
        <v>0</v>
      </c>
    </row>
    <row r="76" spans="1:1" x14ac:dyDescent="0.35">
      <c r="A76" t="b">
        <f>Pairs!A76=Pairs!B76</f>
        <v>0</v>
      </c>
    </row>
    <row r="77" spans="1:1" x14ac:dyDescent="0.35">
      <c r="A77" t="b">
        <f>Pairs!A77=Pairs!B77</f>
        <v>0</v>
      </c>
    </row>
    <row r="78" spans="1:1" x14ac:dyDescent="0.35">
      <c r="A78" t="b">
        <f>Pairs!A78=Pairs!B78</f>
        <v>0</v>
      </c>
    </row>
    <row r="79" spans="1:1" x14ac:dyDescent="0.35">
      <c r="A79" t="b">
        <f>Pairs!A79=Pairs!B79</f>
        <v>0</v>
      </c>
    </row>
    <row r="80" spans="1:1" x14ac:dyDescent="0.35">
      <c r="A80" t="b">
        <f>Pairs!A80=Pairs!B80</f>
        <v>0</v>
      </c>
    </row>
    <row r="81" spans="1:1" x14ac:dyDescent="0.35">
      <c r="A81" t="b">
        <f>Pairs!A81=Pairs!B81</f>
        <v>0</v>
      </c>
    </row>
    <row r="82" spans="1:1" x14ac:dyDescent="0.35">
      <c r="A82" t="b">
        <f>Pairs!A82=Pairs!B82</f>
        <v>0</v>
      </c>
    </row>
    <row r="83" spans="1:1" x14ac:dyDescent="0.35">
      <c r="A83" t="b">
        <f>Pairs!A83=Pairs!B83</f>
        <v>0</v>
      </c>
    </row>
    <row r="84" spans="1:1" x14ac:dyDescent="0.35">
      <c r="A84" t="b">
        <f>Pairs!A84=Pairs!B84</f>
        <v>0</v>
      </c>
    </row>
    <row r="85" spans="1:1" x14ac:dyDescent="0.35">
      <c r="A85" t="b">
        <f>Pairs!A85=Pairs!B85</f>
        <v>0</v>
      </c>
    </row>
    <row r="86" spans="1:1" x14ac:dyDescent="0.35">
      <c r="A86" t="b">
        <f>Pairs!A86=Pairs!B86</f>
        <v>0</v>
      </c>
    </row>
    <row r="87" spans="1:1" x14ac:dyDescent="0.35">
      <c r="A87" t="b">
        <f>Pairs!A87=Pairs!B87</f>
        <v>0</v>
      </c>
    </row>
    <row r="88" spans="1:1" x14ac:dyDescent="0.35">
      <c r="A88" t="b">
        <f>Pairs!A88=Pairs!B88</f>
        <v>0</v>
      </c>
    </row>
    <row r="89" spans="1:1" x14ac:dyDescent="0.35">
      <c r="A89" t="b">
        <f>Pairs!A89=Pairs!B89</f>
        <v>0</v>
      </c>
    </row>
    <row r="90" spans="1:1" x14ac:dyDescent="0.35">
      <c r="A90" t="b">
        <f>Pairs!A90=Pairs!B90</f>
        <v>0</v>
      </c>
    </row>
    <row r="91" spans="1:1" x14ac:dyDescent="0.35">
      <c r="A91" t="b">
        <f>Pairs!A91=Pairs!B91</f>
        <v>0</v>
      </c>
    </row>
    <row r="92" spans="1:1" x14ac:dyDescent="0.35">
      <c r="A92" t="b">
        <f>Pairs!A92=Pairs!B92</f>
        <v>0</v>
      </c>
    </row>
    <row r="93" spans="1:1" x14ac:dyDescent="0.35">
      <c r="A93" t="b">
        <f>Pairs!A93=Pairs!B93</f>
        <v>1</v>
      </c>
    </row>
    <row r="94" spans="1:1" x14ac:dyDescent="0.35">
      <c r="A94" t="b">
        <f>Pairs!A94=Pairs!B94</f>
        <v>1</v>
      </c>
    </row>
    <row r="95" spans="1:1" x14ac:dyDescent="0.35">
      <c r="A95" t="b">
        <f>Pairs!A95=Pairs!B95</f>
        <v>1</v>
      </c>
    </row>
    <row r="96" spans="1:1" x14ac:dyDescent="0.35">
      <c r="A96" t="b">
        <f>Pairs!A96=Pairs!B96</f>
        <v>1</v>
      </c>
    </row>
    <row r="97" spans="1:1" x14ac:dyDescent="0.35">
      <c r="A97" t="b">
        <f>Pairs!A97=Pairs!B97</f>
        <v>1</v>
      </c>
    </row>
    <row r="98" spans="1:1" x14ac:dyDescent="0.35">
      <c r="A98" t="b">
        <f>Pairs!A98=Pairs!B98</f>
        <v>1</v>
      </c>
    </row>
    <row r="99" spans="1:1" x14ac:dyDescent="0.35">
      <c r="A99" t="b">
        <f>Pairs!A99=Pairs!B99</f>
        <v>1</v>
      </c>
    </row>
    <row r="100" spans="1:1" x14ac:dyDescent="0.35">
      <c r="A100" t="b">
        <f>Pairs!A100=Pairs!B100</f>
        <v>1</v>
      </c>
    </row>
    <row r="101" spans="1:1" x14ac:dyDescent="0.35">
      <c r="A101" t="b">
        <f>Pairs!A101=Pairs!B101</f>
        <v>1</v>
      </c>
    </row>
    <row r="102" spans="1:1" x14ac:dyDescent="0.35">
      <c r="A102" t="b">
        <f>Pairs!A102=Pairs!B102</f>
        <v>0</v>
      </c>
    </row>
    <row r="103" spans="1:1" x14ac:dyDescent="0.35">
      <c r="A103" t="b">
        <f>Pairs!A103=Pairs!B103</f>
        <v>1</v>
      </c>
    </row>
    <row r="104" spans="1:1" x14ac:dyDescent="0.35">
      <c r="A104" t="b">
        <f>Pairs!A104=Pairs!B104</f>
        <v>0</v>
      </c>
    </row>
    <row r="105" spans="1:1" x14ac:dyDescent="0.35">
      <c r="A105" t="b">
        <f>Pairs!A105=Pairs!B105</f>
        <v>1</v>
      </c>
    </row>
    <row r="106" spans="1:1" x14ac:dyDescent="0.35">
      <c r="A106" t="b">
        <f>Pairs!A106=Pairs!B106</f>
        <v>0</v>
      </c>
    </row>
    <row r="107" spans="1:1" x14ac:dyDescent="0.35">
      <c r="A107" t="b">
        <f>Pairs!A107=Pairs!B107</f>
        <v>1</v>
      </c>
    </row>
    <row r="108" spans="1:1" x14ac:dyDescent="0.35">
      <c r="A108" t="b">
        <f>Pairs!A108=Pairs!B108</f>
        <v>0</v>
      </c>
    </row>
    <row r="109" spans="1:1" x14ac:dyDescent="0.35">
      <c r="A109" t="b">
        <f>Pairs!A109=Pairs!B109</f>
        <v>1</v>
      </c>
    </row>
    <row r="110" spans="1:1" x14ac:dyDescent="0.35">
      <c r="A110" t="b">
        <f>Pairs!A110=Pairs!B110</f>
        <v>0</v>
      </c>
    </row>
    <row r="111" spans="1:1" x14ac:dyDescent="0.35">
      <c r="A111" t="b">
        <f>Pairs!A111=Pairs!B111</f>
        <v>1</v>
      </c>
    </row>
    <row r="112" spans="1:1" x14ac:dyDescent="0.35">
      <c r="A112" t="b">
        <f>Pairs!A112=Pairs!B112</f>
        <v>0</v>
      </c>
    </row>
    <row r="113" spans="1:1" x14ac:dyDescent="0.35">
      <c r="A113" t="b">
        <f>Pairs!A113=Pairs!B113</f>
        <v>1</v>
      </c>
    </row>
    <row r="114" spans="1:1" x14ac:dyDescent="0.35">
      <c r="A114" t="b">
        <f>Pairs!A114=Pairs!B114</f>
        <v>0</v>
      </c>
    </row>
    <row r="115" spans="1:1" x14ac:dyDescent="0.35">
      <c r="A115" t="b">
        <f>Pairs!A115=Pairs!B115</f>
        <v>1</v>
      </c>
    </row>
    <row r="116" spans="1:1" x14ac:dyDescent="0.35">
      <c r="A116" t="b">
        <f>Pairs!A116=Pairs!B116</f>
        <v>0</v>
      </c>
    </row>
    <row r="117" spans="1:1" x14ac:dyDescent="0.35">
      <c r="A117" t="b">
        <f>Pairs!A117=Pairs!B117</f>
        <v>1</v>
      </c>
    </row>
    <row r="118" spans="1:1" x14ac:dyDescent="0.35">
      <c r="A118" t="b">
        <f>Pairs!A118=Pairs!B118</f>
        <v>0</v>
      </c>
    </row>
    <row r="119" spans="1:1" x14ac:dyDescent="0.35">
      <c r="A119" t="b">
        <f>Pairs!A119=Pairs!B119</f>
        <v>1</v>
      </c>
    </row>
    <row r="120" spans="1:1" x14ac:dyDescent="0.35">
      <c r="A120" t="b">
        <f>Pairs!A120=Pairs!B120</f>
        <v>0</v>
      </c>
    </row>
    <row r="121" spans="1:1" x14ac:dyDescent="0.35">
      <c r="A121" t="b">
        <f>Pairs!A121=Pairs!B121</f>
        <v>0</v>
      </c>
    </row>
    <row r="122" spans="1:1" x14ac:dyDescent="0.35">
      <c r="A122" t="b">
        <f>Pairs!A122=Pairs!B122</f>
        <v>0</v>
      </c>
    </row>
    <row r="123" spans="1:1" x14ac:dyDescent="0.35">
      <c r="A123" t="b">
        <f>Pairs!A123=Pairs!B123</f>
        <v>0</v>
      </c>
    </row>
    <row r="124" spans="1:1" x14ac:dyDescent="0.35">
      <c r="A124" t="b">
        <f>Pairs!A124=Pairs!B124</f>
        <v>0</v>
      </c>
    </row>
    <row r="125" spans="1:1" x14ac:dyDescent="0.35">
      <c r="A125" t="b">
        <f>Pairs!A125=Pairs!B125</f>
        <v>0</v>
      </c>
    </row>
    <row r="126" spans="1:1" x14ac:dyDescent="0.35">
      <c r="A126" t="b">
        <f>Pairs!A126=Pairs!B126</f>
        <v>0</v>
      </c>
    </row>
    <row r="127" spans="1:1" x14ac:dyDescent="0.35">
      <c r="A127" t="b">
        <f>Pairs!A127=Pairs!B127</f>
        <v>0</v>
      </c>
    </row>
    <row r="128" spans="1:1" x14ac:dyDescent="0.35">
      <c r="A128" t="b">
        <f>Pairs!A128=Pairs!B128</f>
        <v>0</v>
      </c>
    </row>
    <row r="129" spans="1:1" x14ac:dyDescent="0.35">
      <c r="A129" t="b">
        <f>Pairs!A129=Pairs!B129</f>
        <v>0</v>
      </c>
    </row>
    <row r="130" spans="1:1" x14ac:dyDescent="0.35">
      <c r="A130" t="b">
        <f>Pairs!A130=Pairs!B130</f>
        <v>0</v>
      </c>
    </row>
    <row r="131" spans="1:1" x14ac:dyDescent="0.35">
      <c r="A131" t="b">
        <f>Pairs!A131=Pairs!B131</f>
        <v>0</v>
      </c>
    </row>
    <row r="132" spans="1:1" x14ac:dyDescent="0.35">
      <c r="A132" t="b">
        <f>Pairs!A132=Pairs!B132</f>
        <v>0</v>
      </c>
    </row>
    <row r="133" spans="1:1" x14ac:dyDescent="0.35">
      <c r="A133" t="b">
        <f>Pairs!A133=Pairs!B133</f>
        <v>0</v>
      </c>
    </row>
    <row r="134" spans="1:1" x14ac:dyDescent="0.35">
      <c r="A134" t="b">
        <f>Pairs!A134=Pairs!B134</f>
        <v>0</v>
      </c>
    </row>
    <row r="135" spans="1:1" x14ac:dyDescent="0.35">
      <c r="A135" t="b">
        <f>Pairs!A135=Pairs!B135</f>
        <v>0</v>
      </c>
    </row>
    <row r="136" spans="1:1" x14ac:dyDescent="0.35">
      <c r="A136" t="b">
        <f>Pairs!A136=Pairs!B136</f>
        <v>0</v>
      </c>
    </row>
    <row r="137" spans="1:1" x14ac:dyDescent="0.35">
      <c r="A137" t="b">
        <f>Pairs!A137=Pairs!B137</f>
        <v>0</v>
      </c>
    </row>
    <row r="138" spans="1:1" x14ac:dyDescent="0.35">
      <c r="A138" t="b">
        <f>Pairs!A138=Pairs!B138</f>
        <v>0</v>
      </c>
    </row>
    <row r="139" spans="1:1" x14ac:dyDescent="0.35">
      <c r="A139" t="b">
        <f>Pairs!A139=Pairs!B139</f>
        <v>1</v>
      </c>
    </row>
    <row r="140" spans="1:1" x14ac:dyDescent="0.35">
      <c r="A140" t="b">
        <f>Pairs!A140=Pairs!B140</f>
        <v>1</v>
      </c>
    </row>
    <row r="141" spans="1:1" x14ac:dyDescent="0.35">
      <c r="A141" t="b">
        <f>Pairs!A141=Pairs!B141</f>
        <v>1</v>
      </c>
    </row>
    <row r="142" spans="1:1" x14ac:dyDescent="0.35">
      <c r="A142" t="b">
        <f>Pairs!A142=Pairs!B142</f>
        <v>1</v>
      </c>
    </row>
    <row r="143" spans="1:1" x14ac:dyDescent="0.35">
      <c r="A143" t="b">
        <f>Pairs!A143=Pairs!B143</f>
        <v>1</v>
      </c>
    </row>
    <row r="144" spans="1:1" x14ac:dyDescent="0.35">
      <c r="A144" t="b">
        <f>Pairs!A144=Pairs!B144</f>
        <v>1</v>
      </c>
    </row>
    <row r="145" spans="1:1" x14ac:dyDescent="0.35">
      <c r="A145" t="b">
        <f>Pairs!A145=Pairs!B145</f>
        <v>1</v>
      </c>
    </row>
    <row r="146" spans="1:1" x14ac:dyDescent="0.35">
      <c r="A146" t="b">
        <f>Pairs!A146=Pairs!B146</f>
        <v>1</v>
      </c>
    </row>
    <row r="147" spans="1:1" x14ac:dyDescent="0.35">
      <c r="A147" t="b">
        <f>Pairs!A147=Pairs!B147</f>
        <v>1</v>
      </c>
    </row>
    <row r="148" spans="1:1" x14ac:dyDescent="0.35">
      <c r="A148" t="b">
        <f>Pairs!A148=Pairs!B148</f>
        <v>1</v>
      </c>
    </row>
    <row r="149" spans="1:1" x14ac:dyDescent="0.35">
      <c r="A149" t="b">
        <f>Pairs!A149=Pairs!B149</f>
        <v>1</v>
      </c>
    </row>
    <row r="150" spans="1:1" x14ac:dyDescent="0.35">
      <c r="A150" t="b">
        <f>Pairs!A150=Pairs!B150</f>
        <v>1</v>
      </c>
    </row>
    <row r="151" spans="1:1" x14ac:dyDescent="0.35">
      <c r="A151" t="b">
        <f>Pairs!A151=Pairs!B151</f>
        <v>1</v>
      </c>
    </row>
    <row r="152" spans="1:1" x14ac:dyDescent="0.35">
      <c r="A152" t="b">
        <f>Pairs!A152=Pairs!B152</f>
        <v>1</v>
      </c>
    </row>
    <row r="153" spans="1:1" x14ac:dyDescent="0.35">
      <c r="A153" t="b">
        <f>Pairs!A153=Pairs!B153</f>
        <v>1</v>
      </c>
    </row>
    <row r="154" spans="1:1" x14ac:dyDescent="0.35">
      <c r="A154" t="b">
        <f>Pairs!A154=Pairs!B154</f>
        <v>1</v>
      </c>
    </row>
    <row r="155" spans="1:1" x14ac:dyDescent="0.35">
      <c r="A155" t="b">
        <f>Pairs!A155=Pairs!B155</f>
        <v>1</v>
      </c>
    </row>
    <row r="156" spans="1:1" x14ac:dyDescent="0.35">
      <c r="A156" t="b">
        <f>Pairs!A156=Pairs!B156</f>
        <v>1</v>
      </c>
    </row>
    <row r="157" spans="1:1" x14ac:dyDescent="0.35">
      <c r="A157" t="b">
        <f>Pairs!A157=Pairs!B157</f>
        <v>1</v>
      </c>
    </row>
    <row r="158" spans="1:1" x14ac:dyDescent="0.35">
      <c r="A158" t="b">
        <f>Pairs!A158=Pairs!B158</f>
        <v>1</v>
      </c>
    </row>
    <row r="159" spans="1:1" x14ac:dyDescent="0.35">
      <c r="A159" t="b">
        <f>Pairs!A159=Pairs!B159</f>
        <v>1</v>
      </c>
    </row>
    <row r="160" spans="1:1" x14ac:dyDescent="0.35">
      <c r="A160" t="b">
        <f>Pairs!A160=Pairs!B160</f>
        <v>1</v>
      </c>
    </row>
    <row r="161" spans="1:1" x14ac:dyDescent="0.35">
      <c r="A161" t="b">
        <f>Pairs!A161=Pairs!B161</f>
        <v>1</v>
      </c>
    </row>
    <row r="162" spans="1:1" x14ac:dyDescent="0.35">
      <c r="A162" t="b">
        <f>Pairs!A162=Pairs!B162</f>
        <v>1</v>
      </c>
    </row>
    <row r="163" spans="1:1" x14ac:dyDescent="0.35">
      <c r="A163" t="b">
        <f>Pairs!A163=Pairs!B163</f>
        <v>1</v>
      </c>
    </row>
    <row r="164" spans="1:1" x14ac:dyDescent="0.35">
      <c r="A164" t="b">
        <f>Pairs!A164=Pairs!B164</f>
        <v>1</v>
      </c>
    </row>
    <row r="165" spans="1:1" x14ac:dyDescent="0.35">
      <c r="A165" t="b">
        <f>Pairs!A165=Pairs!B165</f>
        <v>1</v>
      </c>
    </row>
    <row r="166" spans="1:1" x14ac:dyDescent="0.35">
      <c r="A166" t="b">
        <f>Pairs!A166=Pairs!B166</f>
        <v>1</v>
      </c>
    </row>
    <row r="167" spans="1:1" x14ac:dyDescent="0.35">
      <c r="A167" t="b">
        <f>Pairs!A167=Pairs!B167</f>
        <v>0</v>
      </c>
    </row>
    <row r="168" spans="1:1" x14ac:dyDescent="0.35">
      <c r="A168" t="b">
        <f>Pairs!A168=Pairs!B168</f>
        <v>0</v>
      </c>
    </row>
    <row r="169" spans="1:1" x14ac:dyDescent="0.35">
      <c r="A169" t="b">
        <f>Pairs!A169=Pairs!B169</f>
        <v>0</v>
      </c>
    </row>
    <row r="170" spans="1:1" x14ac:dyDescent="0.35">
      <c r="A170" t="b">
        <f>Pairs!A170=Pairs!B170</f>
        <v>0</v>
      </c>
    </row>
    <row r="171" spans="1:1" x14ac:dyDescent="0.35">
      <c r="A171" t="b">
        <f>Pairs!A171=Pairs!B171</f>
        <v>0</v>
      </c>
    </row>
    <row r="172" spans="1:1" x14ac:dyDescent="0.35">
      <c r="A172" t="b">
        <f>Pairs!A172=Pairs!B172</f>
        <v>0</v>
      </c>
    </row>
    <row r="173" spans="1:1" x14ac:dyDescent="0.35">
      <c r="A173" t="b">
        <f>Pairs!A173=Pairs!B173</f>
        <v>0</v>
      </c>
    </row>
    <row r="174" spans="1:1" x14ac:dyDescent="0.35">
      <c r="A174" t="b">
        <f>Pairs!A174=Pairs!B174</f>
        <v>0</v>
      </c>
    </row>
    <row r="175" spans="1:1" x14ac:dyDescent="0.35">
      <c r="A175" t="b">
        <f>Pairs!A175=Pairs!B175</f>
        <v>0</v>
      </c>
    </row>
    <row r="176" spans="1:1" x14ac:dyDescent="0.35">
      <c r="A176" t="b">
        <f>Pairs!A176=Pairs!B176</f>
        <v>0</v>
      </c>
    </row>
    <row r="177" spans="1:1" x14ac:dyDescent="0.35">
      <c r="A177" t="b">
        <f>Pairs!A177=Pairs!B177</f>
        <v>0</v>
      </c>
    </row>
    <row r="178" spans="1:1" x14ac:dyDescent="0.35">
      <c r="A178" t="b">
        <f>Pairs!A178=Pairs!B178</f>
        <v>0</v>
      </c>
    </row>
    <row r="179" spans="1:1" x14ac:dyDescent="0.35">
      <c r="A179" t="b">
        <f>Pairs!A179=Pairs!B179</f>
        <v>0</v>
      </c>
    </row>
    <row r="180" spans="1:1" x14ac:dyDescent="0.35">
      <c r="A180" t="b">
        <f>Pairs!A180=Pairs!B180</f>
        <v>0</v>
      </c>
    </row>
    <row r="181" spans="1:1" x14ac:dyDescent="0.35">
      <c r="A181" t="b">
        <f>Pairs!A181=Pairs!B181</f>
        <v>0</v>
      </c>
    </row>
    <row r="182" spans="1:1" x14ac:dyDescent="0.35">
      <c r="A182" t="b">
        <f>Pairs!A182=Pairs!B182</f>
        <v>0</v>
      </c>
    </row>
    <row r="183" spans="1:1" x14ac:dyDescent="0.35">
      <c r="A183" t="b">
        <f>Pairs!A183=Pairs!B183</f>
        <v>0</v>
      </c>
    </row>
    <row r="184" spans="1:1" x14ac:dyDescent="0.35">
      <c r="A184" t="b">
        <f>Pairs!A184=Pairs!B184</f>
        <v>0</v>
      </c>
    </row>
    <row r="185" spans="1:1" x14ac:dyDescent="0.35">
      <c r="A185" t="b">
        <f>Pairs!A185=Pairs!B185</f>
        <v>1</v>
      </c>
    </row>
    <row r="186" spans="1:1" x14ac:dyDescent="0.35">
      <c r="A186" t="b">
        <f>Pairs!A186=Pairs!B186</f>
        <v>1</v>
      </c>
    </row>
    <row r="187" spans="1:1" x14ac:dyDescent="0.35">
      <c r="A187" t="b">
        <f>Pairs!A187=Pairs!B187</f>
        <v>1</v>
      </c>
    </row>
    <row r="188" spans="1:1" x14ac:dyDescent="0.35">
      <c r="A188" t="b">
        <f>Pairs!A188=Pairs!B188</f>
        <v>1</v>
      </c>
    </row>
    <row r="189" spans="1:1" x14ac:dyDescent="0.35">
      <c r="A189" t="b">
        <f>Pairs!A189=Pairs!B189</f>
        <v>1</v>
      </c>
    </row>
    <row r="190" spans="1:1" x14ac:dyDescent="0.35">
      <c r="A190" t="b">
        <f>Pairs!A190=Pairs!B190</f>
        <v>0</v>
      </c>
    </row>
    <row r="191" spans="1:1" x14ac:dyDescent="0.35">
      <c r="A191" t="b">
        <f>Pairs!A191=Pairs!B191</f>
        <v>1</v>
      </c>
    </row>
    <row r="192" spans="1:1" x14ac:dyDescent="0.35">
      <c r="A192" t="b">
        <f>Pairs!A192=Pairs!B192</f>
        <v>0</v>
      </c>
    </row>
    <row r="193" spans="1:1" x14ac:dyDescent="0.35">
      <c r="A193" t="b">
        <f>Pairs!A193=Pairs!B193</f>
        <v>1</v>
      </c>
    </row>
    <row r="194" spans="1:1" x14ac:dyDescent="0.35">
      <c r="A194" t="b">
        <f>Pairs!A194=Pairs!B194</f>
        <v>0</v>
      </c>
    </row>
    <row r="195" spans="1:1" x14ac:dyDescent="0.35">
      <c r="A195" t="b">
        <f>Pairs!A195=Pairs!B195</f>
        <v>1</v>
      </c>
    </row>
    <row r="196" spans="1:1" x14ac:dyDescent="0.35">
      <c r="A196" t="b">
        <f>Pairs!A196=Pairs!B196</f>
        <v>0</v>
      </c>
    </row>
    <row r="197" spans="1:1" x14ac:dyDescent="0.35">
      <c r="A197" t="b">
        <f>Pairs!A197=Pairs!B197</f>
        <v>1</v>
      </c>
    </row>
    <row r="198" spans="1:1" x14ac:dyDescent="0.35">
      <c r="A198" t="b">
        <f>Pairs!A198=Pairs!B198</f>
        <v>0</v>
      </c>
    </row>
    <row r="199" spans="1:1" x14ac:dyDescent="0.35">
      <c r="A199" t="b">
        <f>Pairs!A199=Pairs!B199</f>
        <v>1</v>
      </c>
    </row>
    <row r="200" spans="1:1" x14ac:dyDescent="0.35">
      <c r="A200" t="b">
        <f>Pairs!A200=Pairs!B200</f>
        <v>0</v>
      </c>
    </row>
    <row r="201" spans="1:1" x14ac:dyDescent="0.35">
      <c r="A201" t="b">
        <f>Pairs!A201=Pairs!B201</f>
        <v>1</v>
      </c>
    </row>
    <row r="202" spans="1:1" x14ac:dyDescent="0.35">
      <c r="A202" t="b">
        <f>Pairs!A202=Pairs!B202</f>
        <v>0</v>
      </c>
    </row>
    <row r="203" spans="1:1" x14ac:dyDescent="0.35">
      <c r="A203" t="b">
        <f>Pairs!A203=Pairs!B203</f>
        <v>1</v>
      </c>
    </row>
    <row r="204" spans="1:1" x14ac:dyDescent="0.35">
      <c r="A204" t="b">
        <f>Pairs!A204=Pairs!B204</f>
        <v>0</v>
      </c>
    </row>
    <row r="205" spans="1:1" x14ac:dyDescent="0.35">
      <c r="A205" t="b">
        <f>Pairs!A205=Pairs!B205</f>
        <v>1</v>
      </c>
    </row>
    <row r="206" spans="1:1" x14ac:dyDescent="0.35">
      <c r="A206" t="b">
        <f>Pairs!A206=Pairs!B206</f>
        <v>0</v>
      </c>
    </row>
    <row r="207" spans="1:1" x14ac:dyDescent="0.35">
      <c r="A207" t="b">
        <f>Pairs!A207=Pairs!B207</f>
        <v>1</v>
      </c>
    </row>
    <row r="208" spans="1:1" x14ac:dyDescent="0.35">
      <c r="A208" t="b">
        <f>Pairs!A208=Pairs!B208</f>
        <v>0</v>
      </c>
    </row>
    <row r="209" spans="1:1" x14ac:dyDescent="0.35">
      <c r="A209" t="b">
        <f>Pairs!A209=Pairs!B209</f>
        <v>1</v>
      </c>
    </row>
    <row r="210" spans="1:1" x14ac:dyDescent="0.35">
      <c r="A210" t="b">
        <f>Pairs!A210=Pairs!B210</f>
        <v>0</v>
      </c>
    </row>
    <row r="211" spans="1:1" x14ac:dyDescent="0.35">
      <c r="A211" t="b">
        <f>Pairs!A211=Pairs!B211</f>
        <v>0</v>
      </c>
    </row>
    <row r="212" spans="1:1" x14ac:dyDescent="0.35">
      <c r="A212" t="b">
        <f>Pairs!A212=Pairs!B212</f>
        <v>0</v>
      </c>
    </row>
    <row r="213" spans="1:1" x14ac:dyDescent="0.35">
      <c r="A213" t="b">
        <f>Pairs!A213=Pairs!B213</f>
        <v>0</v>
      </c>
    </row>
    <row r="214" spans="1:1" x14ac:dyDescent="0.35">
      <c r="A214" t="b">
        <f>Pairs!A214=Pairs!B214</f>
        <v>0</v>
      </c>
    </row>
    <row r="215" spans="1:1" x14ac:dyDescent="0.35">
      <c r="A215" t="b">
        <f>Pairs!A215=Pairs!B215</f>
        <v>0</v>
      </c>
    </row>
    <row r="216" spans="1:1" x14ac:dyDescent="0.35">
      <c r="A216" t="b">
        <f>Pairs!A216=Pairs!B216</f>
        <v>0</v>
      </c>
    </row>
    <row r="217" spans="1:1" x14ac:dyDescent="0.35">
      <c r="A217" t="b">
        <f>Pairs!A217=Pairs!B217</f>
        <v>0</v>
      </c>
    </row>
    <row r="218" spans="1:1" x14ac:dyDescent="0.35">
      <c r="A218" t="b">
        <f>Pairs!A218=Pairs!B218</f>
        <v>0</v>
      </c>
    </row>
    <row r="219" spans="1:1" x14ac:dyDescent="0.35">
      <c r="A219" t="b">
        <f>Pairs!A219=Pairs!B219</f>
        <v>0</v>
      </c>
    </row>
    <row r="220" spans="1:1" x14ac:dyDescent="0.35">
      <c r="A220" t="b">
        <f>Pairs!A220=Pairs!B220</f>
        <v>0</v>
      </c>
    </row>
    <row r="221" spans="1:1" x14ac:dyDescent="0.35">
      <c r="A221" t="b">
        <f>Pairs!A221=Pairs!B221</f>
        <v>0</v>
      </c>
    </row>
    <row r="222" spans="1:1" x14ac:dyDescent="0.35">
      <c r="A222" t="b">
        <f>Pairs!A222=Pairs!B222</f>
        <v>0</v>
      </c>
    </row>
    <row r="223" spans="1:1" x14ac:dyDescent="0.35">
      <c r="A223" t="b">
        <f>Pairs!A223=Pairs!B223</f>
        <v>0</v>
      </c>
    </row>
    <row r="224" spans="1:1" x14ac:dyDescent="0.35">
      <c r="A224" t="b">
        <f>Pairs!A224=Pairs!B224</f>
        <v>0</v>
      </c>
    </row>
    <row r="225" spans="1:1" x14ac:dyDescent="0.35">
      <c r="A225" t="b">
        <f>Pairs!A225=Pairs!B225</f>
        <v>0</v>
      </c>
    </row>
    <row r="226" spans="1:1" x14ac:dyDescent="0.35">
      <c r="A226" t="b">
        <f>Pairs!A226=Pairs!B226</f>
        <v>0</v>
      </c>
    </row>
    <row r="227" spans="1:1" x14ac:dyDescent="0.35">
      <c r="A227" t="b">
        <f>Pairs!A227=Pairs!B227</f>
        <v>0</v>
      </c>
    </row>
    <row r="228" spans="1:1" x14ac:dyDescent="0.35">
      <c r="A228" t="b">
        <f>Pairs!A228=Pairs!B228</f>
        <v>0</v>
      </c>
    </row>
    <row r="229" spans="1:1" x14ac:dyDescent="0.35">
      <c r="A229" t="b">
        <f>Pairs!A229=Pairs!B229</f>
        <v>0</v>
      </c>
    </row>
    <row r="230" spans="1:1" x14ac:dyDescent="0.35">
      <c r="A230" t="b">
        <f>Pairs!A230=Pairs!B230</f>
        <v>0</v>
      </c>
    </row>
    <row r="231" spans="1:1" x14ac:dyDescent="0.35">
      <c r="A231" t="b">
        <f>Pairs!A231=Pairs!B231</f>
        <v>1</v>
      </c>
    </row>
    <row r="232" spans="1:1" x14ac:dyDescent="0.35">
      <c r="A232" t="b">
        <f>Pairs!A232=Pairs!B232</f>
        <v>1</v>
      </c>
    </row>
    <row r="233" spans="1:1" x14ac:dyDescent="0.35">
      <c r="A233" t="b">
        <f>Pairs!A233=Pairs!B233</f>
        <v>1</v>
      </c>
    </row>
    <row r="234" spans="1:1" x14ac:dyDescent="0.35">
      <c r="A234" t="b">
        <f>Pairs!A234=Pairs!B234</f>
        <v>1</v>
      </c>
    </row>
    <row r="235" spans="1:1" x14ac:dyDescent="0.35">
      <c r="A235" t="b">
        <f>Pairs!A235=Pairs!B235</f>
        <v>1</v>
      </c>
    </row>
    <row r="236" spans="1:1" x14ac:dyDescent="0.35">
      <c r="A236" t="b">
        <f>Pairs!A236=Pairs!B236</f>
        <v>1</v>
      </c>
    </row>
    <row r="237" spans="1:1" x14ac:dyDescent="0.35">
      <c r="A237" t="b">
        <f>Pairs!A237=Pairs!B237</f>
        <v>1</v>
      </c>
    </row>
    <row r="238" spans="1:1" x14ac:dyDescent="0.35">
      <c r="A238" t="b">
        <f>Pairs!A238=Pairs!B238</f>
        <v>1</v>
      </c>
    </row>
    <row r="239" spans="1:1" x14ac:dyDescent="0.35">
      <c r="A239" t="b">
        <f>Pairs!A239=Pairs!B239</f>
        <v>1</v>
      </c>
    </row>
    <row r="240" spans="1:1" x14ac:dyDescent="0.35">
      <c r="A240" t="b">
        <f>Pairs!A240=Pairs!B240</f>
        <v>0</v>
      </c>
    </row>
    <row r="241" spans="1:1" x14ac:dyDescent="0.35">
      <c r="A241" t="b">
        <f>Pairs!A241=Pairs!B241</f>
        <v>1</v>
      </c>
    </row>
    <row r="242" spans="1:1" x14ac:dyDescent="0.35">
      <c r="A242" t="b">
        <f>Pairs!A242=Pairs!B242</f>
        <v>0</v>
      </c>
    </row>
    <row r="243" spans="1:1" x14ac:dyDescent="0.35">
      <c r="A243" t="b">
        <f>Pairs!A243=Pairs!B243</f>
        <v>1</v>
      </c>
    </row>
    <row r="244" spans="1:1" x14ac:dyDescent="0.35">
      <c r="A244" t="b">
        <f>Pairs!A244=Pairs!B244</f>
        <v>0</v>
      </c>
    </row>
    <row r="245" spans="1:1" x14ac:dyDescent="0.35">
      <c r="A245" t="b">
        <f>Pairs!A245=Pairs!B245</f>
        <v>1</v>
      </c>
    </row>
    <row r="246" spans="1:1" x14ac:dyDescent="0.35">
      <c r="A246" t="b">
        <f>Pairs!A246=Pairs!B246</f>
        <v>0</v>
      </c>
    </row>
    <row r="247" spans="1:1" x14ac:dyDescent="0.35">
      <c r="A247" t="b">
        <f>Pairs!A247=Pairs!B247</f>
        <v>1</v>
      </c>
    </row>
    <row r="248" spans="1:1" x14ac:dyDescent="0.35">
      <c r="A248" t="b">
        <f>Pairs!A248=Pairs!B248</f>
        <v>0</v>
      </c>
    </row>
    <row r="249" spans="1:1" x14ac:dyDescent="0.35">
      <c r="A249" t="b">
        <f>Pairs!A249=Pairs!B249</f>
        <v>1</v>
      </c>
    </row>
    <row r="250" spans="1:1" x14ac:dyDescent="0.35">
      <c r="A250" t="b">
        <f>Pairs!A250=Pairs!B250</f>
        <v>0</v>
      </c>
    </row>
    <row r="251" spans="1:1" x14ac:dyDescent="0.35">
      <c r="A251" t="b">
        <f>Pairs!A251=Pairs!B251</f>
        <v>1</v>
      </c>
    </row>
    <row r="252" spans="1:1" x14ac:dyDescent="0.35">
      <c r="A252" t="b">
        <f>Pairs!A252=Pairs!B252</f>
        <v>0</v>
      </c>
    </row>
    <row r="253" spans="1:1" x14ac:dyDescent="0.35">
      <c r="A253" t="b">
        <f>Pairs!A253=Pairs!B253</f>
        <v>1</v>
      </c>
    </row>
    <row r="254" spans="1:1" x14ac:dyDescent="0.35">
      <c r="A254" t="b">
        <f>Pairs!A254=Pairs!B254</f>
        <v>0</v>
      </c>
    </row>
    <row r="255" spans="1:1" x14ac:dyDescent="0.35">
      <c r="A255" t="b">
        <f>Pairs!A255=Pairs!B255</f>
        <v>1</v>
      </c>
    </row>
    <row r="256" spans="1:1" x14ac:dyDescent="0.35">
      <c r="A256" t="b">
        <f>Pairs!A256=Pairs!B256</f>
        <v>0</v>
      </c>
    </row>
    <row r="257" spans="1:1" x14ac:dyDescent="0.35">
      <c r="A257" t="b">
        <f>Pairs!A257=Pairs!B257</f>
        <v>1</v>
      </c>
    </row>
    <row r="258" spans="1:1" x14ac:dyDescent="0.35">
      <c r="A258" t="b">
        <f>Pairs!A258=Pairs!B258</f>
        <v>0</v>
      </c>
    </row>
    <row r="259" spans="1:1" x14ac:dyDescent="0.35">
      <c r="A259" t="b">
        <f>Pairs!A259=Pairs!B259</f>
        <v>0</v>
      </c>
    </row>
    <row r="260" spans="1:1" x14ac:dyDescent="0.35">
      <c r="A260" t="b">
        <f>Pairs!A260=Pairs!B260</f>
        <v>0</v>
      </c>
    </row>
    <row r="261" spans="1:1" x14ac:dyDescent="0.35">
      <c r="A261" t="b">
        <f>Pairs!A261=Pairs!B261</f>
        <v>0</v>
      </c>
    </row>
    <row r="262" spans="1:1" x14ac:dyDescent="0.35">
      <c r="A262" t="b">
        <f>Pairs!A262=Pairs!B262</f>
        <v>0</v>
      </c>
    </row>
    <row r="263" spans="1:1" x14ac:dyDescent="0.35">
      <c r="A263" t="b">
        <f>Pairs!A263=Pairs!B263</f>
        <v>0</v>
      </c>
    </row>
    <row r="264" spans="1:1" x14ac:dyDescent="0.35">
      <c r="A264" t="b">
        <f>Pairs!A264=Pairs!B264</f>
        <v>0</v>
      </c>
    </row>
    <row r="265" spans="1:1" x14ac:dyDescent="0.35">
      <c r="A265" t="b">
        <f>Pairs!A265=Pairs!B265</f>
        <v>0</v>
      </c>
    </row>
    <row r="266" spans="1:1" x14ac:dyDescent="0.35">
      <c r="A266" t="b">
        <f>Pairs!A266=Pairs!B266</f>
        <v>0</v>
      </c>
    </row>
    <row r="267" spans="1:1" x14ac:dyDescent="0.35">
      <c r="A267" t="b">
        <f>Pairs!A267=Pairs!B267</f>
        <v>0</v>
      </c>
    </row>
    <row r="268" spans="1:1" x14ac:dyDescent="0.35">
      <c r="A268" t="b">
        <f>Pairs!A268=Pairs!B268</f>
        <v>0</v>
      </c>
    </row>
    <row r="269" spans="1:1" x14ac:dyDescent="0.35">
      <c r="A269" t="b">
        <f>Pairs!A269=Pairs!B269</f>
        <v>0</v>
      </c>
    </row>
    <row r="270" spans="1:1" x14ac:dyDescent="0.35">
      <c r="A270" t="b">
        <f>Pairs!A270=Pairs!B270</f>
        <v>0</v>
      </c>
    </row>
    <row r="271" spans="1:1" x14ac:dyDescent="0.35">
      <c r="A271" t="b">
        <f>Pairs!A271=Pairs!B271</f>
        <v>0</v>
      </c>
    </row>
    <row r="272" spans="1:1" x14ac:dyDescent="0.35">
      <c r="A272" t="b">
        <f>Pairs!A272=Pairs!B272</f>
        <v>0</v>
      </c>
    </row>
    <row r="273" spans="1:1" x14ac:dyDescent="0.35">
      <c r="A273" t="b">
        <f>Pairs!A273=Pairs!B273</f>
        <v>0</v>
      </c>
    </row>
    <row r="274" spans="1:1" x14ac:dyDescent="0.35">
      <c r="A274" t="b">
        <f>Pairs!A274=Pairs!B274</f>
        <v>0</v>
      </c>
    </row>
    <row r="275" spans="1:1" x14ac:dyDescent="0.35">
      <c r="A275" t="b">
        <f>Pairs!A275=Pairs!B275</f>
        <v>0</v>
      </c>
    </row>
    <row r="276" spans="1:1" x14ac:dyDescent="0.35">
      <c r="A276" t="b">
        <f>Pairs!A276=Pairs!B276</f>
        <v>0</v>
      </c>
    </row>
    <row r="277" spans="1:1" x14ac:dyDescent="0.35">
      <c r="A277" t="b">
        <f>Pairs!A277=Pairs!B277</f>
        <v>1</v>
      </c>
    </row>
    <row r="278" spans="1:1" x14ac:dyDescent="0.35">
      <c r="A278" t="b">
        <f>Pairs!A278=Pairs!B278</f>
        <v>1</v>
      </c>
    </row>
    <row r="279" spans="1:1" x14ac:dyDescent="0.35">
      <c r="A279" t="b">
        <f>Pairs!A279=Pairs!B279</f>
        <v>1</v>
      </c>
    </row>
    <row r="280" spans="1:1" x14ac:dyDescent="0.35">
      <c r="A280" t="b">
        <f>Pairs!A280=Pairs!B280</f>
        <v>1</v>
      </c>
    </row>
    <row r="281" spans="1:1" x14ac:dyDescent="0.35">
      <c r="A281" t="b">
        <f>Pairs!A281=Pairs!B281</f>
        <v>1</v>
      </c>
    </row>
    <row r="282" spans="1:1" x14ac:dyDescent="0.35">
      <c r="A282" t="b">
        <f>Pairs!A282=Pairs!B282</f>
        <v>1</v>
      </c>
    </row>
    <row r="283" spans="1:1" x14ac:dyDescent="0.35">
      <c r="A283" t="b">
        <f>Pairs!A283=Pairs!B283</f>
        <v>1</v>
      </c>
    </row>
    <row r="284" spans="1:1" x14ac:dyDescent="0.35">
      <c r="A284" t="b">
        <f>Pairs!A284=Pairs!B284</f>
        <v>0</v>
      </c>
    </row>
    <row r="285" spans="1:1" x14ac:dyDescent="0.35">
      <c r="A285" t="b">
        <f>Pairs!A285=Pairs!B285</f>
        <v>1</v>
      </c>
    </row>
    <row r="286" spans="1:1" x14ac:dyDescent="0.35">
      <c r="A286" t="b">
        <f>Pairs!A286=Pairs!B286</f>
        <v>0</v>
      </c>
    </row>
    <row r="287" spans="1:1" x14ac:dyDescent="0.35">
      <c r="A287" t="b">
        <f>Pairs!A287=Pairs!B287</f>
        <v>1</v>
      </c>
    </row>
    <row r="288" spans="1:1" x14ac:dyDescent="0.35">
      <c r="A288" t="b">
        <f>Pairs!A288=Pairs!B288</f>
        <v>0</v>
      </c>
    </row>
    <row r="289" spans="1:1" x14ac:dyDescent="0.35">
      <c r="A289" t="b">
        <f>Pairs!A289=Pairs!B289</f>
        <v>1</v>
      </c>
    </row>
    <row r="290" spans="1:1" x14ac:dyDescent="0.35">
      <c r="A290" t="b">
        <f>Pairs!A290=Pairs!B290</f>
        <v>0</v>
      </c>
    </row>
    <row r="291" spans="1:1" x14ac:dyDescent="0.35">
      <c r="A291" t="b">
        <f>Pairs!A291=Pairs!B291</f>
        <v>1</v>
      </c>
    </row>
    <row r="292" spans="1:1" x14ac:dyDescent="0.35">
      <c r="A292" t="b">
        <f>Pairs!A292=Pairs!B292</f>
        <v>0</v>
      </c>
    </row>
    <row r="293" spans="1:1" x14ac:dyDescent="0.35">
      <c r="A293" t="b">
        <f>Pairs!A293=Pairs!B293</f>
        <v>1</v>
      </c>
    </row>
    <row r="294" spans="1:1" x14ac:dyDescent="0.35">
      <c r="A294" t="b">
        <f>Pairs!A294=Pairs!B294</f>
        <v>0</v>
      </c>
    </row>
    <row r="295" spans="1:1" x14ac:dyDescent="0.35">
      <c r="A295" t="b">
        <f>Pairs!A295=Pairs!B295</f>
        <v>1</v>
      </c>
    </row>
    <row r="296" spans="1:1" x14ac:dyDescent="0.35">
      <c r="A296" t="b">
        <f>Pairs!A296=Pairs!B296</f>
        <v>0</v>
      </c>
    </row>
    <row r="297" spans="1:1" x14ac:dyDescent="0.35">
      <c r="A297" t="b">
        <f>Pairs!A297=Pairs!B297</f>
        <v>1</v>
      </c>
    </row>
    <row r="298" spans="1:1" x14ac:dyDescent="0.35">
      <c r="A298" t="b">
        <f>Pairs!A298=Pairs!B298</f>
        <v>0</v>
      </c>
    </row>
    <row r="299" spans="1:1" x14ac:dyDescent="0.35">
      <c r="A299" t="b">
        <f>Pairs!A299=Pairs!B299</f>
        <v>1</v>
      </c>
    </row>
    <row r="300" spans="1:1" x14ac:dyDescent="0.35">
      <c r="A300" t="b">
        <f>Pairs!A300=Pairs!B300</f>
        <v>0</v>
      </c>
    </row>
    <row r="301" spans="1:1" x14ac:dyDescent="0.35">
      <c r="A301" t="b">
        <f>Pairs!A301=Pairs!B301</f>
        <v>1</v>
      </c>
    </row>
    <row r="302" spans="1:1" x14ac:dyDescent="0.35">
      <c r="A302" t="b">
        <f>Pairs!A302=Pairs!B302</f>
        <v>0</v>
      </c>
    </row>
    <row r="303" spans="1:1" x14ac:dyDescent="0.35">
      <c r="A303" t="b">
        <f>Pairs!A303=Pairs!B303</f>
        <v>1</v>
      </c>
    </row>
    <row r="304" spans="1:1" x14ac:dyDescent="0.35">
      <c r="A304" t="b">
        <f>Pairs!A304=Pairs!B304</f>
        <v>0</v>
      </c>
    </row>
    <row r="305" spans="1:1" x14ac:dyDescent="0.35">
      <c r="A305" t="b">
        <f>Pairs!A305=Pairs!B305</f>
        <v>0</v>
      </c>
    </row>
    <row r="306" spans="1:1" x14ac:dyDescent="0.35">
      <c r="A306" t="b">
        <f>Pairs!A306=Pairs!B306</f>
        <v>0</v>
      </c>
    </row>
    <row r="307" spans="1:1" x14ac:dyDescent="0.35">
      <c r="A307" t="b">
        <f>Pairs!A307=Pairs!B307</f>
        <v>0</v>
      </c>
    </row>
    <row r="308" spans="1:1" x14ac:dyDescent="0.35">
      <c r="A308" t="b">
        <f>Pairs!A308=Pairs!B308</f>
        <v>0</v>
      </c>
    </row>
    <row r="309" spans="1:1" x14ac:dyDescent="0.35">
      <c r="A309" t="b">
        <f>Pairs!A309=Pairs!B309</f>
        <v>0</v>
      </c>
    </row>
    <row r="310" spans="1:1" x14ac:dyDescent="0.35">
      <c r="A310" t="b">
        <f>Pairs!A310=Pairs!B310</f>
        <v>0</v>
      </c>
    </row>
    <row r="311" spans="1:1" x14ac:dyDescent="0.35">
      <c r="A311" t="b">
        <f>Pairs!A311=Pairs!B311</f>
        <v>0</v>
      </c>
    </row>
    <row r="312" spans="1:1" x14ac:dyDescent="0.35">
      <c r="A312" t="b">
        <f>Pairs!A312=Pairs!B312</f>
        <v>0</v>
      </c>
    </row>
    <row r="313" spans="1:1" x14ac:dyDescent="0.35">
      <c r="A313" t="b">
        <f>Pairs!A313=Pairs!B313</f>
        <v>0</v>
      </c>
    </row>
    <row r="314" spans="1:1" x14ac:dyDescent="0.35">
      <c r="A314" t="b">
        <f>Pairs!A314=Pairs!B314</f>
        <v>0</v>
      </c>
    </row>
    <row r="315" spans="1:1" x14ac:dyDescent="0.35">
      <c r="A315" t="b">
        <f>Pairs!A315=Pairs!B315</f>
        <v>0</v>
      </c>
    </row>
    <row r="316" spans="1:1" x14ac:dyDescent="0.35">
      <c r="A316" t="b">
        <f>Pairs!A316=Pairs!B316</f>
        <v>0</v>
      </c>
    </row>
    <row r="317" spans="1:1" x14ac:dyDescent="0.35">
      <c r="A317" t="b">
        <f>Pairs!A317=Pairs!B317</f>
        <v>0</v>
      </c>
    </row>
    <row r="318" spans="1:1" x14ac:dyDescent="0.35">
      <c r="A318" t="b">
        <f>Pairs!A318=Pairs!B318</f>
        <v>0</v>
      </c>
    </row>
    <row r="319" spans="1:1" x14ac:dyDescent="0.35">
      <c r="A319" t="b">
        <f>Pairs!A319=Pairs!B319</f>
        <v>0</v>
      </c>
    </row>
    <row r="320" spans="1:1" x14ac:dyDescent="0.35">
      <c r="A320" t="b">
        <f>Pairs!A320=Pairs!B320</f>
        <v>0</v>
      </c>
    </row>
    <row r="321" spans="1:1" x14ac:dyDescent="0.35">
      <c r="A321" t="b">
        <f>Pairs!A321=Pairs!B321</f>
        <v>0</v>
      </c>
    </row>
    <row r="322" spans="1:1" x14ac:dyDescent="0.35">
      <c r="A322" t="b">
        <f>Pairs!A322=Pairs!B322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F4C3-D244-408C-9D01-6107779F3EF1}">
  <dimension ref="A1:A322"/>
  <sheetViews>
    <sheetView workbookViewId="0"/>
  </sheetViews>
  <sheetFormatPr defaultRowHeight="14.5" x14ac:dyDescent="0.35"/>
  <sheetData>
    <row r="1" spans="1:1" x14ac:dyDescent="0.35">
      <c r="A1" t="b">
        <f>Pairs!A1&lt;Pairs!B1</f>
        <v>0</v>
      </c>
    </row>
    <row r="2" spans="1:1" x14ac:dyDescent="0.35">
      <c r="A2" t="b">
        <f>Pairs!A2&lt;Pairs!B2</f>
        <v>0</v>
      </c>
    </row>
    <row r="3" spans="1:1" x14ac:dyDescent="0.35">
      <c r="A3" t="b">
        <f>Pairs!A3&lt;Pairs!B3</f>
        <v>0</v>
      </c>
    </row>
    <row r="4" spans="1:1" x14ac:dyDescent="0.35">
      <c r="A4" t="b">
        <f>Pairs!A4&lt;Pairs!B4</f>
        <v>0</v>
      </c>
    </row>
    <row r="5" spans="1:1" x14ac:dyDescent="0.35">
      <c r="A5" t="b">
        <f>Pairs!A5&lt;Pairs!B5</f>
        <v>0</v>
      </c>
    </row>
    <row r="6" spans="1:1" x14ac:dyDescent="0.35">
      <c r="A6" t="b">
        <f>Pairs!A6&lt;Pairs!B6</f>
        <v>0</v>
      </c>
    </row>
    <row r="7" spans="1:1" x14ac:dyDescent="0.35">
      <c r="A7" t="b">
        <f>Pairs!A7&lt;Pairs!B7</f>
        <v>0</v>
      </c>
    </row>
    <row r="8" spans="1:1" x14ac:dyDescent="0.35">
      <c r="A8" t="b">
        <f>Pairs!A8&lt;Pairs!B8</f>
        <v>0</v>
      </c>
    </row>
    <row r="9" spans="1:1" x14ac:dyDescent="0.35">
      <c r="A9" t="b">
        <f>Pairs!A9&lt;Pairs!B9</f>
        <v>0</v>
      </c>
    </row>
    <row r="10" spans="1:1" x14ac:dyDescent="0.35">
      <c r="A10" t="b">
        <f>Pairs!A10&lt;Pairs!B10</f>
        <v>0</v>
      </c>
    </row>
    <row r="11" spans="1:1" x14ac:dyDescent="0.35">
      <c r="A11" t="b">
        <f>Pairs!A11&lt;Pairs!B11</f>
        <v>0</v>
      </c>
    </row>
    <row r="12" spans="1:1" x14ac:dyDescent="0.35">
      <c r="A12" t="b">
        <f>Pairs!A12&lt;Pairs!B12</f>
        <v>0</v>
      </c>
    </row>
    <row r="13" spans="1:1" x14ac:dyDescent="0.35">
      <c r="A13" t="b">
        <f>Pairs!A13&lt;Pairs!B13</f>
        <v>0</v>
      </c>
    </row>
    <row r="14" spans="1:1" x14ac:dyDescent="0.35">
      <c r="A14" t="b">
        <f>Pairs!A14&lt;Pairs!B14</f>
        <v>0</v>
      </c>
    </row>
    <row r="15" spans="1:1" x14ac:dyDescent="0.35">
      <c r="A15" t="b">
        <f>Pairs!A15&lt;Pairs!B15</f>
        <v>0</v>
      </c>
    </row>
    <row r="16" spans="1:1" x14ac:dyDescent="0.35">
      <c r="A16" t="b">
        <f>Pairs!A16&lt;Pairs!B16</f>
        <v>0</v>
      </c>
    </row>
    <row r="17" spans="1:1" x14ac:dyDescent="0.35">
      <c r="A17" t="b">
        <f>Pairs!A17&lt;Pairs!B17</f>
        <v>0</v>
      </c>
    </row>
    <row r="18" spans="1:1" x14ac:dyDescent="0.35">
      <c r="A18" t="b">
        <f>Pairs!A18&lt;Pairs!B18</f>
        <v>0</v>
      </c>
    </row>
    <row r="19" spans="1:1" x14ac:dyDescent="0.35">
      <c r="A19" t="b">
        <f>Pairs!A19&lt;Pairs!B19</f>
        <v>0</v>
      </c>
    </row>
    <row r="20" spans="1:1" x14ac:dyDescent="0.35">
      <c r="A20" t="b">
        <f>Pairs!A20&lt;Pairs!B20</f>
        <v>0</v>
      </c>
    </row>
    <row r="21" spans="1:1" x14ac:dyDescent="0.35">
      <c r="A21" t="b">
        <f>Pairs!A21&lt;Pairs!B21</f>
        <v>0</v>
      </c>
    </row>
    <row r="22" spans="1:1" x14ac:dyDescent="0.35">
      <c r="A22" t="b">
        <f>Pairs!A22&lt;Pairs!B22</f>
        <v>0</v>
      </c>
    </row>
    <row r="23" spans="1:1" x14ac:dyDescent="0.35">
      <c r="A23" t="b">
        <f>Pairs!A23&lt;Pairs!B23</f>
        <v>0</v>
      </c>
    </row>
    <row r="24" spans="1:1" x14ac:dyDescent="0.35">
      <c r="A24" t="b">
        <f>Pairs!A24&lt;Pairs!B24</f>
        <v>0</v>
      </c>
    </row>
    <row r="25" spans="1:1" x14ac:dyDescent="0.35">
      <c r="A25" t="b">
        <f>Pairs!A25&lt;Pairs!B25</f>
        <v>1</v>
      </c>
    </row>
    <row r="26" spans="1:1" x14ac:dyDescent="0.35">
      <c r="A26" t="b">
        <f>Pairs!A26&lt;Pairs!B26</f>
        <v>0</v>
      </c>
    </row>
    <row r="27" spans="1:1" x14ac:dyDescent="0.35">
      <c r="A27" t="b">
        <f>Pairs!A27&lt;Pairs!B27</f>
        <v>1</v>
      </c>
    </row>
    <row r="28" spans="1:1" x14ac:dyDescent="0.35">
      <c r="A28" t="b">
        <f>Pairs!A28&lt;Pairs!B28</f>
        <v>0</v>
      </c>
    </row>
    <row r="29" spans="1:1" x14ac:dyDescent="0.35">
      <c r="A29" t="b">
        <f>Pairs!A29&lt;Pairs!B29</f>
        <v>1</v>
      </c>
    </row>
    <row r="30" spans="1:1" x14ac:dyDescent="0.35">
      <c r="A30" t="b">
        <f>Pairs!A30&lt;Pairs!B30</f>
        <v>0</v>
      </c>
    </row>
    <row r="31" spans="1:1" x14ac:dyDescent="0.35">
      <c r="A31" t="b">
        <f>Pairs!A31&lt;Pairs!B31</f>
        <v>1</v>
      </c>
    </row>
    <row r="32" spans="1:1" x14ac:dyDescent="0.35">
      <c r="A32" t="b">
        <f>Pairs!A32&lt;Pairs!B32</f>
        <v>0</v>
      </c>
    </row>
    <row r="33" spans="1:1" x14ac:dyDescent="0.35">
      <c r="A33" t="b">
        <f>Pairs!A33&lt;Pairs!B33</f>
        <v>1</v>
      </c>
    </row>
    <row r="34" spans="1:1" x14ac:dyDescent="0.35">
      <c r="A34" t="b">
        <f>Pairs!A34&lt;Pairs!B34</f>
        <v>0</v>
      </c>
    </row>
    <row r="35" spans="1:1" x14ac:dyDescent="0.35">
      <c r="A35" t="b">
        <f>Pairs!A35&lt;Pairs!B35</f>
        <v>1</v>
      </c>
    </row>
    <row r="36" spans="1:1" x14ac:dyDescent="0.35">
      <c r="A36" t="b">
        <f>Pairs!A36&lt;Pairs!B36</f>
        <v>0</v>
      </c>
    </row>
    <row r="37" spans="1:1" x14ac:dyDescent="0.35">
      <c r="A37" t="b">
        <f>Pairs!A37&lt;Pairs!B37</f>
        <v>1</v>
      </c>
    </row>
    <row r="38" spans="1:1" x14ac:dyDescent="0.35">
      <c r="A38" t="b">
        <f>Pairs!A38&lt;Pairs!B38</f>
        <v>0</v>
      </c>
    </row>
    <row r="39" spans="1:1" x14ac:dyDescent="0.35">
      <c r="A39" t="b">
        <f>Pairs!A39&lt;Pairs!B39</f>
        <v>1</v>
      </c>
    </row>
    <row r="40" spans="1:1" x14ac:dyDescent="0.35">
      <c r="A40" t="b">
        <f>Pairs!A40&lt;Pairs!B40</f>
        <v>0</v>
      </c>
    </row>
    <row r="41" spans="1:1" x14ac:dyDescent="0.35">
      <c r="A41" t="b">
        <f>Pairs!A41&lt;Pairs!B41</f>
        <v>1</v>
      </c>
    </row>
    <row r="42" spans="1:1" x14ac:dyDescent="0.35">
      <c r="A42" t="b">
        <f>Pairs!A42&lt;Pairs!B42</f>
        <v>0</v>
      </c>
    </row>
    <row r="43" spans="1:1" x14ac:dyDescent="0.35">
      <c r="A43" t="b">
        <f>Pairs!A43&lt;Pairs!B43</f>
        <v>1</v>
      </c>
    </row>
    <row r="44" spans="1:1" x14ac:dyDescent="0.35">
      <c r="A44" t="b">
        <f>Pairs!A44&lt;Pairs!B44</f>
        <v>0</v>
      </c>
    </row>
    <row r="45" spans="1:1" x14ac:dyDescent="0.35">
      <c r="A45" t="b">
        <f>Pairs!A45&lt;Pairs!B45</f>
        <v>1</v>
      </c>
    </row>
    <row r="46" spans="1:1" x14ac:dyDescent="0.35">
      <c r="A46" t="b">
        <f>Pairs!A46&lt;Pairs!B46</f>
        <v>0</v>
      </c>
    </row>
    <row r="47" spans="1:1" x14ac:dyDescent="0.35">
      <c r="A47" t="b">
        <f>Pairs!A47&lt;Pairs!B47</f>
        <v>0</v>
      </c>
    </row>
    <row r="48" spans="1:1" x14ac:dyDescent="0.35">
      <c r="A48" t="b">
        <f>Pairs!A48&lt;Pairs!B48</f>
        <v>0</v>
      </c>
    </row>
    <row r="49" spans="1:1" x14ac:dyDescent="0.35">
      <c r="A49" t="b">
        <f>Pairs!A49&lt;Pairs!B49</f>
        <v>0</v>
      </c>
    </row>
    <row r="50" spans="1:1" x14ac:dyDescent="0.35">
      <c r="A50" t="b">
        <f>Pairs!A50&lt;Pairs!B50</f>
        <v>0</v>
      </c>
    </row>
    <row r="51" spans="1:1" x14ac:dyDescent="0.35">
      <c r="A51" t="b">
        <f>Pairs!A51&lt;Pairs!B51</f>
        <v>0</v>
      </c>
    </row>
    <row r="52" spans="1:1" x14ac:dyDescent="0.35">
      <c r="A52" t="b">
        <f>Pairs!A52&lt;Pairs!B52</f>
        <v>0</v>
      </c>
    </row>
    <row r="53" spans="1:1" x14ac:dyDescent="0.35">
      <c r="A53" t="b">
        <f>Pairs!A53&lt;Pairs!B53</f>
        <v>0</v>
      </c>
    </row>
    <row r="54" spans="1:1" x14ac:dyDescent="0.35">
      <c r="A54" t="b">
        <f>Pairs!A54&lt;Pairs!B54</f>
        <v>0</v>
      </c>
    </row>
    <row r="55" spans="1:1" x14ac:dyDescent="0.35">
      <c r="A55" t="b">
        <f>Pairs!A55&lt;Pairs!B55</f>
        <v>0</v>
      </c>
    </row>
    <row r="56" spans="1:1" x14ac:dyDescent="0.35">
      <c r="A56" t="b">
        <f>Pairs!A56&lt;Pairs!B56</f>
        <v>0</v>
      </c>
    </row>
    <row r="57" spans="1:1" x14ac:dyDescent="0.35">
      <c r="A57" t="b">
        <f>Pairs!A57&lt;Pairs!B57</f>
        <v>0</v>
      </c>
    </row>
    <row r="58" spans="1:1" x14ac:dyDescent="0.35">
      <c r="A58" t="b">
        <f>Pairs!A58&lt;Pairs!B58</f>
        <v>0</v>
      </c>
    </row>
    <row r="59" spans="1:1" x14ac:dyDescent="0.35">
      <c r="A59" t="b">
        <f>Pairs!A59&lt;Pairs!B59</f>
        <v>0</v>
      </c>
    </row>
    <row r="60" spans="1:1" x14ac:dyDescent="0.35">
      <c r="A60" t="b">
        <f>Pairs!A60&lt;Pairs!B60</f>
        <v>0</v>
      </c>
    </row>
    <row r="61" spans="1:1" x14ac:dyDescent="0.35">
      <c r="A61" t="b">
        <f>Pairs!A61&lt;Pairs!B61</f>
        <v>0</v>
      </c>
    </row>
    <row r="62" spans="1:1" x14ac:dyDescent="0.35">
      <c r="A62" t="b">
        <f>Pairs!A62&lt;Pairs!B62</f>
        <v>0</v>
      </c>
    </row>
    <row r="63" spans="1:1" x14ac:dyDescent="0.35">
      <c r="A63" t="b">
        <f>Pairs!A63&lt;Pairs!B63</f>
        <v>0</v>
      </c>
    </row>
    <row r="64" spans="1:1" x14ac:dyDescent="0.35">
      <c r="A64" t="b">
        <f>Pairs!A64&lt;Pairs!B64</f>
        <v>0</v>
      </c>
    </row>
    <row r="65" spans="1:1" x14ac:dyDescent="0.35">
      <c r="A65" t="b">
        <f>Pairs!A65&lt;Pairs!B65</f>
        <v>1</v>
      </c>
    </row>
    <row r="66" spans="1:1" x14ac:dyDescent="0.35">
      <c r="A66" t="b">
        <f>Pairs!A66&lt;Pairs!B66</f>
        <v>0</v>
      </c>
    </row>
    <row r="67" spans="1:1" x14ac:dyDescent="0.35">
      <c r="A67" t="b">
        <f>Pairs!A67&lt;Pairs!B67</f>
        <v>1</v>
      </c>
    </row>
    <row r="68" spans="1:1" x14ac:dyDescent="0.35">
      <c r="A68" t="b">
        <f>Pairs!A68&lt;Pairs!B68</f>
        <v>0</v>
      </c>
    </row>
    <row r="69" spans="1:1" x14ac:dyDescent="0.35">
      <c r="A69" t="b">
        <f>Pairs!A69&lt;Pairs!B69</f>
        <v>1</v>
      </c>
    </row>
    <row r="70" spans="1:1" x14ac:dyDescent="0.35">
      <c r="A70" t="b">
        <f>Pairs!A70&lt;Pairs!B70</f>
        <v>0</v>
      </c>
    </row>
    <row r="71" spans="1:1" x14ac:dyDescent="0.35">
      <c r="A71" t="b">
        <f>Pairs!A71&lt;Pairs!B71</f>
        <v>1</v>
      </c>
    </row>
    <row r="72" spans="1:1" x14ac:dyDescent="0.35">
      <c r="A72" t="b">
        <f>Pairs!A72&lt;Pairs!B72</f>
        <v>0</v>
      </c>
    </row>
    <row r="73" spans="1:1" x14ac:dyDescent="0.35">
      <c r="A73" t="b">
        <f>Pairs!A73&lt;Pairs!B73</f>
        <v>1</v>
      </c>
    </row>
    <row r="74" spans="1:1" x14ac:dyDescent="0.35">
      <c r="A74" t="b">
        <f>Pairs!A74&lt;Pairs!B74</f>
        <v>0</v>
      </c>
    </row>
    <row r="75" spans="1:1" x14ac:dyDescent="0.35">
      <c r="A75" t="b">
        <f>Pairs!A75&lt;Pairs!B75</f>
        <v>1</v>
      </c>
    </row>
    <row r="76" spans="1:1" x14ac:dyDescent="0.35">
      <c r="A76" t="b">
        <f>Pairs!A76&lt;Pairs!B76</f>
        <v>0</v>
      </c>
    </row>
    <row r="77" spans="1:1" x14ac:dyDescent="0.35">
      <c r="A77" t="b">
        <f>Pairs!A77&lt;Pairs!B77</f>
        <v>1</v>
      </c>
    </row>
    <row r="78" spans="1:1" x14ac:dyDescent="0.35">
      <c r="A78" t="b">
        <f>Pairs!A78&lt;Pairs!B78</f>
        <v>0</v>
      </c>
    </row>
    <row r="79" spans="1:1" x14ac:dyDescent="0.35">
      <c r="A79" t="b">
        <f>Pairs!A79&lt;Pairs!B79</f>
        <v>1</v>
      </c>
    </row>
    <row r="80" spans="1:1" x14ac:dyDescent="0.35">
      <c r="A80" t="b">
        <f>Pairs!A80&lt;Pairs!B80</f>
        <v>0</v>
      </c>
    </row>
    <row r="81" spans="1:1" x14ac:dyDescent="0.35">
      <c r="A81" t="b">
        <f>Pairs!A81&lt;Pairs!B81</f>
        <v>1</v>
      </c>
    </row>
    <row r="82" spans="1:1" x14ac:dyDescent="0.35">
      <c r="A82" t="b">
        <f>Pairs!A82&lt;Pairs!B82</f>
        <v>0</v>
      </c>
    </row>
    <row r="83" spans="1:1" x14ac:dyDescent="0.35">
      <c r="A83" t="b">
        <f>Pairs!A83&lt;Pairs!B83</f>
        <v>1</v>
      </c>
    </row>
    <row r="84" spans="1:1" x14ac:dyDescent="0.35">
      <c r="A84" t="b">
        <f>Pairs!A84&lt;Pairs!B84</f>
        <v>0</v>
      </c>
    </row>
    <row r="85" spans="1:1" x14ac:dyDescent="0.35">
      <c r="A85" t="b">
        <f>Pairs!A85&lt;Pairs!B85</f>
        <v>1</v>
      </c>
    </row>
    <row r="86" spans="1:1" x14ac:dyDescent="0.35">
      <c r="A86" t="b">
        <f>Pairs!A86&lt;Pairs!B86</f>
        <v>0</v>
      </c>
    </row>
    <row r="87" spans="1:1" x14ac:dyDescent="0.35">
      <c r="A87" t="b">
        <f>Pairs!A87&lt;Pairs!B87</f>
        <v>1</v>
      </c>
    </row>
    <row r="88" spans="1:1" x14ac:dyDescent="0.35">
      <c r="A88" t="b">
        <f>Pairs!A88&lt;Pairs!B88</f>
        <v>0</v>
      </c>
    </row>
    <row r="89" spans="1:1" x14ac:dyDescent="0.35">
      <c r="A89" t="b">
        <f>Pairs!A89&lt;Pairs!B89</f>
        <v>1</v>
      </c>
    </row>
    <row r="90" spans="1:1" x14ac:dyDescent="0.35">
      <c r="A90" t="b">
        <f>Pairs!A90&lt;Pairs!B90</f>
        <v>0</v>
      </c>
    </row>
    <row r="91" spans="1:1" x14ac:dyDescent="0.35">
      <c r="A91" t="b">
        <f>Pairs!A91&lt;Pairs!B91</f>
        <v>1</v>
      </c>
    </row>
    <row r="92" spans="1:1" x14ac:dyDescent="0.35">
      <c r="A92" t="b">
        <f>Pairs!A92&lt;Pairs!B92</f>
        <v>0</v>
      </c>
    </row>
    <row r="93" spans="1:1" x14ac:dyDescent="0.35">
      <c r="A93" t="b">
        <f>Pairs!A93&lt;Pairs!B93</f>
        <v>0</v>
      </c>
    </row>
    <row r="94" spans="1:1" x14ac:dyDescent="0.35">
      <c r="A94" t="b">
        <f>Pairs!A94&lt;Pairs!B94</f>
        <v>0</v>
      </c>
    </row>
    <row r="95" spans="1:1" x14ac:dyDescent="0.35">
      <c r="A95" t="b">
        <f>Pairs!A95&lt;Pairs!B95</f>
        <v>0</v>
      </c>
    </row>
    <row r="96" spans="1:1" x14ac:dyDescent="0.35">
      <c r="A96" t="b">
        <f>Pairs!A96&lt;Pairs!B96</f>
        <v>0</v>
      </c>
    </row>
    <row r="97" spans="1:1" x14ac:dyDescent="0.35">
      <c r="A97" t="b">
        <f>Pairs!A97&lt;Pairs!B97</f>
        <v>0</v>
      </c>
    </row>
    <row r="98" spans="1:1" x14ac:dyDescent="0.35">
      <c r="A98" t="b">
        <f>Pairs!A98&lt;Pairs!B98</f>
        <v>0</v>
      </c>
    </row>
    <row r="99" spans="1:1" x14ac:dyDescent="0.35">
      <c r="A99" t="b">
        <f>Pairs!A99&lt;Pairs!B99</f>
        <v>0</v>
      </c>
    </row>
    <row r="100" spans="1:1" x14ac:dyDescent="0.35">
      <c r="A100" t="b">
        <f>Pairs!A100&lt;Pairs!B100</f>
        <v>0</v>
      </c>
    </row>
    <row r="101" spans="1:1" x14ac:dyDescent="0.35">
      <c r="A101" t="b">
        <f>Pairs!A101&lt;Pairs!B101</f>
        <v>0</v>
      </c>
    </row>
    <row r="102" spans="1:1" x14ac:dyDescent="0.35">
      <c r="A102" t="b">
        <f>Pairs!A102&lt;Pairs!B102</f>
        <v>0</v>
      </c>
    </row>
    <row r="103" spans="1:1" x14ac:dyDescent="0.35">
      <c r="A103" t="b">
        <f>Pairs!A103&lt;Pairs!B103</f>
        <v>0</v>
      </c>
    </row>
    <row r="104" spans="1:1" x14ac:dyDescent="0.35">
      <c r="A104" t="b">
        <f>Pairs!A104&lt;Pairs!B104</f>
        <v>0</v>
      </c>
    </row>
    <row r="105" spans="1:1" x14ac:dyDescent="0.35">
      <c r="A105" t="b">
        <f>Pairs!A105&lt;Pairs!B105</f>
        <v>0</v>
      </c>
    </row>
    <row r="106" spans="1:1" x14ac:dyDescent="0.35">
      <c r="A106" t="b">
        <f>Pairs!A106&lt;Pairs!B106</f>
        <v>0</v>
      </c>
    </row>
    <row r="107" spans="1:1" x14ac:dyDescent="0.35">
      <c r="A107" t="b">
        <f>Pairs!A107&lt;Pairs!B107</f>
        <v>0</v>
      </c>
    </row>
    <row r="108" spans="1:1" x14ac:dyDescent="0.35">
      <c r="A108" t="b">
        <f>Pairs!A108&lt;Pairs!B108</f>
        <v>0</v>
      </c>
    </row>
    <row r="109" spans="1:1" x14ac:dyDescent="0.35">
      <c r="A109" t="b">
        <f>Pairs!A109&lt;Pairs!B109</f>
        <v>0</v>
      </c>
    </row>
    <row r="110" spans="1:1" x14ac:dyDescent="0.35">
      <c r="A110" t="b">
        <f>Pairs!A110&lt;Pairs!B110</f>
        <v>0</v>
      </c>
    </row>
    <row r="111" spans="1:1" x14ac:dyDescent="0.35">
      <c r="A111" t="b">
        <f>Pairs!A111&lt;Pairs!B111</f>
        <v>0</v>
      </c>
    </row>
    <row r="112" spans="1:1" x14ac:dyDescent="0.35">
      <c r="A112" t="b">
        <f>Pairs!A112&lt;Pairs!B112</f>
        <v>0</v>
      </c>
    </row>
    <row r="113" spans="1:1" x14ac:dyDescent="0.35">
      <c r="A113" t="b">
        <f>Pairs!A113&lt;Pairs!B113</f>
        <v>0</v>
      </c>
    </row>
    <row r="114" spans="1:1" x14ac:dyDescent="0.35">
      <c r="A114" t="b">
        <f>Pairs!A114&lt;Pairs!B114</f>
        <v>0</v>
      </c>
    </row>
    <row r="115" spans="1:1" x14ac:dyDescent="0.35">
      <c r="A115" t="b">
        <f>Pairs!A115&lt;Pairs!B115</f>
        <v>0</v>
      </c>
    </row>
    <row r="116" spans="1:1" x14ac:dyDescent="0.35">
      <c r="A116" t="b">
        <f>Pairs!A116&lt;Pairs!B116</f>
        <v>0</v>
      </c>
    </row>
    <row r="117" spans="1:1" x14ac:dyDescent="0.35">
      <c r="A117" t="b">
        <f>Pairs!A117&lt;Pairs!B117</f>
        <v>0</v>
      </c>
    </row>
    <row r="118" spans="1:1" x14ac:dyDescent="0.35">
      <c r="A118" t="b">
        <f>Pairs!A118&lt;Pairs!B118</f>
        <v>0</v>
      </c>
    </row>
    <row r="119" spans="1:1" x14ac:dyDescent="0.35">
      <c r="A119" t="b">
        <f>Pairs!A119&lt;Pairs!B119</f>
        <v>0</v>
      </c>
    </row>
    <row r="120" spans="1:1" x14ac:dyDescent="0.35">
      <c r="A120" t="b">
        <f>Pairs!A120&lt;Pairs!B120</f>
        <v>0</v>
      </c>
    </row>
    <row r="121" spans="1:1" x14ac:dyDescent="0.35">
      <c r="A121" t="b">
        <f>Pairs!A121&lt;Pairs!B121</f>
        <v>1</v>
      </c>
    </row>
    <row r="122" spans="1:1" x14ac:dyDescent="0.35">
      <c r="A122" t="b">
        <f>Pairs!A122&lt;Pairs!B122</f>
        <v>0</v>
      </c>
    </row>
    <row r="123" spans="1:1" x14ac:dyDescent="0.35">
      <c r="A123" t="b">
        <f>Pairs!A123&lt;Pairs!B123</f>
        <v>1</v>
      </c>
    </row>
    <row r="124" spans="1:1" x14ac:dyDescent="0.35">
      <c r="A124" t="b">
        <f>Pairs!A124&lt;Pairs!B124</f>
        <v>0</v>
      </c>
    </row>
    <row r="125" spans="1:1" x14ac:dyDescent="0.35">
      <c r="A125" t="b">
        <f>Pairs!A125&lt;Pairs!B125</f>
        <v>1</v>
      </c>
    </row>
    <row r="126" spans="1:1" x14ac:dyDescent="0.35">
      <c r="A126" t="b">
        <f>Pairs!A126&lt;Pairs!B126</f>
        <v>0</v>
      </c>
    </row>
    <row r="127" spans="1:1" x14ac:dyDescent="0.35">
      <c r="A127" t="b">
        <f>Pairs!A127&lt;Pairs!B127</f>
        <v>1</v>
      </c>
    </row>
    <row r="128" spans="1:1" x14ac:dyDescent="0.35">
      <c r="A128" t="b">
        <f>Pairs!A128&lt;Pairs!B128</f>
        <v>0</v>
      </c>
    </row>
    <row r="129" spans="1:1" x14ac:dyDescent="0.35">
      <c r="A129" t="b">
        <f>Pairs!A129&lt;Pairs!B129</f>
        <v>1</v>
      </c>
    </row>
    <row r="130" spans="1:1" x14ac:dyDescent="0.35">
      <c r="A130" t="b">
        <f>Pairs!A130&lt;Pairs!B130</f>
        <v>0</v>
      </c>
    </row>
    <row r="131" spans="1:1" x14ac:dyDescent="0.35">
      <c r="A131" t="b">
        <f>Pairs!A131&lt;Pairs!B131</f>
        <v>1</v>
      </c>
    </row>
    <row r="132" spans="1:1" x14ac:dyDescent="0.35">
      <c r="A132" t="b">
        <f>Pairs!A132&lt;Pairs!B132</f>
        <v>0</v>
      </c>
    </row>
    <row r="133" spans="1:1" x14ac:dyDescent="0.35">
      <c r="A133" t="b">
        <f>Pairs!A133&lt;Pairs!B133</f>
        <v>1</v>
      </c>
    </row>
    <row r="134" spans="1:1" x14ac:dyDescent="0.35">
      <c r="A134" t="b">
        <f>Pairs!A134&lt;Pairs!B134</f>
        <v>0</v>
      </c>
    </row>
    <row r="135" spans="1:1" x14ac:dyDescent="0.35">
      <c r="A135" t="b">
        <f>Pairs!A135&lt;Pairs!B135</f>
        <v>1</v>
      </c>
    </row>
    <row r="136" spans="1:1" x14ac:dyDescent="0.35">
      <c r="A136" t="b">
        <f>Pairs!A136&lt;Pairs!B136</f>
        <v>0</v>
      </c>
    </row>
    <row r="137" spans="1:1" x14ac:dyDescent="0.35">
      <c r="A137" t="b">
        <f>Pairs!A137&lt;Pairs!B137</f>
        <v>1</v>
      </c>
    </row>
    <row r="138" spans="1:1" x14ac:dyDescent="0.35">
      <c r="A138" t="b">
        <f>Pairs!A138&lt;Pairs!B138</f>
        <v>0</v>
      </c>
    </row>
    <row r="139" spans="1:1" x14ac:dyDescent="0.35">
      <c r="A139" t="b">
        <f>Pairs!A139&lt;Pairs!B139</f>
        <v>0</v>
      </c>
    </row>
    <row r="140" spans="1:1" x14ac:dyDescent="0.35">
      <c r="A140" t="b">
        <f>Pairs!A140&lt;Pairs!B140</f>
        <v>0</v>
      </c>
    </row>
    <row r="141" spans="1:1" x14ac:dyDescent="0.35">
      <c r="A141" t="b">
        <f>Pairs!A141&lt;Pairs!B141</f>
        <v>0</v>
      </c>
    </row>
    <row r="142" spans="1:1" x14ac:dyDescent="0.35">
      <c r="A142" t="b">
        <f>Pairs!A142&lt;Pairs!B142</f>
        <v>0</v>
      </c>
    </row>
    <row r="143" spans="1:1" x14ac:dyDescent="0.35">
      <c r="A143" t="b">
        <f>Pairs!A143&lt;Pairs!B143</f>
        <v>0</v>
      </c>
    </row>
    <row r="144" spans="1:1" x14ac:dyDescent="0.35">
      <c r="A144" t="b">
        <f>Pairs!A144&lt;Pairs!B144</f>
        <v>0</v>
      </c>
    </row>
    <row r="145" spans="1:1" x14ac:dyDescent="0.35">
      <c r="A145" t="b">
        <f>Pairs!A145&lt;Pairs!B145</f>
        <v>0</v>
      </c>
    </row>
    <row r="146" spans="1:1" x14ac:dyDescent="0.35">
      <c r="A146" t="b">
        <f>Pairs!A146&lt;Pairs!B146</f>
        <v>0</v>
      </c>
    </row>
    <row r="147" spans="1:1" x14ac:dyDescent="0.35">
      <c r="A147" t="b">
        <f>Pairs!A147&lt;Pairs!B147</f>
        <v>0</v>
      </c>
    </row>
    <row r="148" spans="1:1" x14ac:dyDescent="0.35">
      <c r="A148" t="b">
        <f>Pairs!A148&lt;Pairs!B148</f>
        <v>0</v>
      </c>
    </row>
    <row r="149" spans="1:1" x14ac:dyDescent="0.35">
      <c r="A149" t="b">
        <f>Pairs!A149&lt;Pairs!B149</f>
        <v>0</v>
      </c>
    </row>
    <row r="150" spans="1:1" x14ac:dyDescent="0.35">
      <c r="A150" t="b">
        <f>Pairs!A150&lt;Pairs!B150</f>
        <v>0</v>
      </c>
    </row>
    <row r="151" spans="1:1" x14ac:dyDescent="0.35">
      <c r="A151" t="b">
        <f>Pairs!A151&lt;Pairs!B151</f>
        <v>0</v>
      </c>
    </row>
    <row r="152" spans="1:1" x14ac:dyDescent="0.35">
      <c r="A152" t="b">
        <f>Pairs!A152&lt;Pairs!B152</f>
        <v>0</v>
      </c>
    </row>
    <row r="153" spans="1:1" x14ac:dyDescent="0.35">
      <c r="A153" t="b">
        <f>Pairs!A153&lt;Pairs!B153</f>
        <v>0</v>
      </c>
    </row>
    <row r="154" spans="1:1" x14ac:dyDescent="0.35">
      <c r="A154" t="b">
        <f>Pairs!A154&lt;Pairs!B154</f>
        <v>0</v>
      </c>
    </row>
    <row r="155" spans="1:1" x14ac:dyDescent="0.35">
      <c r="A155" t="b">
        <f>Pairs!A155&lt;Pairs!B155</f>
        <v>0</v>
      </c>
    </row>
    <row r="156" spans="1:1" x14ac:dyDescent="0.35">
      <c r="A156" t="b">
        <f>Pairs!A156&lt;Pairs!B156</f>
        <v>0</v>
      </c>
    </row>
    <row r="157" spans="1:1" x14ac:dyDescent="0.35">
      <c r="A157" t="b">
        <f>Pairs!A157&lt;Pairs!B157</f>
        <v>0</v>
      </c>
    </row>
    <row r="158" spans="1:1" x14ac:dyDescent="0.35">
      <c r="A158" t="b">
        <f>Pairs!A158&lt;Pairs!B158</f>
        <v>0</v>
      </c>
    </row>
    <row r="159" spans="1:1" x14ac:dyDescent="0.35">
      <c r="A159" t="b">
        <f>Pairs!A159&lt;Pairs!B159</f>
        <v>0</v>
      </c>
    </row>
    <row r="160" spans="1:1" x14ac:dyDescent="0.35">
      <c r="A160" t="b">
        <f>Pairs!A160&lt;Pairs!B160</f>
        <v>0</v>
      </c>
    </row>
    <row r="161" spans="1:1" x14ac:dyDescent="0.35">
      <c r="A161" t="b">
        <f>Pairs!A161&lt;Pairs!B161</f>
        <v>0</v>
      </c>
    </row>
    <row r="162" spans="1:1" x14ac:dyDescent="0.35">
      <c r="A162" t="b">
        <f>Pairs!A162&lt;Pairs!B162</f>
        <v>0</v>
      </c>
    </row>
    <row r="163" spans="1:1" x14ac:dyDescent="0.35">
      <c r="A163" t="b">
        <f>Pairs!A163&lt;Pairs!B163</f>
        <v>0</v>
      </c>
    </row>
    <row r="164" spans="1:1" x14ac:dyDescent="0.35">
      <c r="A164" t="b">
        <f>Pairs!A164&lt;Pairs!B164</f>
        <v>0</v>
      </c>
    </row>
    <row r="165" spans="1:1" x14ac:dyDescent="0.35">
      <c r="A165" t="b">
        <f>Pairs!A165&lt;Pairs!B165</f>
        <v>0</v>
      </c>
    </row>
    <row r="166" spans="1:1" x14ac:dyDescent="0.35">
      <c r="A166" t="b">
        <f>Pairs!A166&lt;Pairs!B166</f>
        <v>0</v>
      </c>
    </row>
    <row r="167" spans="1:1" x14ac:dyDescent="0.35">
      <c r="A167" t="b">
        <f>Pairs!A167&lt;Pairs!B167</f>
        <v>1</v>
      </c>
    </row>
    <row r="168" spans="1:1" x14ac:dyDescent="0.35">
      <c r="A168" t="b">
        <f>Pairs!A168&lt;Pairs!B168</f>
        <v>0</v>
      </c>
    </row>
    <row r="169" spans="1:1" x14ac:dyDescent="0.35">
      <c r="A169" t="b">
        <f>Pairs!A169&lt;Pairs!B169</f>
        <v>1</v>
      </c>
    </row>
    <row r="170" spans="1:1" x14ac:dyDescent="0.35">
      <c r="A170" t="b">
        <f>Pairs!A170&lt;Pairs!B170</f>
        <v>0</v>
      </c>
    </row>
    <row r="171" spans="1:1" x14ac:dyDescent="0.35">
      <c r="A171" t="b">
        <f>Pairs!A171&lt;Pairs!B171</f>
        <v>1</v>
      </c>
    </row>
    <row r="172" spans="1:1" x14ac:dyDescent="0.35">
      <c r="A172" t="b">
        <f>Pairs!A172&lt;Pairs!B172</f>
        <v>0</v>
      </c>
    </row>
    <row r="173" spans="1:1" x14ac:dyDescent="0.35">
      <c r="A173" t="b">
        <f>Pairs!A173&lt;Pairs!B173</f>
        <v>1</v>
      </c>
    </row>
    <row r="174" spans="1:1" x14ac:dyDescent="0.35">
      <c r="A174" t="b">
        <f>Pairs!A174&lt;Pairs!B174</f>
        <v>0</v>
      </c>
    </row>
    <row r="175" spans="1:1" x14ac:dyDescent="0.35">
      <c r="A175" t="b">
        <f>Pairs!A175&lt;Pairs!B175</f>
        <v>1</v>
      </c>
    </row>
    <row r="176" spans="1:1" x14ac:dyDescent="0.35">
      <c r="A176" t="b">
        <f>Pairs!A176&lt;Pairs!B176</f>
        <v>0</v>
      </c>
    </row>
    <row r="177" spans="1:1" x14ac:dyDescent="0.35">
      <c r="A177" t="b">
        <f>Pairs!A177&lt;Pairs!B177</f>
        <v>1</v>
      </c>
    </row>
    <row r="178" spans="1:1" x14ac:dyDescent="0.35">
      <c r="A178" t="b">
        <f>Pairs!A178&lt;Pairs!B178</f>
        <v>0</v>
      </c>
    </row>
    <row r="179" spans="1:1" x14ac:dyDescent="0.35">
      <c r="A179" t="b">
        <f>Pairs!A179&lt;Pairs!B179</f>
        <v>1</v>
      </c>
    </row>
    <row r="180" spans="1:1" x14ac:dyDescent="0.35">
      <c r="A180" t="b">
        <f>Pairs!A180&lt;Pairs!B180</f>
        <v>0</v>
      </c>
    </row>
    <row r="181" spans="1:1" x14ac:dyDescent="0.35">
      <c r="A181" t="b">
        <f>Pairs!A181&lt;Pairs!B181</f>
        <v>1</v>
      </c>
    </row>
    <row r="182" spans="1:1" x14ac:dyDescent="0.35">
      <c r="A182" t="b">
        <f>Pairs!A182&lt;Pairs!B182</f>
        <v>0</v>
      </c>
    </row>
    <row r="183" spans="1:1" x14ac:dyDescent="0.35">
      <c r="A183" t="b">
        <f>Pairs!A183&lt;Pairs!B183</f>
        <v>1</v>
      </c>
    </row>
    <row r="184" spans="1:1" x14ac:dyDescent="0.35">
      <c r="A184" t="b">
        <f>Pairs!A184&lt;Pairs!B184</f>
        <v>0</v>
      </c>
    </row>
    <row r="185" spans="1:1" x14ac:dyDescent="0.35">
      <c r="A185" t="b">
        <f>Pairs!A185&lt;Pairs!B185</f>
        <v>0</v>
      </c>
    </row>
    <row r="186" spans="1:1" x14ac:dyDescent="0.35">
      <c r="A186" t="b">
        <f>Pairs!A186&lt;Pairs!B186</f>
        <v>0</v>
      </c>
    </row>
    <row r="187" spans="1:1" x14ac:dyDescent="0.35">
      <c r="A187" t="b">
        <f>Pairs!A187&lt;Pairs!B187</f>
        <v>0</v>
      </c>
    </row>
    <row r="188" spans="1:1" x14ac:dyDescent="0.35">
      <c r="A188" t="b">
        <f>Pairs!A188&lt;Pairs!B188</f>
        <v>0</v>
      </c>
    </row>
    <row r="189" spans="1:1" x14ac:dyDescent="0.35">
      <c r="A189" t="b">
        <f>Pairs!A189&lt;Pairs!B189</f>
        <v>0</v>
      </c>
    </row>
    <row r="190" spans="1:1" x14ac:dyDescent="0.35">
      <c r="A190" t="b">
        <f>Pairs!A190&lt;Pairs!B190</f>
        <v>0</v>
      </c>
    </row>
    <row r="191" spans="1:1" x14ac:dyDescent="0.35">
      <c r="A191" t="b">
        <f>Pairs!A191&lt;Pairs!B191</f>
        <v>0</v>
      </c>
    </row>
    <row r="192" spans="1:1" x14ac:dyDescent="0.35">
      <c r="A192" t="b">
        <f>Pairs!A192&lt;Pairs!B192</f>
        <v>0</v>
      </c>
    </row>
    <row r="193" spans="1:1" x14ac:dyDescent="0.35">
      <c r="A193" t="b">
        <f>Pairs!A193&lt;Pairs!B193</f>
        <v>0</v>
      </c>
    </row>
    <row r="194" spans="1:1" x14ac:dyDescent="0.35">
      <c r="A194" t="b">
        <f>Pairs!A194&lt;Pairs!B194</f>
        <v>0</v>
      </c>
    </row>
    <row r="195" spans="1:1" x14ac:dyDescent="0.35">
      <c r="A195" t="b">
        <f>Pairs!A195&lt;Pairs!B195</f>
        <v>0</v>
      </c>
    </row>
    <row r="196" spans="1:1" x14ac:dyDescent="0.35">
      <c r="A196" t="b">
        <f>Pairs!A196&lt;Pairs!B196</f>
        <v>0</v>
      </c>
    </row>
    <row r="197" spans="1:1" x14ac:dyDescent="0.35">
      <c r="A197" t="b">
        <f>Pairs!A197&lt;Pairs!B197</f>
        <v>0</v>
      </c>
    </row>
    <row r="198" spans="1:1" x14ac:dyDescent="0.35">
      <c r="A198" t="b">
        <f>Pairs!A198&lt;Pairs!B198</f>
        <v>0</v>
      </c>
    </row>
    <row r="199" spans="1:1" x14ac:dyDescent="0.35">
      <c r="A199" t="b">
        <f>Pairs!A199&lt;Pairs!B199</f>
        <v>0</v>
      </c>
    </row>
    <row r="200" spans="1:1" x14ac:dyDescent="0.35">
      <c r="A200" t="b">
        <f>Pairs!A200&lt;Pairs!B200</f>
        <v>0</v>
      </c>
    </row>
    <row r="201" spans="1:1" x14ac:dyDescent="0.35">
      <c r="A201" t="b">
        <f>Pairs!A201&lt;Pairs!B201</f>
        <v>0</v>
      </c>
    </row>
    <row r="202" spans="1:1" x14ac:dyDescent="0.35">
      <c r="A202" t="b">
        <f>Pairs!A202&lt;Pairs!B202</f>
        <v>0</v>
      </c>
    </row>
    <row r="203" spans="1:1" x14ac:dyDescent="0.35">
      <c r="A203" t="b">
        <f>Pairs!A203&lt;Pairs!B203</f>
        <v>0</v>
      </c>
    </row>
    <row r="204" spans="1:1" x14ac:dyDescent="0.35">
      <c r="A204" t="b">
        <f>Pairs!A204&lt;Pairs!B204</f>
        <v>0</v>
      </c>
    </row>
    <row r="205" spans="1:1" x14ac:dyDescent="0.35">
      <c r="A205" t="b">
        <f>Pairs!A205&lt;Pairs!B205</f>
        <v>0</v>
      </c>
    </row>
    <row r="206" spans="1:1" x14ac:dyDescent="0.35">
      <c r="A206" t="b">
        <f>Pairs!A206&lt;Pairs!B206</f>
        <v>0</v>
      </c>
    </row>
    <row r="207" spans="1:1" x14ac:dyDescent="0.35">
      <c r="A207" t="b">
        <f>Pairs!A207&lt;Pairs!B207</f>
        <v>0</v>
      </c>
    </row>
    <row r="208" spans="1:1" x14ac:dyDescent="0.35">
      <c r="A208" t="b">
        <f>Pairs!A208&lt;Pairs!B208</f>
        <v>0</v>
      </c>
    </row>
    <row r="209" spans="1:1" x14ac:dyDescent="0.35">
      <c r="A209" t="b">
        <f>Pairs!A209&lt;Pairs!B209</f>
        <v>0</v>
      </c>
    </row>
    <row r="210" spans="1:1" x14ac:dyDescent="0.35">
      <c r="A210" t="b">
        <f>Pairs!A210&lt;Pairs!B210</f>
        <v>0</v>
      </c>
    </row>
    <row r="211" spans="1:1" x14ac:dyDescent="0.35">
      <c r="A211" t="b">
        <f>Pairs!A211&lt;Pairs!B211</f>
        <v>1</v>
      </c>
    </row>
    <row r="212" spans="1:1" x14ac:dyDescent="0.35">
      <c r="A212" t="b">
        <f>Pairs!A212&lt;Pairs!B212</f>
        <v>0</v>
      </c>
    </row>
    <row r="213" spans="1:1" x14ac:dyDescent="0.35">
      <c r="A213" t="b">
        <f>Pairs!A213&lt;Pairs!B213</f>
        <v>1</v>
      </c>
    </row>
    <row r="214" spans="1:1" x14ac:dyDescent="0.35">
      <c r="A214" t="b">
        <f>Pairs!A214&lt;Pairs!B214</f>
        <v>0</v>
      </c>
    </row>
    <row r="215" spans="1:1" x14ac:dyDescent="0.35">
      <c r="A215" t="b">
        <f>Pairs!A215&lt;Pairs!B215</f>
        <v>1</v>
      </c>
    </row>
    <row r="216" spans="1:1" x14ac:dyDescent="0.35">
      <c r="A216" t="b">
        <f>Pairs!A216&lt;Pairs!B216</f>
        <v>0</v>
      </c>
    </row>
    <row r="217" spans="1:1" x14ac:dyDescent="0.35">
      <c r="A217" t="b">
        <f>Pairs!A217&lt;Pairs!B217</f>
        <v>1</v>
      </c>
    </row>
    <row r="218" spans="1:1" x14ac:dyDescent="0.35">
      <c r="A218" t="b">
        <f>Pairs!A218&lt;Pairs!B218</f>
        <v>0</v>
      </c>
    </row>
    <row r="219" spans="1:1" x14ac:dyDescent="0.35">
      <c r="A219" t="b">
        <f>Pairs!A219&lt;Pairs!B219</f>
        <v>1</v>
      </c>
    </row>
    <row r="220" spans="1:1" x14ac:dyDescent="0.35">
      <c r="A220" t="b">
        <f>Pairs!A220&lt;Pairs!B220</f>
        <v>0</v>
      </c>
    </row>
    <row r="221" spans="1:1" x14ac:dyDescent="0.35">
      <c r="A221" t="b">
        <f>Pairs!A221&lt;Pairs!B221</f>
        <v>1</v>
      </c>
    </row>
    <row r="222" spans="1:1" x14ac:dyDescent="0.35">
      <c r="A222" t="b">
        <f>Pairs!A222&lt;Pairs!B222</f>
        <v>0</v>
      </c>
    </row>
    <row r="223" spans="1:1" x14ac:dyDescent="0.35">
      <c r="A223" t="b">
        <f>Pairs!A223&lt;Pairs!B223</f>
        <v>1</v>
      </c>
    </row>
    <row r="224" spans="1:1" x14ac:dyDescent="0.35">
      <c r="A224" t="b">
        <f>Pairs!A224&lt;Pairs!B224</f>
        <v>0</v>
      </c>
    </row>
    <row r="225" spans="1:1" x14ac:dyDescent="0.35">
      <c r="A225" t="b">
        <f>Pairs!A225&lt;Pairs!B225</f>
        <v>1</v>
      </c>
    </row>
    <row r="226" spans="1:1" x14ac:dyDescent="0.35">
      <c r="A226" t="b">
        <f>Pairs!A226&lt;Pairs!B226</f>
        <v>0</v>
      </c>
    </row>
    <row r="227" spans="1:1" x14ac:dyDescent="0.35">
      <c r="A227" t="b">
        <f>Pairs!A227&lt;Pairs!B227</f>
        <v>1</v>
      </c>
    </row>
    <row r="228" spans="1:1" x14ac:dyDescent="0.35">
      <c r="A228" t="b">
        <f>Pairs!A228&lt;Pairs!B228</f>
        <v>0</v>
      </c>
    </row>
    <row r="229" spans="1:1" x14ac:dyDescent="0.35">
      <c r="A229" t="b">
        <f>Pairs!A229&lt;Pairs!B229</f>
        <v>1</v>
      </c>
    </row>
    <row r="230" spans="1:1" x14ac:dyDescent="0.35">
      <c r="A230" t="b">
        <f>Pairs!A230&lt;Pairs!B230</f>
        <v>0</v>
      </c>
    </row>
    <row r="231" spans="1:1" x14ac:dyDescent="0.35">
      <c r="A231" t="b">
        <f>Pairs!A231&lt;Pairs!B231</f>
        <v>0</v>
      </c>
    </row>
    <row r="232" spans="1:1" x14ac:dyDescent="0.35">
      <c r="A232" t="b">
        <f>Pairs!A232&lt;Pairs!B232</f>
        <v>0</v>
      </c>
    </row>
    <row r="233" spans="1:1" x14ac:dyDescent="0.35">
      <c r="A233" t="b">
        <f>Pairs!A233&lt;Pairs!B233</f>
        <v>0</v>
      </c>
    </row>
    <row r="234" spans="1:1" x14ac:dyDescent="0.35">
      <c r="A234" t="b">
        <f>Pairs!A234&lt;Pairs!B234</f>
        <v>0</v>
      </c>
    </row>
    <row r="235" spans="1:1" x14ac:dyDescent="0.35">
      <c r="A235" t="b">
        <f>Pairs!A235&lt;Pairs!B235</f>
        <v>0</v>
      </c>
    </row>
    <row r="236" spans="1:1" x14ac:dyDescent="0.35">
      <c r="A236" t="b">
        <f>Pairs!A236&lt;Pairs!B236</f>
        <v>0</v>
      </c>
    </row>
    <row r="237" spans="1:1" x14ac:dyDescent="0.35">
      <c r="A237" t="b">
        <f>Pairs!A237&lt;Pairs!B237</f>
        <v>0</v>
      </c>
    </row>
    <row r="238" spans="1:1" x14ac:dyDescent="0.35">
      <c r="A238" t="b">
        <f>Pairs!A238&lt;Pairs!B238</f>
        <v>0</v>
      </c>
    </row>
    <row r="239" spans="1:1" x14ac:dyDescent="0.35">
      <c r="A239" t="b">
        <f>Pairs!A239&lt;Pairs!B239</f>
        <v>0</v>
      </c>
    </row>
    <row r="240" spans="1:1" x14ac:dyDescent="0.35">
      <c r="A240" t="b">
        <f>Pairs!A240&lt;Pairs!B240</f>
        <v>0</v>
      </c>
    </row>
    <row r="241" spans="1:1" x14ac:dyDescent="0.35">
      <c r="A241" t="b">
        <f>Pairs!A241&lt;Pairs!B241</f>
        <v>0</v>
      </c>
    </row>
    <row r="242" spans="1:1" x14ac:dyDescent="0.35">
      <c r="A242" t="b">
        <f>Pairs!A242&lt;Pairs!B242</f>
        <v>0</v>
      </c>
    </row>
    <row r="243" spans="1:1" x14ac:dyDescent="0.35">
      <c r="A243" t="b">
        <f>Pairs!A243&lt;Pairs!B243</f>
        <v>0</v>
      </c>
    </row>
    <row r="244" spans="1:1" x14ac:dyDescent="0.35">
      <c r="A244" t="b">
        <f>Pairs!A244&lt;Pairs!B244</f>
        <v>0</v>
      </c>
    </row>
    <row r="245" spans="1:1" x14ac:dyDescent="0.35">
      <c r="A245" t="b">
        <f>Pairs!A245&lt;Pairs!B245</f>
        <v>0</v>
      </c>
    </row>
    <row r="246" spans="1:1" x14ac:dyDescent="0.35">
      <c r="A246" t="b">
        <f>Pairs!A246&lt;Pairs!B246</f>
        <v>0</v>
      </c>
    </row>
    <row r="247" spans="1:1" x14ac:dyDescent="0.35">
      <c r="A247" t="b">
        <f>Pairs!A247&lt;Pairs!B247</f>
        <v>0</v>
      </c>
    </row>
    <row r="248" spans="1:1" x14ac:dyDescent="0.35">
      <c r="A248" t="b">
        <f>Pairs!A248&lt;Pairs!B248</f>
        <v>0</v>
      </c>
    </row>
    <row r="249" spans="1:1" x14ac:dyDescent="0.35">
      <c r="A249" t="b">
        <f>Pairs!A249&lt;Pairs!B249</f>
        <v>0</v>
      </c>
    </row>
    <row r="250" spans="1:1" x14ac:dyDescent="0.35">
      <c r="A250" t="b">
        <f>Pairs!A250&lt;Pairs!B250</f>
        <v>0</v>
      </c>
    </row>
    <row r="251" spans="1:1" x14ac:dyDescent="0.35">
      <c r="A251" t="b">
        <f>Pairs!A251&lt;Pairs!B251</f>
        <v>0</v>
      </c>
    </row>
    <row r="252" spans="1:1" x14ac:dyDescent="0.35">
      <c r="A252" t="b">
        <f>Pairs!A252&lt;Pairs!B252</f>
        <v>0</v>
      </c>
    </row>
    <row r="253" spans="1:1" x14ac:dyDescent="0.35">
      <c r="A253" t="b">
        <f>Pairs!A253&lt;Pairs!B253</f>
        <v>0</v>
      </c>
    </row>
    <row r="254" spans="1:1" x14ac:dyDescent="0.35">
      <c r="A254" t="b">
        <f>Pairs!A254&lt;Pairs!B254</f>
        <v>0</v>
      </c>
    </row>
    <row r="255" spans="1:1" x14ac:dyDescent="0.35">
      <c r="A255" t="b">
        <f>Pairs!A255&lt;Pairs!B255</f>
        <v>0</v>
      </c>
    </row>
    <row r="256" spans="1:1" x14ac:dyDescent="0.35">
      <c r="A256" t="b">
        <f>Pairs!A256&lt;Pairs!B256</f>
        <v>0</v>
      </c>
    </row>
    <row r="257" spans="1:1" x14ac:dyDescent="0.35">
      <c r="A257" t="b">
        <f>Pairs!A257&lt;Pairs!B257</f>
        <v>0</v>
      </c>
    </row>
    <row r="258" spans="1:1" x14ac:dyDescent="0.35">
      <c r="A258" t="b">
        <f>Pairs!A258&lt;Pairs!B258</f>
        <v>0</v>
      </c>
    </row>
    <row r="259" spans="1:1" x14ac:dyDescent="0.35">
      <c r="A259" t="b">
        <f>Pairs!A259&lt;Pairs!B259</f>
        <v>1</v>
      </c>
    </row>
    <row r="260" spans="1:1" x14ac:dyDescent="0.35">
      <c r="A260" t="b">
        <f>Pairs!A260&lt;Pairs!B260</f>
        <v>0</v>
      </c>
    </row>
    <row r="261" spans="1:1" x14ac:dyDescent="0.35">
      <c r="A261" t="b">
        <f>Pairs!A261&lt;Pairs!B261</f>
        <v>1</v>
      </c>
    </row>
    <row r="262" spans="1:1" x14ac:dyDescent="0.35">
      <c r="A262" t="b">
        <f>Pairs!A262&lt;Pairs!B262</f>
        <v>0</v>
      </c>
    </row>
    <row r="263" spans="1:1" x14ac:dyDescent="0.35">
      <c r="A263" t="b">
        <f>Pairs!A263&lt;Pairs!B263</f>
        <v>1</v>
      </c>
    </row>
    <row r="264" spans="1:1" x14ac:dyDescent="0.35">
      <c r="A264" t="b">
        <f>Pairs!A264&lt;Pairs!B264</f>
        <v>0</v>
      </c>
    </row>
    <row r="265" spans="1:1" x14ac:dyDescent="0.35">
      <c r="A265" t="b">
        <f>Pairs!A265&lt;Pairs!B265</f>
        <v>1</v>
      </c>
    </row>
    <row r="266" spans="1:1" x14ac:dyDescent="0.35">
      <c r="A266" t="b">
        <f>Pairs!A266&lt;Pairs!B266</f>
        <v>0</v>
      </c>
    </row>
    <row r="267" spans="1:1" x14ac:dyDescent="0.35">
      <c r="A267" t="b">
        <f>Pairs!A267&lt;Pairs!B267</f>
        <v>1</v>
      </c>
    </row>
    <row r="268" spans="1:1" x14ac:dyDescent="0.35">
      <c r="A268" t="b">
        <f>Pairs!A268&lt;Pairs!B268</f>
        <v>0</v>
      </c>
    </row>
    <row r="269" spans="1:1" x14ac:dyDescent="0.35">
      <c r="A269" t="b">
        <f>Pairs!A269&lt;Pairs!B269</f>
        <v>1</v>
      </c>
    </row>
    <row r="270" spans="1:1" x14ac:dyDescent="0.35">
      <c r="A270" t="b">
        <f>Pairs!A270&lt;Pairs!B270</f>
        <v>0</v>
      </c>
    </row>
    <row r="271" spans="1:1" x14ac:dyDescent="0.35">
      <c r="A271" t="b">
        <f>Pairs!A271&lt;Pairs!B271</f>
        <v>1</v>
      </c>
    </row>
    <row r="272" spans="1:1" x14ac:dyDescent="0.35">
      <c r="A272" t="b">
        <f>Pairs!A272&lt;Pairs!B272</f>
        <v>0</v>
      </c>
    </row>
    <row r="273" spans="1:1" x14ac:dyDescent="0.35">
      <c r="A273" t="b">
        <f>Pairs!A273&lt;Pairs!B273</f>
        <v>1</v>
      </c>
    </row>
    <row r="274" spans="1:1" x14ac:dyDescent="0.35">
      <c r="A274" t="b">
        <f>Pairs!A274&lt;Pairs!B274</f>
        <v>0</v>
      </c>
    </row>
    <row r="275" spans="1:1" x14ac:dyDescent="0.35">
      <c r="A275" t="b">
        <f>Pairs!A275&lt;Pairs!B275</f>
        <v>1</v>
      </c>
    </row>
    <row r="276" spans="1:1" x14ac:dyDescent="0.35">
      <c r="A276" t="b">
        <f>Pairs!A276&lt;Pairs!B276</f>
        <v>0</v>
      </c>
    </row>
    <row r="277" spans="1:1" x14ac:dyDescent="0.35">
      <c r="A277" t="b">
        <f>Pairs!A277&lt;Pairs!B277</f>
        <v>0</v>
      </c>
    </row>
    <row r="278" spans="1:1" x14ac:dyDescent="0.35">
      <c r="A278" t="b">
        <f>Pairs!A278&lt;Pairs!B278</f>
        <v>0</v>
      </c>
    </row>
    <row r="279" spans="1:1" x14ac:dyDescent="0.35">
      <c r="A279" t="b">
        <f>Pairs!A279&lt;Pairs!B279</f>
        <v>0</v>
      </c>
    </row>
    <row r="280" spans="1:1" x14ac:dyDescent="0.35">
      <c r="A280" t="b">
        <f>Pairs!A280&lt;Pairs!B280</f>
        <v>0</v>
      </c>
    </row>
    <row r="281" spans="1:1" x14ac:dyDescent="0.35">
      <c r="A281" t="b">
        <f>Pairs!A281&lt;Pairs!B281</f>
        <v>0</v>
      </c>
    </row>
    <row r="282" spans="1:1" x14ac:dyDescent="0.35">
      <c r="A282" t="b">
        <f>Pairs!A282&lt;Pairs!B282</f>
        <v>0</v>
      </c>
    </row>
    <row r="283" spans="1:1" x14ac:dyDescent="0.35">
      <c r="A283" t="b">
        <f>Pairs!A283&lt;Pairs!B283</f>
        <v>0</v>
      </c>
    </row>
    <row r="284" spans="1:1" x14ac:dyDescent="0.35">
      <c r="A284" t="b">
        <f>Pairs!A284&lt;Pairs!B284</f>
        <v>0</v>
      </c>
    </row>
    <row r="285" spans="1:1" x14ac:dyDescent="0.35">
      <c r="A285" t="b">
        <f>Pairs!A285&lt;Pairs!B285</f>
        <v>0</v>
      </c>
    </row>
    <row r="286" spans="1:1" x14ac:dyDescent="0.35">
      <c r="A286" t="b">
        <f>Pairs!A286&lt;Pairs!B286</f>
        <v>0</v>
      </c>
    </row>
    <row r="287" spans="1:1" x14ac:dyDescent="0.35">
      <c r="A287" t="b">
        <f>Pairs!A287&lt;Pairs!B287</f>
        <v>0</v>
      </c>
    </row>
    <row r="288" spans="1:1" x14ac:dyDescent="0.35">
      <c r="A288" t="b">
        <f>Pairs!A288&lt;Pairs!B288</f>
        <v>0</v>
      </c>
    </row>
    <row r="289" spans="1:1" x14ac:dyDescent="0.35">
      <c r="A289" t="b">
        <f>Pairs!A289&lt;Pairs!B289</f>
        <v>0</v>
      </c>
    </row>
    <row r="290" spans="1:1" x14ac:dyDescent="0.35">
      <c r="A290" t="b">
        <f>Pairs!A290&lt;Pairs!B290</f>
        <v>0</v>
      </c>
    </row>
    <row r="291" spans="1:1" x14ac:dyDescent="0.35">
      <c r="A291" t="b">
        <f>Pairs!A291&lt;Pairs!B291</f>
        <v>0</v>
      </c>
    </row>
    <row r="292" spans="1:1" x14ac:dyDescent="0.35">
      <c r="A292" t="b">
        <f>Pairs!A292&lt;Pairs!B292</f>
        <v>0</v>
      </c>
    </row>
    <row r="293" spans="1:1" x14ac:dyDescent="0.35">
      <c r="A293" t="b">
        <f>Pairs!A293&lt;Pairs!B293</f>
        <v>0</v>
      </c>
    </row>
    <row r="294" spans="1:1" x14ac:dyDescent="0.35">
      <c r="A294" t="b">
        <f>Pairs!A294&lt;Pairs!B294</f>
        <v>0</v>
      </c>
    </row>
    <row r="295" spans="1:1" x14ac:dyDescent="0.35">
      <c r="A295" t="b">
        <f>Pairs!A295&lt;Pairs!B295</f>
        <v>0</v>
      </c>
    </row>
    <row r="296" spans="1:1" x14ac:dyDescent="0.35">
      <c r="A296" t="b">
        <f>Pairs!A296&lt;Pairs!B296</f>
        <v>0</v>
      </c>
    </row>
    <row r="297" spans="1:1" x14ac:dyDescent="0.35">
      <c r="A297" t="b">
        <f>Pairs!A297&lt;Pairs!B297</f>
        <v>0</v>
      </c>
    </row>
    <row r="298" spans="1:1" x14ac:dyDescent="0.35">
      <c r="A298" t="b">
        <f>Pairs!A298&lt;Pairs!B298</f>
        <v>0</v>
      </c>
    </row>
    <row r="299" spans="1:1" x14ac:dyDescent="0.35">
      <c r="A299" t="b">
        <f>Pairs!A299&lt;Pairs!B299</f>
        <v>0</v>
      </c>
    </row>
    <row r="300" spans="1:1" x14ac:dyDescent="0.35">
      <c r="A300" t="b">
        <f>Pairs!A300&lt;Pairs!B300</f>
        <v>0</v>
      </c>
    </row>
    <row r="301" spans="1:1" x14ac:dyDescent="0.35">
      <c r="A301" t="b">
        <f>Pairs!A301&lt;Pairs!B301</f>
        <v>0</v>
      </c>
    </row>
    <row r="302" spans="1:1" x14ac:dyDescent="0.35">
      <c r="A302" t="b">
        <f>Pairs!A302&lt;Pairs!B302</f>
        <v>0</v>
      </c>
    </row>
    <row r="303" spans="1:1" x14ac:dyDescent="0.35">
      <c r="A303" t="b">
        <f>Pairs!A303&lt;Pairs!B303</f>
        <v>0</v>
      </c>
    </row>
    <row r="304" spans="1:1" x14ac:dyDescent="0.35">
      <c r="A304" t="b">
        <f>Pairs!A304&lt;Pairs!B304</f>
        <v>0</v>
      </c>
    </row>
    <row r="305" spans="1:1" x14ac:dyDescent="0.35">
      <c r="A305" t="b">
        <f>Pairs!A305&lt;Pairs!B305</f>
        <v>1</v>
      </c>
    </row>
    <row r="306" spans="1:1" x14ac:dyDescent="0.35">
      <c r="A306" t="b">
        <f>Pairs!A306&lt;Pairs!B306</f>
        <v>0</v>
      </c>
    </row>
    <row r="307" spans="1:1" x14ac:dyDescent="0.35">
      <c r="A307" t="b">
        <f>Pairs!A307&lt;Pairs!B307</f>
        <v>1</v>
      </c>
    </row>
    <row r="308" spans="1:1" x14ac:dyDescent="0.35">
      <c r="A308" t="b">
        <f>Pairs!A308&lt;Pairs!B308</f>
        <v>0</v>
      </c>
    </row>
    <row r="309" spans="1:1" x14ac:dyDescent="0.35">
      <c r="A309" t="b">
        <f>Pairs!A309&lt;Pairs!B309</f>
        <v>1</v>
      </c>
    </row>
    <row r="310" spans="1:1" x14ac:dyDescent="0.35">
      <c r="A310" t="b">
        <f>Pairs!A310&lt;Pairs!B310</f>
        <v>0</v>
      </c>
    </row>
    <row r="311" spans="1:1" x14ac:dyDescent="0.35">
      <c r="A311" t="b">
        <f>Pairs!A311&lt;Pairs!B311</f>
        <v>1</v>
      </c>
    </row>
    <row r="312" spans="1:1" x14ac:dyDescent="0.35">
      <c r="A312" t="b">
        <f>Pairs!A312&lt;Pairs!B312</f>
        <v>0</v>
      </c>
    </row>
    <row r="313" spans="1:1" x14ac:dyDescent="0.35">
      <c r="A313" t="b">
        <f>Pairs!A313&lt;Pairs!B313</f>
        <v>1</v>
      </c>
    </row>
    <row r="314" spans="1:1" x14ac:dyDescent="0.35">
      <c r="A314" t="b">
        <f>Pairs!A314&lt;Pairs!B314</f>
        <v>0</v>
      </c>
    </row>
    <row r="315" spans="1:1" x14ac:dyDescent="0.35">
      <c r="A315" t="b">
        <f>Pairs!A315&lt;Pairs!B315</f>
        <v>1</v>
      </c>
    </row>
    <row r="316" spans="1:1" x14ac:dyDescent="0.35">
      <c r="A316" t="b">
        <f>Pairs!A316&lt;Pairs!B316</f>
        <v>0</v>
      </c>
    </row>
    <row r="317" spans="1:1" x14ac:dyDescent="0.35">
      <c r="A317" t="b">
        <f>Pairs!A317&lt;Pairs!B317</f>
        <v>1</v>
      </c>
    </row>
    <row r="318" spans="1:1" x14ac:dyDescent="0.35">
      <c r="A318" t="b">
        <f>Pairs!A318&lt;Pairs!B318</f>
        <v>0</v>
      </c>
    </row>
    <row r="319" spans="1:1" x14ac:dyDescent="0.35">
      <c r="A319" t="b">
        <f>Pairs!A319&lt;Pairs!B319</f>
        <v>1</v>
      </c>
    </row>
    <row r="320" spans="1:1" x14ac:dyDescent="0.35">
      <c r="A320" t="b">
        <f>Pairs!A320&lt;Pairs!B320</f>
        <v>0</v>
      </c>
    </row>
    <row r="321" spans="1:1" x14ac:dyDescent="0.35">
      <c r="A321" t="b">
        <f>Pairs!A321&lt;Pairs!B321</f>
        <v>1</v>
      </c>
    </row>
    <row r="322" spans="1:1" x14ac:dyDescent="0.35">
      <c r="A322" t="b">
        <f>Pairs!A322&lt;Pairs!B322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E24C-7230-4534-A858-29D28C27F41A}">
  <dimension ref="A1:A159"/>
  <sheetViews>
    <sheetView workbookViewId="0"/>
  </sheetViews>
  <sheetFormatPr defaultRowHeight="14.5" x14ac:dyDescent="0.35"/>
  <sheetData>
    <row r="1" spans="1:1" x14ac:dyDescent="0.35">
      <c r="A1">
        <f>"1"+0</f>
        <v>1</v>
      </c>
    </row>
    <row r="2" spans="1:1" x14ac:dyDescent="0.35">
      <c r="A2">
        <f>"-1"+0</f>
        <v>-1</v>
      </c>
    </row>
    <row r="3" spans="1:1" x14ac:dyDescent="0.35">
      <c r="A3">
        <f>"+1"+0</f>
        <v>1</v>
      </c>
    </row>
    <row r="4" spans="1:1" x14ac:dyDescent="0.35">
      <c r="A4">
        <f>"1.5"+0</f>
        <v>1.5</v>
      </c>
    </row>
    <row r="5" spans="1:1" x14ac:dyDescent="0.35">
      <c r="A5">
        <f>".5"+0</f>
        <v>0.5</v>
      </c>
    </row>
    <row r="6" spans="1:1" x14ac:dyDescent="0.35">
      <c r="A6">
        <f>"5."+0</f>
        <v>5</v>
      </c>
    </row>
    <row r="7" spans="1:1" x14ac:dyDescent="0.35">
      <c r="A7">
        <f>"1e3"+0</f>
        <v>1000</v>
      </c>
    </row>
    <row r="8" spans="1:1" x14ac:dyDescent="0.35">
      <c r="A8">
        <f>"1E3"+0</f>
        <v>1000</v>
      </c>
    </row>
    <row r="9" spans="1:1" x14ac:dyDescent="0.35">
      <c r="A9">
        <f>"1e+3"+0</f>
        <v>1000</v>
      </c>
    </row>
    <row r="10" spans="1:1" x14ac:dyDescent="0.35">
      <c r="A10">
        <f>"1e-3"+0</f>
        <v>1E-3</v>
      </c>
    </row>
    <row r="11" spans="1:1" x14ac:dyDescent="0.35">
      <c r="A11" t="e">
        <f>"1E"+0</f>
        <v>#VALUE!</v>
      </c>
    </row>
    <row r="12" spans="1:1" x14ac:dyDescent="0.35">
      <c r="A12" t="e">
        <f>"e3"+0</f>
        <v>#VALUE!</v>
      </c>
    </row>
    <row r="13" spans="1:1" x14ac:dyDescent="0.35">
      <c r="A13" t="e">
        <f>"1.5.2"+0</f>
        <v>#VALUE!</v>
      </c>
    </row>
    <row r="14" spans="1:1" x14ac:dyDescent="0.35">
      <c r="A14">
        <f>"1,000"+0</f>
        <v>1000</v>
      </c>
    </row>
    <row r="15" spans="1:1" x14ac:dyDescent="0.35">
      <c r="A15">
        <f>"1,000.5"+0</f>
        <v>1000.5</v>
      </c>
    </row>
    <row r="16" spans="1:1" x14ac:dyDescent="0.35">
      <c r="A16" t="e">
        <f>"1,00"+0</f>
        <v>#VALUE!</v>
      </c>
    </row>
    <row r="17" spans="1:1" x14ac:dyDescent="0.35">
      <c r="A17" t="e">
        <f>"10,00,000"+0</f>
        <v>#VALUE!</v>
      </c>
    </row>
    <row r="18" spans="1:1" x14ac:dyDescent="0.35">
      <c r="A18" t="e">
        <f>",100"+0</f>
        <v>#VALUE!</v>
      </c>
    </row>
    <row r="19" spans="1:1" x14ac:dyDescent="0.35">
      <c r="A19" t="e">
        <f>"100,"+0</f>
        <v>#VALUE!</v>
      </c>
    </row>
    <row r="20" spans="1:1" x14ac:dyDescent="0.35">
      <c r="A20" t="e">
        <f>"1 000"+0</f>
        <v>#VALUE!</v>
      </c>
    </row>
    <row r="21" spans="1:1" x14ac:dyDescent="0.35">
      <c r="A21">
        <f>" 1"+0</f>
        <v>1</v>
      </c>
    </row>
    <row r="22" spans="1:1" x14ac:dyDescent="0.35">
      <c r="A22">
        <f>"1 "+0</f>
        <v>1</v>
      </c>
    </row>
    <row r="23" spans="1:1" x14ac:dyDescent="0.35">
      <c r="A23">
        <f>"01"+0</f>
        <v>1</v>
      </c>
    </row>
    <row r="24" spans="1:1" x14ac:dyDescent="0.35">
      <c r="A24">
        <f>"00.5"+0</f>
        <v>0.5</v>
      </c>
    </row>
    <row r="25" spans="1:1" x14ac:dyDescent="0.35">
      <c r="A25" t="e">
        <f>"1_000"+0</f>
        <v>#VALUE!</v>
      </c>
    </row>
    <row r="26" spans="1:1" x14ac:dyDescent="0.35">
      <c r="A26" t="e">
        <f>"0x1F"+0</f>
        <v>#VALUE!</v>
      </c>
    </row>
    <row r="27" spans="1:1" x14ac:dyDescent="0.35">
      <c r="A27" t="e">
        <f>"&amp;H1F"+0</f>
        <v>#VALUE!</v>
      </c>
    </row>
    <row r="28" spans="1:1" x14ac:dyDescent="0.35">
      <c r="A28" t="e">
        <f>"1d2"+0</f>
        <v>#VALUE!</v>
      </c>
    </row>
    <row r="29" spans="1:1" x14ac:dyDescent="0.35">
      <c r="A29" t="e">
        <f>"Infinity"+0</f>
        <v>#VALUE!</v>
      </c>
    </row>
    <row r="30" spans="1:1" x14ac:dyDescent="0.35">
      <c r="A30" t="e">
        <f>"NaN"+0</f>
        <v>#VALUE!</v>
      </c>
    </row>
    <row r="31" spans="1:1" x14ac:dyDescent="0.35">
      <c r="A31" t="e">
        <f>"1e308"+0</f>
        <v>#VALUE!</v>
      </c>
    </row>
    <row r="32" spans="1:1" x14ac:dyDescent="0.35">
      <c r="A32" t="e">
        <f>"1e309"+0</f>
        <v>#VALUE!</v>
      </c>
    </row>
    <row r="33" spans="1:1" x14ac:dyDescent="0.35">
      <c r="A33">
        <f>"-0"+0</f>
        <v>0</v>
      </c>
    </row>
    <row r="34" spans="1:1" x14ac:dyDescent="0.35">
      <c r="A34" t="e">
        <f>"1e-400"+0</f>
        <v>#VALUE!</v>
      </c>
    </row>
    <row r="35" spans="1:1" x14ac:dyDescent="0.35">
      <c r="A35">
        <f>"50%"+0</f>
        <v>0.5</v>
      </c>
    </row>
    <row r="36" spans="1:1" x14ac:dyDescent="0.35">
      <c r="A36">
        <f>"%50"+0</f>
        <v>0.5</v>
      </c>
    </row>
    <row r="37" spans="1:1" x14ac:dyDescent="0.35">
      <c r="A37">
        <f>"50 %"+0</f>
        <v>0.5</v>
      </c>
    </row>
    <row r="38" spans="1:1" x14ac:dyDescent="0.35">
      <c r="A38" t="e">
        <f>"5%%"+0</f>
        <v>#VALUE!</v>
      </c>
    </row>
    <row r="39" spans="1:1" x14ac:dyDescent="0.35">
      <c r="A39">
        <f>"-50%"+0</f>
        <v>-0.5</v>
      </c>
    </row>
    <row r="40" spans="1:1" x14ac:dyDescent="0.35">
      <c r="A40">
        <f>"1.5%"+0</f>
        <v>1.4999999999999999E-2</v>
      </c>
    </row>
    <row r="41" spans="1:1" x14ac:dyDescent="0.35">
      <c r="A41">
        <f>"1e2%"+0</f>
        <v>1</v>
      </c>
    </row>
    <row r="42" spans="1:1" x14ac:dyDescent="0.35">
      <c r="A42">
        <f>"(50%)"+0</f>
        <v>-0.5</v>
      </c>
    </row>
    <row r="43" spans="1:1" x14ac:dyDescent="0.35">
      <c r="A43">
        <f>"$5"+0</f>
        <v>5</v>
      </c>
    </row>
    <row r="44" spans="1:1" x14ac:dyDescent="0.35">
      <c r="A44">
        <f>"-$5"+0</f>
        <v>-5</v>
      </c>
    </row>
    <row r="45" spans="1:1" x14ac:dyDescent="0.35">
      <c r="A45">
        <f>"$-5"+0</f>
        <v>-5</v>
      </c>
    </row>
    <row r="46" spans="1:1" x14ac:dyDescent="0.35">
      <c r="A46">
        <f>"($5)"+0</f>
        <v>-5</v>
      </c>
    </row>
    <row r="47" spans="1:1" x14ac:dyDescent="0.35">
      <c r="A47">
        <f>"$ 5"+0</f>
        <v>5</v>
      </c>
    </row>
    <row r="48" spans="1:1" x14ac:dyDescent="0.35">
      <c r="A48" t="e">
        <f>"5$"+0</f>
        <v>#VALUE!</v>
      </c>
    </row>
    <row r="49" spans="1:1" x14ac:dyDescent="0.35">
      <c r="A49">
        <f>"€5"+0</f>
        <v>5</v>
      </c>
    </row>
    <row r="50" spans="1:1" x14ac:dyDescent="0.35">
      <c r="A50" t="e">
        <f>"£5"+0</f>
        <v>#VALUE!</v>
      </c>
    </row>
    <row r="51" spans="1:1" x14ac:dyDescent="0.35">
      <c r="A51">
        <f>"$1,000.50"+0</f>
        <v>1000.5</v>
      </c>
    </row>
    <row r="52" spans="1:1" x14ac:dyDescent="0.35">
      <c r="A52" t="e">
        <f>"USD5"+0</f>
        <v>#VALUE!</v>
      </c>
    </row>
    <row r="53" spans="1:1" x14ac:dyDescent="0.35">
      <c r="A53">
        <f>"(5)"+0</f>
        <v>-5</v>
      </c>
    </row>
    <row r="54" spans="1:1" x14ac:dyDescent="0.35">
      <c r="A54" t="e">
        <f>"(-5)"+0</f>
        <v>#VALUE!</v>
      </c>
    </row>
    <row r="55" spans="1:1" x14ac:dyDescent="0.35">
      <c r="A55" t="e">
        <f>"-(5)"+0</f>
        <v>#VALUE!</v>
      </c>
    </row>
    <row r="56" spans="1:1" x14ac:dyDescent="0.35">
      <c r="A56">
        <f>"( 5 )"+0</f>
        <v>-5</v>
      </c>
    </row>
    <row r="57" spans="1:1" x14ac:dyDescent="0.35">
      <c r="A57" t="e">
        <f>"(5"+0</f>
        <v>#VALUE!</v>
      </c>
    </row>
    <row r="58" spans="1:1" x14ac:dyDescent="0.35">
      <c r="A58" t="e">
        <f>"5)"+0</f>
        <v>#VALUE!</v>
      </c>
    </row>
    <row r="59" spans="1:1" x14ac:dyDescent="0.35">
      <c r="A59" t="e">
        <f>"5-"+0</f>
        <v>#VALUE!</v>
      </c>
    </row>
    <row r="60" spans="1:1" x14ac:dyDescent="0.35">
      <c r="A60" t="e">
        <f>"5+"+0</f>
        <v>#VALUE!</v>
      </c>
    </row>
    <row r="61" spans="1:1" x14ac:dyDescent="0.35">
      <c r="A61" t="e">
        <f>"--5"+0</f>
        <v>#VALUE!</v>
      </c>
    </row>
    <row r="62" spans="1:1" x14ac:dyDescent="0.35">
      <c r="A62" t="e">
        <f>"+-5"+0</f>
        <v>#VALUE!</v>
      </c>
    </row>
    <row r="63" spans="1:1" x14ac:dyDescent="0.35">
      <c r="A63">
        <f>"- 5"+0</f>
        <v>-5</v>
      </c>
    </row>
    <row r="64" spans="1:1" x14ac:dyDescent="0.35">
      <c r="A64">
        <f>"1/2"+0</f>
        <v>46024</v>
      </c>
    </row>
    <row r="65" spans="1:1" x14ac:dyDescent="0.35">
      <c r="A65">
        <f>"0 1/2"+0</f>
        <v>0.5</v>
      </c>
    </row>
    <row r="66" spans="1:1" x14ac:dyDescent="0.35">
      <c r="A66">
        <f>"1 1/2"+0</f>
        <v>1.5</v>
      </c>
    </row>
    <row r="67" spans="1:1" x14ac:dyDescent="0.35">
      <c r="A67">
        <f>"1 1/3"+0</f>
        <v>1.3333333333333333</v>
      </c>
    </row>
    <row r="68" spans="1:1" x14ac:dyDescent="0.35">
      <c r="A68">
        <f>"-1 1/2"+0</f>
        <v>-1.5</v>
      </c>
    </row>
    <row r="69" spans="1:1" x14ac:dyDescent="0.35">
      <c r="A69" t="e">
        <f>"1 1/2/3"+0</f>
        <v>#VALUE!</v>
      </c>
    </row>
    <row r="70" spans="1:1" x14ac:dyDescent="0.35">
      <c r="A70">
        <f>"1 3/2"+0</f>
        <v>2.5</v>
      </c>
    </row>
    <row r="71" spans="1:1" x14ac:dyDescent="0.35">
      <c r="A71">
        <f>"3/2"+0</f>
        <v>46083</v>
      </c>
    </row>
    <row r="72" spans="1:1" x14ac:dyDescent="0.35">
      <c r="A72">
        <f>" 1 1/2 "+0</f>
        <v>1.5</v>
      </c>
    </row>
    <row r="73" spans="1:1" x14ac:dyDescent="0.35">
      <c r="A73" t="e">
        <f>"1  1/2"+0</f>
        <v>#VALUE!</v>
      </c>
    </row>
    <row r="74" spans="1:1" x14ac:dyDescent="0.35">
      <c r="A74">
        <f>"1/2/2020"+0</f>
        <v>43832</v>
      </c>
    </row>
    <row r="75" spans="1:1" x14ac:dyDescent="0.35">
      <c r="A75">
        <f>"1/2/20"+0</f>
        <v>43832</v>
      </c>
    </row>
    <row r="76" spans="1:1" x14ac:dyDescent="0.35">
      <c r="A76">
        <f>"2020-01-15"+0</f>
        <v>43845</v>
      </c>
    </row>
    <row r="77" spans="1:1" x14ac:dyDescent="0.35">
      <c r="A77">
        <f>"2020/01/15"+0</f>
        <v>43845</v>
      </c>
    </row>
    <row r="78" spans="1:1" x14ac:dyDescent="0.35">
      <c r="A78">
        <f>"15-Jan-2020"+0</f>
        <v>43845</v>
      </c>
    </row>
    <row r="79" spans="1:1" x14ac:dyDescent="0.35">
      <c r="A79">
        <f>"15 Jan 2020"+0</f>
        <v>43845</v>
      </c>
    </row>
    <row r="80" spans="1:1" x14ac:dyDescent="0.35">
      <c r="A80">
        <f>"Jan 15, 2020"+0</f>
        <v>43845</v>
      </c>
    </row>
    <row r="81" spans="1:1" x14ac:dyDescent="0.35">
      <c r="A81">
        <f>"January 15, 2020"+0</f>
        <v>43845</v>
      </c>
    </row>
    <row r="82" spans="1:1" x14ac:dyDescent="0.35">
      <c r="A82">
        <f>"Jan 2020"+0</f>
        <v>43831</v>
      </c>
    </row>
    <row r="83" spans="1:1" x14ac:dyDescent="0.35">
      <c r="A83">
        <f>"Jan-20"+0</f>
        <v>46042</v>
      </c>
    </row>
    <row r="84" spans="1:1" x14ac:dyDescent="0.35">
      <c r="A84">
        <f>"15-Jan"+0</f>
        <v>46037</v>
      </c>
    </row>
    <row r="85" spans="1:1" x14ac:dyDescent="0.35">
      <c r="A85">
        <f>"1/15"+0</f>
        <v>46037</v>
      </c>
    </row>
    <row r="86" spans="1:1" x14ac:dyDescent="0.35">
      <c r="A86" t="e">
        <f>"13/1/2020"+0</f>
        <v>#VALUE!</v>
      </c>
    </row>
    <row r="87" spans="1:1" x14ac:dyDescent="0.35">
      <c r="A87" t="e">
        <f>"2/29/2021"+0</f>
        <v>#VALUE!</v>
      </c>
    </row>
    <row r="88" spans="1:1" x14ac:dyDescent="0.35">
      <c r="A88">
        <f>"2/29/2020"+0</f>
        <v>43890</v>
      </c>
    </row>
    <row r="89" spans="1:1" x14ac:dyDescent="0.35">
      <c r="A89">
        <f>"1/1/1900"+0</f>
        <v>1</v>
      </c>
    </row>
    <row r="90" spans="1:1" x14ac:dyDescent="0.35">
      <c r="A90" t="e">
        <f>"12/31/1899"+0</f>
        <v>#VALUE!</v>
      </c>
    </row>
    <row r="91" spans="1:1" x14ac:dyDescent="0.35">
      <c r="A91">
        <f>"1/1/9999"+0</f>
        <v>2958101</v>
      </c>
    </row>
    <row r="92" spans="1:1" x14ac:dyDescent="0.35">
      <c r="A92" t="e">
        <f>"1/1/10000"+0</f>
        <v>#VALUE!</v>
      </c>
    </row>
    <row r="93" spans="1:1" x14ac:dyDescent="0.35">
      <c r="A93">
        <f>"1/1/0"+0</f>
        <v>36526</v>
      </c>
    </row>
    <row r="94" spans="1:1" x14ac:dyDescent="0.35">
      <c r="A94">
        <f>"1/1/29"+0</f>
        <v>47119</v>
      </c>
    </row>
    <row r="95" spans="1:1" x14ac:dyDescent="0.35">
      <c r="A95">
        <f>"1/1/30"+0</f>
        <v>10959</v>
      </c>
    </row>
    <row r="96" spans="1:1" x14ac:dyDescent="0.35">
      <c r="A96" t="e">
        <f>"Monday, January 15, 2020"+0</f>
        <v>#VALUE!</v>
      </c>
    </row>
    <row r="97" spans="1:1" x14ac:dyDescent="0.35">
      <c r="A97">
        <f>"2020-1-15"+0</f>
        <v>43845</v>
      </c>
    </row>
    <row r="98" spans="1:1" x14ac:dyDescent="0.35">
      <c r="A98" t="e">
        <f>"15.1.2020"+0</f>
        <v>#VALUE!</v>
      </c>
    </row>
    <row r="99" spans="1:1" x14ac:dyDescent="0.35">
      <c r="A99">
        <f>"1-15-2020"+0</f>
        <v>43845</v>
      </c>
    </row>
    <row r="100" spans="1:1" x14ac:dyDescent="0.35">
      <c r="A100">
        <f>"20200115"+0</f>
        <v>20200115</v>
      </c>
    </row>
    <row r="101" spans="1:1" x14ac:dyDescent="0.35">
      <c r="A101">
        <f>"12:30"+0</f>
        <v>0.52083333333333337</v>
      </c>
    </row>
    <row r="102" spans="1:1" x14ac:dyDescent="0.35">
      <c r="A102">
        <f>"12:30:45"+0</f>
        <v>0.52135416666666667</v>
      </c>
    </row>
    <row r="103" spans="1:1" x14ac:dyDescent="0.35">
      <c r="A103">
        <f>"12:30:45.5"+0</f>
        <v>0.52135995370370369</v>
      </c>
    </row>
    <row r="104" spans="1:1" x14ac:dyDescent="0.35">
      <c r="A104">
        <f>"12:30 PM"+0</f>
        <v>0.52083333333333337</v>
      </c>
    </row>
    <row r="105" spans="1:1" x14ac:dyDescent="0.35">
      <c r="A105">
        <f>"12:30 AM"+0</f>
        <v>2.0833333333333332E-2</v>
      </c>
    </row>
    <row r="106" spans="1:1" x14ac:dyDescent="0.35">
      <c r="A106" t="e">
        <f>"12:30PM"+0</f>
        <v>#VALUE!</v>
      </c>
    </row>
    <row r="107" spans="1:1" x14ac:dyDescent="0.35">
      <c r="A107">
        <f>"0:00"+0</f>
        <v>0</v>
      </c>
    </row>
    <row r="108" spans="1:1" x14ac:dyDescent="0.35">
      <c r="A108">
        <f>"24:00"+0</f>
        <v>1</v>
      </c>
    </row>
    <row r="109" spans="1:1" x14ac:dyDescent="0.35">
      <c r="A109">
        <f>"25:00"+0</f>
        <v>1.0416666666666667</v>
      </c>
    </row>
    <row r="110" spans="1:1" x14ac:dyDescent="0.35">
      <c r="A110">
        <f>"12:60"+0</f>
        <v>0.54166666666666663</v>
      </c>
    </row>
    <row r="111" spans="1:1" x14ac:dyDescent="0.35">
      <c r="A111">
        <f>"1:2:3"+0</f>
        <v>4.3090277777777776E-2</v>
      </c>
    </row>
    <row r="112" spans="1:1" x14ac:dyDescent="0.35">
      <c r="A112">
        <f>"12:30:45 PM"+0</f>
        <v>0.52135416666666667</v>
      </c>
    </row>
    <row r="113" spans="1:1" x14ac:dyDescent="0.35">
      <c r="A113">
        <f>"12 PM"+0</f>
        <v>0.5</v>
      </c>
    </row>
    <row r="114" spans="1:1" x14ac:dyDescent="0.35">
      <c r="A114" t="e">
        <f>"12pm"+0</f>
        <v>#VALUE!</v>
      </c>
    </row>
    <row r="115" spans="1:1" x14ac:dyDescent="0.35">
      <c r="A115">
        <f>"1:30 a"+0</f>
        <v>6.25E-2</v>
      </c>
    </row>
    <row r="116" spans="1:1" x14ac:dyDescent="0.35">
      <c r="A116">
        <f>"12:30:45.123"+0</f>
        <v>0.52135559027777778</v>
      </c>
    </row>
    <row r="117" spans="1:1" x14ac:dyDescent="0.35">
      <c r="A117">
        <f>"100:00"+0</f>
        <v>4.166666666666667</v>
      </c>
    </row>
    <row r="118" spans="1:1" x14ac:dyDescent="0.35">
      <c r="A118">
        <f>"9999:00"+0</f>
        <v>416.625</v>
      </c>
    </row>
    <row r="119" spans="1:1" x14ac:dyDescent="0.35">
      <c r="A119">
        <f>"1/2/2020 12:30"+0</f>
        <v>43832.520833333336</v>
      </c>
    </row>
    <row r="120" spans="1:1" x14ac:dyDescent="0.35">
      <c r="A120">
        <f>"2020-01-15 12:30:45"+0</f>
        <v>43845.521354166667</v>
      </c>
    </row>
    <row r="121" spans="1:1" x14ac:dyDescent="0.35">
      <c r="A121">
        <f>"1/2/2020 12:30 PM"+0</f>
        <v>43832.520833333336</v>
      </c>
    </row>
    <row r="122" spans="1:1" x14ac:dyDescent="0.35">
      <c r="A122" t="e">
        <f>"TRUE"+0</f>
        <v>#VALUE!</v>
      </c>
    </row>
    <row r="123" spans="1:1" x14ac:dyDescent="0.35">
      <c r="A123" t="e">
        <f>"FALSE"+0</f>
        <v>#VALUE!</v>
      </c>
    </row>
    <row r="124" spans="1:1" x14ac:dyDescent="0.35">
      <c r="A124" t="e">
        <f>""+0</f>
        <v>#VALUE!</v>
      </c>
    </row>
    <row r="125" spans="1:1" x14ac:dyDescent="0.35">
      <c r="A125" t="e">
        <f>" "+0</f>
        <v>#VALUE!</v>
      </c>
    </row>
    <row r="126" spans="1:1" x14ac:dyDescent="0.35">
      <c r="A126" t="e">
        <f>"abc"+0</f>
        <v>#VALUE!</v>
      </c>
    </row>
    <row r="127" spans="1:1" x14ac:dyDescent="0.35">
      <c r="A127" t="e">
        <f>"#N/A"+0</f>
        <v>#VALUE!</v>
      </c>
    </row>
    <row r="128" spans="1:1" x14ac:dyDescent="0.35">
      <c r="A128" t="e">
        <f>"e"+0</f>
        <v>#VALUE!</v>
      </c>
    </row>
    <row r="129" spans="1:1" x14ac:dyDescent="0.35">
      <c r="A129" t="e">
        <f>"."+0</f>
        <v>#VALUE!</v>
      </c>
    </row>
    <row r="130" spans="1:1" x14ac:dyDescent="0.35">
      <c r="A130" t="e">
        <f>"-"+0</f>
        <v>#VALUE!</v>
      </c>
    </row>
    <row r="131" spans="1:1" x14ac:dyDescent="0.35">
      <c r="A131" t="e">
        <f>"$"+0</f>
        <v>#VALUE!</v>
      </c>
    </row>
    <row r="132" spans="1:1" x14ac:dyDescent="0.35">
      <c r="A132" t="e">
        <f>"%"+0</f>
        <v>#VALUE!</v>
      </c>
    </row>
    <row r="133" spans="1:1" x14ac:dyDescent="0.35">
      <c r="A133" t="e">
        <f>"()"+0</f>
        <v>#VALUE!</v>
      </c>
    </row>
    <row r="134" spans="1:1" x14ac:dyDescent="0.35">
      <c r="A134">
        <f>"1-1"+0</f>
        <v>46023</v>
      </c>
    </row>
    <row r="135" spans="1:1" x14ac:dyDescent="0.35">
      <c r="A135" t="e">
        <f>"1+1"+0</f>
        <v>#VALUE!</v>
      </c>
    </row>
    <row r="136" spans="1:1" x14ac:dyDescent="0.35">
      <c r="A136">
        <f>"1.5e3%"+0</f>
        <v>15</v>
      </c>
    </row>
    <row r="137" spans="1:1" x14ac:dyDescent="0.35">
      <c r="A137">
        <f>"$1e3"+0</f>
        <v>1000</v>
      </c>
    </row>
    <row r="138" spans="1:1" x14ac:dyDescent="0.35">
      <c r="A138" t="e">
        <f>"1,5"+0</f>
        <v>#VALUE!</v>
      </c>
    </row>
    <row r="139" spans="1:1" x14ac:dyDescent="0.35">
      <c r="A139">
        <f>"1,234,567"+0</f>
        <v>1234567</v>
      </c>
    </row>
    <row r="140" spans="1:1" x14ac:dyDescent="0.35">
      <c r="A140" t="e">
        <f>"12,34"+0</f>
        <v>#VALUE!</v>
      </c>
    </row>
    <row r="141" spans="1:1" x14ac:dyDescent="0.35">
      <c r="A141" t="e">
        <f>"1.234,5"+0</f>
        <v>#VALUE!</v>
      </c>
    </row>
    <row r="142" spans="1:1" x14ac:dyDescent="0.35">
      <c r="A142">
        <f>"0.5e1"+0</f>
        <v>5</v>
      </c>
    </row>
    <row r="143" spans="1:1" x14ac:dyDescent="0.35">
      <c r="A143">
        <f>"5e-1"+0</f>
        <v>0.5</v>
      </c>
    </row>
    <row r="144" spans="1:1" x14ac:dyDescent="0.35">
      <c r="A144">
        <f>"2 1/4%"+0</f>
        <v>2.2499999999999999E-2</v>
      </c>
    </row>
    <row r="145" spans="1:1" x14ac:dyDescent="0.35">
      <c r="A145">
        <f>"$(5)"+0</f>
        <v>-5</v>
      </c>
    </row>
    <row r="146" spans="1:1" x14ac:dyDescent="0.35">
      <c r="A146" t="e">
        <f>"(-$5)"+0</f>
        <v>#VALUE!</v>
      </c>
    </row>
    <row r="147" spans="1:1" x14ac:dyDescent="0.35">
      <c r="A147">
        <f>"1:30:00 PM"+0</f>
        <v>0.5625</v>
      </c>
    </row>
    <row r="148" spans="1:1" x14ac:dyDescent="0.35">
      <c r="A148">
        <f>"2:00 AM"+0</f>
        <v>8.3333333333333329E-2</v>
      </c>
    </row>
    <row r="149" spans="1:1" x14ac:dyDescent="0.35">
      <c r="A149">
        <f>"1/2/2020 25:00"+0</f>
        <v>43833.041666666664</v>
      </c>
    </row>
    <row r="150" spans="1:1" x14ac:dyDescent="0.35">
      <c r="A150" t="e">
        <f>"Jan"+0</f>
        <v>#VALUE!</v>
      </c>
    </row>
    <row r="151" spans="1:1" x14ac:dyDescent="0.35">
      <c r="A151" t="e">
        <f>"January"+0</f>
        <v>#VALUE!</v>
      </c>
    </row>
    <row r="152" spans="1:1" x14ac:dyDescent="0.35">
      <c r="A152">
        <f>"1 Jan"+0</f>
        <v>46023</v>
      </c>
    </row>
    <row r="153" spans="1:1" x14ac:dyDescent="0.35">
      <c r="A153">
        <f>"Jan 1"+0</f>
        <v>46023</v>
      </c>
    </row>
    <row r="154" spans="1:1" x14ac:dyDescent="0.35">
      <c r="A154" t="e">
        <f>"2020 Jan 1"+0</f>
        <v>#VALUE!</v>
      </c>
    </row>
    <row r="155" spans="1:1" x14ac:dyDescent="0.35">
      <c r="A155">
        <f>"1-Jan-2020 1:00"+0</f>
        <v>43831.041666666664</v>
      </c>
    </row>
    <row r="156" spans="1:1" x14ac:dyDescent="0.35">
      <c r="A156" t="e">
        <f>(CHAR(9)&amp;"1")+0</f>
        <v>#VALUE!</v>
      </c>
    </row>
    <row r="157" spans="1:1" x14ac:dyDescent="0.35">
      <c r="A157" t="e">
        <f>("1"&amp;CHAR(9))+0</f>
        <v>#VALUE!</v>
      </c>
    </row>
    <row r="158" spans="1:1" x14ac:dyDescent="0.35">
      <c r="A158" t="e">
        <f>(CHAR(10)&amp;"1")+0</f>
        <v>#VALUE!</v>
      </c>
    </row>
    <row r="159" spans="1:1" x14ac:dyDescent="0.35">
      <c r="A159" t="e">
        <f>(CHAR(160)&amp;"1")+0</f>
        <v>#VALUE!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5724-16EF-43A1-911C-C6C3C3236C3F}">
  <dimension ref="A1:A155"/>
  <sheetViews>
    <sheetView workbookViewId="0"/>
  </sheetViews>
  <sheetFormatPr defaultRowHeight="14.5" x14ac:dyDescent="0.35"/>
  <sheetData>
    <row r="1" spans="1:1" x14ac:dyDescent="0.35">
      <c r="A1">
        <f>VALUE("1")</f>
        <v>1</v>
      </c>
    </row>
    <row r="2" spans="1:1" x14ac:dyDescent="0.35">
      <c r="A2">
        <f>VALUE("-1")</f>
        <v>-1</v>
      </c>
    </row>
    <row r="3" spans="1:1" x14ac:dyDescent="0.35">
      <c r="A3">
        <f>VALUE("+1")</f>
        <v>1</v>
      </c>
    </row>
    <row r="4" spans="1:1" x14ac:dyDescent="0.35">
      <c r="A4">
        <f>VALUE("1.5")</f>
        <v>1.5</v>
      </c>
    </row>
    <row r="5" spans="1:1" x14ac:dyDescent="0.35">
      <c r="A5">
        <f>VALUE(".5")</f>
        <v>0.5</v>
      </c>
    </row>
    <row r="6" spans="1:1" x14ac:dyDescent="0.35">
      <c r="A6">
        <f>VALUE("5.")</f>
        <v>5</v>
      </c>
    </row>
    <row r="7" spans="1:1" x14ac:dyDescent="0.35">
      <c r="A7">
        <f>VALUE("1e3")</f>
        <v>1000</v>
      </c>
    </row>
    <row r="8" spans="1:1" x14ac:dyDescent="0.35">
      <c r="A8">
        <f>VALUE("1E3")</f>
        <v>1000</v>
      </c>
    </row>
    <row r="9" spans="1:1" x14ac:dyDescent="0.35">
      <c r="A9">
        <f>VALUE("1e+3")</f>
        <v>1000</v>
      </c>
    </row>
    <row r="10" spans="1:1" x14ac:dyDescent="0.35">
      <c r="A10">
        <f>VALUE("1e-3")</f>
        <v>1E-3</v>
      </c>
    </row>
    <row r="11" spans="1:1" x14ac:dyDescent="0.35">
      <c r="A11" t="e">
        <f>VALUE("1E")</f>
        <v>#VALUE!</v>
      </c>
    </row>
    <row r="12" spans="1:1" x14ac:dyDescent="0.35">
      <c r="A12" t="e">
        <f>VALUE("e3")</f>
        <v>#VALUE!</v>
      </c>
    </row>
    <row r="13" spans="1:1" x14ac:dyDescent="0.35">
      <c r="A13" t="e">
        <f>VALUE("1.5.2")</f>
        <v>#VALUE!</v>
      </c>
    </row>
    <row r="14" spans="1:1" x14ac:dyDescent="0.35">
      <c r="A14">
        <f>VALUE("1,000")</f>
        <v>1000</v>
      </c>
    </row>
    <row r="15" spans="1:1" x14ac:dyDescent="0.35">
      <c r="A15">
        <f>VALUE("1,000.5")</f>
        <v>1000.5</v>
      </c>
    </row>
    <row r="16" spans="1:1" x14ac:dyDescent="0.35">
      <c r="A16" t="e">
        <f>VALUE("1,00")</f>
        <v>#VALUE!</v>
      </c>
    </row>
    <row r="17" spans="1:1" x14ac:dyDescent="0.35">
      <c r="A17" t="e">
        <f>VALUE("10,00,000")</f>
        <v>#VALUE!</v>
      </c>
    </row>
    <row r="18" spans="1:1" x14ac:dyDescent="0.35">
      <c r="A18" t="e">
        <f>VALUE(",100")</f>
        <v>#VALUE!</v>
      </c>
    </row>
    <row r="19" spans="1:1" x14ac:dyDescent="0.35">
      <c r="A19" t="e">
        <f>VALUE("100,")</f>
        <v>#VALUE!</v>
      </c>
    </row>
    <row r="20" spans="1:1" x14ac:dyDescent="0.35">
      <c r="A20" t="e">
        <f>VALUE("1 000")</f>
        <v>#VALUE!</v>
      </c>
    </row>
    <row r="21" spans="1:1" x14ac:dyDescent="0.35">
      <c r="A21">
        <f>VALUE(" 1")</f>
        <v>1</v>
      </c>
    </row>
    <row r="22" spans="1:1" x14ac:dyDescent="0.35">
      <c r="A22">
        <f>VALUE("1 ")</f>
        <v>1</v>
      </c>
    </row>
    <row r="23" spans="1:1" x14ac:dyDescent="0.35">
      <c r="A23">
        <f>VALUE("01")</f>
        <v>1</v>
      </c>
    </row>
    <row r="24" spans="1:1" x14ac:dyDescent="0.35">
      <c r="A24">
        <f>VALUE("00.5")</f>
        <v>0.5</v>
      </c>
    </row>
    <row r="25" spans="1:1" x14ac:dyDescent="0.35">
      <c r="A25" t="e">
        <f>VALUE("1_000")</f>
        <v>#VALUE!</v>
      </c>
    </row>
    <row r="26" spans="1:1" x14ac:dyDescent="0.35">
      <c r="A26" t="e">
        <f>VALUE("0x1F")</f>
        <v>#VALUE!</v>
      </c>
    </row>
    <row r="27" spans="1:1" x14ac:dyDescent="0.35">
      <c r="A27" t="e">
        <f>VALUE("&amp;H1F")</f>
        <v>#VALUE!</v>
      </c>
    </row>
    <row r="28" spans="1:1" x14ac:dyDescent="0.35">
      <c r="A28" t="e">
        <f>VALUE("1d2")</f>
        <v>#VALUE!</v>
      </c>
    </row>
    <row r="29" spans="1:1" x14ac:dyDescent="0.35">
      <c r="A29" t="e">
        <f>VALUE("Infinity")</f>
        <v>#VALUE!</v>
      </c>
    </row>
    <row r="30" spans="1:1" x14ac:dyDescent="0.35">
      <c r="A30" t="e">
        <f>VALUE("NaN")</f>
        <v>#VALUE!</v>
      </c>
    </row>
    <row r="31" spans="1:1" x14ac:dyDescent="0.35">
      <c r="A31" t="e">
        <f>VALUE("1e308")</f>
        <v>#VALUE!</v>
      </c>
    </row>
    <row r="32" spans="1:1" x14ac:dyDescent="0.35">
      <c r="A32" t="e">
        <f>VALUE("1e309")</f>
        <v>#VALUE!</v>
      </c>
    </row>
    <row r="33" spans="1:1" x14ac:dyDescent="0.35">
      <c r="A33">
        <f>VALUE("-0")</f>
        <v>0</v>
      </c>
    </row>
    <row r="34" spans="1:1" x14ac:dyDescent="0.35">
      <c r="A34" t="e">
        <f>VALUE("1e-400")</f>
        <v>#VALUE!</v>
      </c>
    </row>
    <row r="35" spans="1:1" x14ac:dyDescent="0.35">
      <c r="A35">
        <f>VALUE("50%")</f>
        <v>0.5</v>
      </c>
    </row>
    <row r="36" spans="1:1" x14ac:dyDescent="0.35">
      <c r="A36">
        <f>VALUE("%50")</f>
        <v>0.5</v>
      </c>
    </row>
    <row r="37" spans="1:1" x14ac:dyDescent="0.35">
      <c r="A37">
        <f>VALUE("50 %")</f>
        <v>0.5</v>
      </c>
    </row>
    <row r="38" spans="1:1" x14ac:dyDescent="0.35">
      <c r="A38" t="e">
        <f>VALUE("5%%")</f>
        <v>#VALUE!</v>
      </c>
    </row>
    <row r="39" spans="1:1" x14ac:dyDescent="0.35">
      <c r="A39">
        <f>VALUE("-50%")</f>
        <v>-0.5</v>
      </c>
    </row>
    <row r="40" spans="1:1" x14ac:dyDescent="0.35">
      <c r="A40">
        <f>VALUE("1.5%")</f>
        <v>1.4999999999999999E-2</v>
      </c>
    </row>
    <row r="41" spans="1:1" x14ac:dyDescent="0.35">
      <c r="A41">
        <f>VALUE("1e2%")</f>
        <v>1</v>
      </c>
    </row>
    <row r="42" spans="1:1" x14ac:dyDescent="0.35">
      <c r="A42">
        <f>VALUE("(50%)")</f>
        <v>-0.5</v>
      </c>
    </row>
    <row r="43" spans="1:1" x14ac:dyDescent="0.35">
      <c r="A43">
        <f>VALUE("$5")</f>
        <v>5</v>
      </c>
    </row>
    <row r="44" spans="1:1" x14ac:dyDescent="0.35">
      <c r="A44">
        <f>VALUE("-$5")</f>
        <v>-5</v>
      </c>
    </row>
    <row r="45" spans="1:1" x14ac:dyDescent="0.35">
      <c r="A45">
        <f>VALUE("$-5")</f>
        <v>-5</v>
      </c>
    </row>
    <row r="46" spans="1:1" x14ac:dyDescent="0.35">
      <c r="A46">
        <f>VALUE("($5)")</f>
        <v>-5</v>
      </c>
    </row>
    <row r="47" spans="1:1" x14ac:dyDescent="0.35">
      <c r="A47">
        <f>VALUE("$ 5")</f>
        <v>5</v>
      </c>
    </row>
    <row r="48" spans="1:1" x14ac:dyDescent="0.35">
      <c r="A48" t="e">
        <f>VALUE("5$")</f>
        <v>#VALUE!</v>
      </c>
    </row>
    <row r="49" spans="1:1" x14ac:dyDescent="0.35">
      <c r="A49">
        <f>VALUE("€5")</f>
        <v>5</v>
      </c>
    </row>
    <row r="50" spans="1:1" x14ac:dyDescent="0.35">
      <c r="A50" t="e">
        <f>VALUE("£5")</f>
        <v>#VALUE!</v>
      </c>
    </row>
    <row r="51" spans="1:1" x14ac:dyDescent="0.35">
      <c r="A51">
        <f>VALUE("$1,000.50")</f>
        <v>1000.5</v>
      </c>
    </row>
    <row r="52" spans="1:1" x14ac:dyDescent="0.35">
      <c r="A52" t="e">
        <f>VALUE("USD5")</f>
        <v>#VALUE!</v>
      </c>
    </row>
    <row r="53" spans="1:1" x14ac:dyDescent="0.35">
      <c r="A53">
        <f>VALUE("(5)")</f>
        <v>-5</v>
      </c>
    </row>
    <row r="54" spans="1:1" x14ac:dyDescent="0.35">
      <c r="A54" t="e">
        <f>VALUE("(-5)")</f>
        <v>#VALUE!</v>
      </c>
    </row>
    <row r="55" spans="1:1" x14ac:dyDescent="0.35">
      <c r="A55" t="e">
        <f>VALUE("-(5)")</f>
        <v>#VALUE!</v>
      </c>
    </row>
    <row r="56" spans="1:1" x14ac:dyDescent="0.35">
      <c r="A56">
        <f>VALUE("( 5 )")</f>
        <v>-5</v>
      </c>
    </row>
    <row r="57" spans="1:1" x14ac:dyDescent="0.35">
      <c r="A57" t="e">
        <f>VALUE("(5")</f>
        <v>#VALUE!</v>
      </c>
    </row>
    <row r="58" spans="1:1" x14ac:dyDescent="0.35">
      <c r="A58" t="e">
        <f>VALUE("5)")</f>
        <v>#VALUE!</v>
      </c>
    </row>
    <row r="59" spans="1:1" x14ac:dyDescent="0.35">
      <c r="A59" t="e">
        <f>VALUE("5-")</f>
        <v>#VALUE!</v>
      </c>
    </row>
    <row r="60" spans="1:1" x14ac:dyDescent="0.35">
      <c r="A60" t="e">
        <f>VALUE("5+")</f>
        <v>#VALUE!</v>
      </c>
    </row>
    <row r="61" spans="1:1" x14ac:dyDescent="0.35">
      <c r="A61" t="e">
        <f>VALUE("--5")</f>
        <v>#VALUE!</v>
      </c>
    </row>
    <row r="62" spans="1:1" x14ac:dyDescent="0.35">
      <c r="A62" t="e">
        <f>VALUE("+-5")</f>
        <v>#VALUE!</v>
      </c>
    </row>
    <row r="63" spans="1:1" x14ac:dyDescent="0.35">
      <c r="A63">
        <f>VALUE("- 5")</f>
        <v>-5</v>
      </c>
    </row>
    <row r="64" spans="1:1" x14ac:dyDescent="0.35">
      <c r="A64">
        <f>VALUE("1/2")</f>
        <v>46024</v>
      </c>
    </row>
    <row r="65" spans="1:1" x14ac:dyDescent="0.35">
      <c r="A65">
        <f>VALUE("0 1/2")</f>
        <v>0.5</v>
      </c>
    </row>
    <row r="66" spans="1:1" x14ac:dyDescent="0.35">
      <c r="A66">
        <f>VALUE("1 1/2")</f>
        <v>1.5</v>
      </c>
    </row>
    <row r="67" spans="1:1" x14ac:dyDescent="0.35">
      <c r="A67">
        <f>VALUE("1 1/3")</f>
        <v>1.3333333333333333</v>
      </c>
    </row>
    <row r="68" spans="1:1" x14ac:dyDescent="0.35">
      <c r="A68">
        <f>VALUE("-1 1/2")</f>
        <v>-1.5</v>
      </c>
    </row>
    <row r="69" spans="1:1" x14ac:dyDescent="0.35">
      <c r="A69" t="e">
        <f>VALUE("1 1/2/3")</f>
        <v>#VALUE!</v>
      </c>
    </row>
    <row r="70" spans="1:1" x14ac:dyDescent="0.35">
      <c r="A70">
        <f>VALUE("1 3/2")</f>
        <v>2.5</v>
      </c>
    </row>
    <row r="71" spans="1:1" x14ac:dyDescent="0.35">
      <c r="A71">
        <f>VALUE("3/2")</f>
        <v>46083</v>
      </c>
    </row>
    <row r="72" spans="1:1" x14ac:dyDescent="0.35">
      <c r="A72">
        <f>VALUE(" 1 1/2 ")</f>
        <v>1.5</v>
      </c>
    </row>
    <row r="73" spans="1:1" x14ac:dyDescent="0.35">
      <c r="A73" t="e">
        <f>VALUE("1  1/2")</f>
        <v>#VALUE!</v>
      </c>
    </row>
    <row r="74" spans="1:1" x14ac:dyDescent="0.35">
      <c r="A74">
        <f>VALUE("1/2/2020")</f>
        <v>43832</v>
      </c>
    </row>
    <row r="75" spans="1:1" x14ac:dyDescent="0.35">
      <c r="A75">
        <f>VALUE("1/2/20")</f>
        <v>43832</v>
      </c>
    </row>
    <row r="76" spans="1:1" x14ac:dyDescent="0.35">
      <c r="A76">
        <f>VALUE("2020-01-15")</f>
        <v>43845</v>
      </c>
    </row>
    <row r="77" spans="1:1" x14ac:dyDescent="0.35">
      <c r="A77">
        <f>VALUE("2020/01/15")</f>
        <v>43845</v>
      </c>
    </row>
    <row r="78" spans="1:1" x14ac:dyDescent="0.35">
      <c r="A78">
        <f>VALUE("15-Jan-2020")</f>
        <v>43845</v>
      </c>
    </row>
    <row r="79" spans="1:1" x14ac:dyDescent="0.35">
      <c r="A79">
        <f>VALUE("15 Jan 2020")</f>
        <v>43845</v>
      </c>
    </row>
    <row r="80" spans="1:1" x14ac:dyDescent="0.35">
      <c r="A80">
        <f>VALUE("Jan 15, 2020")</f>
        <v>43845</v>
      </c>
    </row>
    <row r="81" spans="1:1" x14ac:dyDescent="0.35">
      <c r="A81">
        <f>VALUE("January 15, 2020")</f>
        <v>43845</v>
      </c>
    </row>
    <row r="82" spans="1:1" x14ac:dyDescent="0.35">
      <c r="A82">
        <f>VALUE("Jan 2020")</f>
        <v>43831</v>
      </c>
    </row>
    <row r="83" spans="1:1" x14ac:dyDescent="0.35">
      <c r="A83">
        <f>VALUE("Jan-20")</f>
        <v>46042</v>
      </c>
    </row>
    <row r="84" spans="1:1" x14ac:dyDescent="0.35">
      <c r="A84">
        <f>VALUE("15-Jan")</f>
        <v>46037</v>
      </c>
    </row>
    <row r="85" spans="1:1" x14ac:dyDescent="0.35">
      <c r="A85">
        <f>VALUE("1/15")</f>
        <v>46037</v>
      </c>
    </row>
    <row r="86" spans="1:1" x14ac:dyDescent="0.35">
      <c r="A86" t="e">
        <f>VALUE("13/1/2020")</f>
        <v>#VALUE!</v>
      </c>
    </row>
    <row r="87" spans="1:1" x14ac:dyDescent="0.35">
      <c r="A87" t="e">
        <f>VALUE("2/29/2021")</f>
        <v>#VALUE!</v>
      </c>
    </row>
    <row r="88" spans="1:1" x14ac:dyDescent="0.35">
      <c r="A88">
        <f>VALUE("2/29/2020")</f>
        <v>43890</v>
      </c>
    </row>
    <row r="89" spans="1:1" x14ac:dyDescent="0.35">
      <c r="A89">
        <f>VALUE("1/1/1900")</f>
        <v>1</v>
      </c>
    </row>
    <row r="90" spans="1:1" x14ac:dyDescent="0.35">
      <c r="A90" t="e">
        <f>VALUE("12/31/1899")</f>
        <v>#VALUE!</v>
      </c>
    </row>
    <row r="91" spans="1:1" x14ac:dyDescent="0.35">
      <c r="A91">
        <f>VALUE("1/1/9999")</f>
        <v>2958101</v>
      </c>
    </row>
    <row r="92" spans="1:1" x14ac:dyDescent="0.35">
      <c r="A92" t="e">
        <f>VALUE("1/1/10000")</f>
        <v>#VALUE!</v>
      </c>
    </row>
    <row r="93" spans="1:1" x14ac:dyDescent="0.35">
      <c r="A93">
        <f>VALUE("1/1/0")</f>
        <v>36526</v>
      </c>
    </row>
    <row r="94" spans="1:1" x14ac:dyDescent="0.35">
      <c r="A94">
        <f>VALUE("1/1/29")</f>
        <v>47119</v>
      </c>
    </row>
    <row r="95" spans="1:1" x14ac:dyDescent="0.35">
      <c r="A95">
        <f>VALUE("1/1/30")</f>
        <v>10959</v>
      </c>
    </row>
    <row r="96" spans="1:1" x14ac:dyDescent="0.35">
      <c r="A96" t="e">
        <f>VALUE("Monday, January 15, 2020")</f>
        <v>#VALUE!</v>
      </c>
    </row>
    <row r="97" spans="1:1" x14ac:dyDescent="0.35">
      <c r="A97">
        <f>VALUE("2020-1-15")</f>
        <v>43845</v>
      </c>
    </row>
    <row r="98" spans="1:1" x14ac:dyDescent="0.35">
      <c r="A98" t="e">
        <f>VALUE("15.1.2020")</f>
        <v>#VALUE!</v>
      </c>
    </row>
    <row r="99" spans="1:1" x14ac:dyDescent="0.35">
      <c r="A99">
        <f>VALUE("1-15-2020")</f>
        <v>43845</v>
      </c>
    </row>
    <row r="100" spans="1:1" x14ac:dyDescent="0.35">
      <c r="A100">
        <f>VALUE("20200115")</f>
        <v>20200115</v>
      </c>
    </row>
    <row r="101" spans="1:1" x14ac:dyDescent="0.35">
      <c r="A101">
        <f>VALUE("12:30")</f>
        <v>0.52083333333333337</v>
      </c>
    </row>
    <row r="102" spans="1:1" x14ac:dyDescent="0.35">
      <c r="A102">
        <f>VALUE("12:30:45")</f>
        <v>0.52135416666666667</v>
      </c>
    </row>
    <row r="103" spans="1:1" x14ac:dyDescent="0.35">
      <c r="A103">
        <f>VALUE("12:30:45.5")</f>
        <v>0.52135995370370369</v>
      </c>
    </row>
    <row r="104" spans="1:1" x14ac:dyDescent="0.35">
      <c r="A104">
        <f>VALUE("12:30 PM")</f>
        <v>0.52083333333333337</v>
      </c>
    </row>
    <row r="105" spans="1:1" x14ac:dyDescent="0.35">
      <c r="A105">
        <f>VALUE("12:30 AM")</f>
        <v>2.0833333333333332E-2</v>
      </c>
    </row>
    <row r="106" spans="1:1" x14ac:dyDescent="0.35">
      <c r="A106" t="e">
        <f>VALUE("12:30PM")</f>
        <v>#VALUE!</v>
      </c>
    </row>
    <row r="107" spans="1:1" x14ac:dyDescent="0.35">
      <c r="A107">
        <f>VALUE("0:00")</f>
        <v>0</v>
      </c>
    </row>
    <row r="108" spans="1:1" x14ac:dyDescent="0.35">
      <c r="A108">
        <f>VALUE("24:00")</f>
        <v>1</v>
      </c>
    </row>
    <row r="109" spans="1:1" x14ac:dyDescent="0.35">
      <c r="A109">
        <f>VALUE("25:00")</f>
        <v>1.0416666666666667</v>
      </c>
    </row>
    <row r="110" spans="1:1" x14ac:dyDescent="0.35">
      <c r="A110">
        <f>VALUE("12:60")</f>
        <v>0.54166666666666663</v>
      </c>
    </row>
    <row r="111" spans="1:1" x14ac:dyDescent="0.35">
      <c r="A111">
        <f>VALUE("1:2:3")</f>
        <v>4.3090277777777776E-2</v>
      </c>
    </row>
    <row r="112" spans="1:1" x14ac:dyDescent="0.35">
      <c r="A112">
        <f>VALUE("12:30:45 PM")</f>
        <v>0.52135416666666667</v>
      </c>
    </row>
    <row r="113" spans="1:1" x14ac:dyDescent="0.35">
      <c r="A113">
        <f>VALUE("12 PM")</f>
        <v>0.5</v>
      </c>
    </row>
    <row r="114" spans="1:1" x14ac:dyDescent="0.35">
      <c r="A114" t="e">
        <f>VALUE("12pm")</f>
        <v>#VALUE!</v>
      </c>
    </row>
    <row r="115" spans="1:1" x14ac:dyDescent="0.35">
      <c r="A115">
        <f>VALUE("1:30 a")</f>
        <v>6.25E-2</v>
      </c>
    </row>
    <row r="116" spans="1:1" x14ac:dyDescent="0.35">
      <c r="A116">
        <f>VALUE("12:30:45.123")</f>
        <v>0.52135559027777778</v>
      </c>
    </row>
    <row r="117" spans="1:1" x14ac:dyDescent="0.35">
      <c r="A117">
        <f>VALUE("100:00")</f>
        <v>4.166666666666667</v>
      </c>
    </row>
    <row r="118" spans="1:1" x14ac:dyDescent="0.35">
      <c r="A118">
        <f>VALUE("9999:00")</f>
        <v>416.625</v>
      </c>
    </row>
    <row r="119" spans="1:1" x14ac:dyDescent="0.35">
      <c r="A119">
        <f>VALUE("1/2/2020 12:30")</f>
        <v>43832.520833333336</v>
      </c>
    </row>
    <row r="120" spans="1:1" x14ac:dyDescent="0.35">
      <c r="A120">
        <f>VALUE("2020-01-15 12:30:45")</f>
        <v>43845.521354166667</v>
      </c>
    </row>
    <row r="121" spans="1:1" x14ac:dyDescent="0.35">
      <c r="A121">
        <f>VALUE("1/2/2020 12:30 PM")</f>
        <v>43832.520833333336</v>
      </c>
    </row>
    <row r="122" spans="1:1" x14ac:dyDescent="0.35">
      <c r="A122" t="e">
        <f>VALUE("TRUE")</f>
        <v>#VALUE!</v>
      </c>
    </row>
    <row r="123" spans="1:1" x14ac:dyDescent="0.35">
      <c r="A123" t="e">
        <f>VALUE("FALSE")</f>
        <v>#VALUE!</v>
      </c>
    </row>
    <row r="124" spans="1:1" x14ac:dyDescent="0.35">
      <c r="A124" t="e">
        <f>VALUE("")</f>
        <v>#VALUE!</v>
      </c>
    </row>
    <row r="125" spans="1:1" x14ac:dyDescent="0.35">
      <c r="A125" t="e">
        <f>VALUE(" ")</f>
        <v>#VALUE!</v>
      </c>
    </row>
    <row r="126" spans="1:1" x14ac:dyDescent="0.35">
      <c r="A126" t="e">
        <f>VALUE("abc")</f>
        <v>#VALUE!</v>
      </c>
    </row>
    <row r="127" spans="1:1" x14ac:dyDescent="0.35">
      <c r="A127" t="e">
        <f>VALUE("#N/A")</f>
        <v>#VALUE!</v>
      </c>
    </row>
    <row r="128" spans="1:1" x14ac:dyDescent="0.35">
      <c r="A128" t="e">
        <f>VALUE("e")</f>
        <v>#VALUE!</v>
      </c>
    </row>
    <row r="129" spans="1:1" x14ac:dyDescent="0.35">
      <c r="A129" t="e">
        <f>VALUE(".")</f>
        <v>#VALUE!</v>
      </c>
    </row>
    <row r="130" spans="1:1" x14ac:dyDescent="0.35">
      <c r="A130" t="e">
        <f>VALUE("-")</f>
        <v>#VALUE!</v>
      </c>
    </row>
    <row r="131" spans="1:1" x14ac:dyDescent="0.35">
      <c r="A131" t="e">
        <f>VALUE("$")</f>
        <v>#VALUE!</v>
      </c>
    </row>
    <row r="132" spans="1:1" x14ac:dyDescent="0.35">
      <c r="A132" t="e">
        <f>VALUE("%")</f>
        <v>#VALUE!</v>
      </c>
    </row>
    <row r="133" spans="1:1" x14ac:dyDescent="0.35">
      <c r="A133" t="e">
        <f>VALUE("()")</f>
        <v>#VALUE!</v>
      </c>
    </row>
    <row r="134" spans="1:1" x14ac:dyDescent="0.35">
      <c r="A134">
        <f>VALUE("1-1")</f>
        <v>46023</v>
      </c>
    </row>
    <row r="135" spans="1:1" x14ac:dyDescent="0.35">
      <c r="A135" t="e">
        <f>VALUE("1+1")</f>
        <v>#VALUE!</v>
      </c>
    </row>
    <row r="136" spans="1:1" x14ac:dyDescent="0.35">
      <c r="A136">
        <f>VALUE("1.5e3%")</f>
        <v>15</v>
      </c>
    </row>
    <row r="137" spans="1:1" x14ac:dyDescent="0.35">
      <c r="A137">
        <f>VALUE("$1e3")</f>
        <v>1000</v>
      </c>
    </row>
    <row r="138" spans="1:1" x14ac:dyDescent="0.35">
      <c r="A138" t="e">
        <f>VALUE("1,5")</f>
        <v>#VALUE!</v>
      </c>
    </row>
    <row r="139" spans="1:1" x14ac:dyDescent="0.35">
      <c r="A139">
        <f>VALUE("1,234,567")</f>
        <v>1234567</v>
      </c>
    </row>
    <row r="140" spans="1:1" x14ac:dyDescent="0.35">
      <c r="A140" t="e">
        <f>VALUE("12,34")</f>
        <v>#VALUE!</v>
      </c>
    </row>
    <row r="141" spans="1:1" x14ac:dyDescent="0.35">
      <c r="A141" t="e">
        <f>VALUE("1.234,5")</f>
        <v>#VALUE!</v>
      </c>
    </row>
    <row r="142" spans="1:1" x14ac:dyDescent="0.35">
      <c r="A142">
        <f>VALUE("0.5e1")</f>
        <v>5</v>
      </c>
    </row>
    <row r="143" spans="1:1" x14ac:dyDescent="0.35">
      <c r="A143">
        <f>VALUE("5e-1")</f>
        <v>0.5</v>
      </c>
    </row>
    <row r="144" spans="1:1" x14ac:dyDescent="0.35">
      <c r="A144">
        <f>VALUE("2 1/4%")</f>
        <v>2.2499999999999999E-2</v>
      </c>
    </row>
    <row r="145" spans="1:1" x14ac:dyDescent="0.35">
      <c r="A145">
        <f>VALUE("$(5)")</f>
        <v>-5</v>
      </c>
    </row>
    <row r="146" spans="1:1" x14ac:dyDescent="0.35">
      <c r="A146" t="e">
        <f>VALUE("(-$5)")</f>
        <v>#VALUE!</v>
      </c>
    </row>
    <row r="147" spans="1:1" x14ac:dyDescent="0.35">
      <c r="A147">
        <f>VALUE("1:30:00 PM")</f>
        <v>0.5625</v>
      </c>
    </row>
    <row r="148" spans="1:1" x14ac:dyDescent="0.35">
      <c r="A148">
        <f>VALUE("2:00 AM")</f>
        <v>8.3333333333333329E-2</v>
      </c>
    </row>
    <row r="149" spans="1:1" x14ac:dyDescent="0.35">
      <c r="A149">
        <f>VALUE("1/2/2020 25:00")</f>
        <v>43833.041666666664</v>
      </c>
    </row>
    <row r="150" spans="1:1" x14ac:dyDescent="0.35">
      <c r="A150" t="e">
        <f>VALUE("Jan")</f>
        <v>#VALUE!</v>
      </c>
    </row>
    <row r="151" spans="1:1" x14ac:dyDescent="0.35">
      <c r="A151" t="e">
        <f>VALUE("January")</f>
        <v>#VALUE!</v>
      </c>
    </row>
    <row r="152" spans="1:1" x14ac:dyDescent="0.35">
      <c r="A152">
        <f>VALUE("1 Jan")</f>
        <v>46023</v>
      </c>
    </row>
    <row r="153" spans="1:1" x14ac:dyDescent="0.35">
      <c r="A153">
        <f>VALUE("Jan 1")</f>
        <v>46023</v>
      </c>
    </row>
    <row r="154" spans="1:1" x14ac:dyDescent="0.35">
      <c r="A154" t="e">
        <f>VALUE("2020 Jan 1")</f>
        <v>#VALUE!</v>
      </c>
    </row>
    <row r="155" spans="1:1" x14ac:dyDescent="0.35">
      <c r="A155">
        <f>VALUE("1-Jan-2020 1:00")</f>
        <v>43831.041666666664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5E43-865A-40C4-8D81-760A6CDB53A3}">
  <dimension ref="A1:A155"/>
  <sheetViews>
    <sheetView workbookViewId="0"/>
  </sheetViews>
  <sheetFormatPr defaultRowHeight="14.5" x14ac:dyDescent="0.35"/>
  <sheetData>
    <row r="1" spans="1:1" x14ac:dyDescent="0.35">
      <c r="A1" t="e">
        <f>DATEVALUE("1")</f>
        <v>#VALUE!</v>
      </c>
    </row>
    <row r="2" spans="1:1" x14ac:dyDescent="0.35">
      <c r="A2" t="e">
        <f>DATEVALUE("-1")</f>
        <v>#VALUE!</v>
      </c>
    </row>
    <row r="3" spans="1:1" x14ac:dyDescent="0.35">
      <c r="A3" t="e">
        <f>DATEVALUE("+1")</f>
        <v>#VALUE!</v>
      </c>
    </row>
    <row r="4" spans="1:1" x14ac:dyDescent="0.35">
      <c r="A4" t="e">
        <f>DATEVALUE("1.5")</f>
        <v>#VALUE!</v>
      </c>
    </row>
    <row r="5" spans="1:1" x14ac:dyDescent="0.35">
      <c r="A5" t="e">
        <f>DATEVALUE(".5")</f>
        <v>#VALUE!</v>
      </c>
    </row>
    <row r="6" spans="1:1" x14ac:dyDescent="0.35">
      <c r="A6" t="e">
        <f>DATEVALUE("5.")</f>
        <v>#VALUE!</v>
      </c>
    </row>
    <row r="7" spans="1:1" x14ac:dyDescent="0.35">
      <c r="A7" t="e">
        <f>DATEVALUE("1e3")</f>
        <v>#VALUE!</v>
      </c>
    </row>
    <row r="8" spans="1:1" x14ac:dyDescent="0.35">
      <c r="A8" t="e">
        <f>DATEVALUE("1E3")</f>
        <v>#VALUE!</v>
      </c>
    </row>
    <row r="9" spans="1:1" x14ac:dyDescent="0.35">
      <c r="A9" t="e">
        <f>DATEVALUE("1e+3")</f>
        <v>#VALUE!</v>
      </c>
    </row>
    <row r="10" spans="1:1" x14ac:dyDescent="0.35">
      <c r="A10" t="e">
        <f>DATEVALUE("1e-3")</f>
        <v>#VALUE!</v>
      </c>
    </row>
    <row r="11" spans="1:1" x14ac:dyDescent="0.35">
      <c r="A11" t="e">
        <f>DATEVALUE("1E")</f>
        <v>#VALUE!</v>
      </c>
    </row>
    <row r="12" spans="1:1" x14ac:dyDescent="0.35">
      <c r="A12" t="e">
        <f>DATEVALUE("e3")</f>
        <v>#VALUE!</v>
      </c>
    </row>
    <row r="13" spans="1:1" x14ac:dyDescent="0.35">
      <c r="A13" t="e">
        <f>DATEVALUE("1.5.2")</f>
        <v>#VALUE!</v>
      </c>
    </row>
    <row r="14" spans="1:1" x14ac:dyDescent="0.35">
      <c r="A14" t="e">
        <f>DATEVALUE("1,000")</f>
        <v>#VALUE!</v>
      </c>
    </row>
    <row r="15" spans="1:1" x14ac:dyDescent="0.35">
      <c r="A15" t="e">
        <f>DATEVALUE("1,000.5")</f>
        <v>#VALUE!</v>
      </c>
    </row>
    <row r="16" spans="1:1" x14ac:dyDescent="0.35">
      <c r="A16" t="e">
        <f>DATEVALUE("1,00")</f>
        <v>#VALUE!</v>
      </c>
    </row>
    <row r="17" spans="1:1" x14ac:dyDescent="0.35">
      <c r="A17" t="e">
        <f>DATEVALUE("10,00,000")</f>
        <v>#VALUE!</v>
      </c>
    </row>
    <row r="18" spans="1:1" x14ac:dyDescent="0.35">
      <c r="A18" t="e">
        <f>DATEVALUE(",100")</f>
        <v>#VALUE!</v>
      </c>
    </row>
    <row r="19" spans="1:1" x14ac:dyDescent="0.35">
      <c r="A19" t="e">
        <f>DATEVALUE("100,")</f>
        <v>#VALUE!</v>
      </c>
    </row>
    <row r="20" spans="1:1" x14ac:dyDescent="0.35">
      <c r="A20" t="e">
        <f>DATEVALUE("1 000")</f>
        <v>#VALUE!</v>
      </c>
    </row>
    <row r="21" spans="1:1" x14ac:dyDescent="0.35">
      <c r="A21" t="e">
        <f>DATEVALUE(" 1")</f>
        <v>#VALUE!</v>
      </c>
    </row>
    <row r="22" spans="1:1" x14ac:dyDescent="0.35">
      <c r="A22" t="e">
        <f>DATEVALUE("1 ")</f>
        <v>#VALUE!</v>
      </c>
    </row>
    <row r="23" spans="1:1" x14ac:dyDescent="0.35">
      <c r="A23" t="e">
        <f>DATEVALUE("01")</f>
        <v>#VALUE!</v>
      </c>
    </row>
    <row r="24" spans="1:1" x14ac:dyDescent="0.35">
      <c r="A24" t="e">
        <f>DATEVALUE("00.5")</f>
        <v>#VALUE!</v>
      </c>
    </row>
    <row r="25" spans="1:1" x14ac:dyDescent="0.35">
      <c r="A25" t="e">
        <f>DATEVALUE("1_000")</f>
        <v>#VALUE!</v>
      </c>
    </row>
    <row r="26" spans="1:1" x14ac:dyDescent="0.35">
      <c r="A26" t="e">
        <f>DATEVALUE("0x1F")</f>
        <v>#VALUE!</v>
      </c>
    </row>
    <row r="27" spans="1:1" x14ac:dyDescent="0.35">
      <c r="A27" t="e">
        <f>DATEVALUE("&amp;H1F")</f>
        <v>#VALUE!</v>
      </c>
    </row>
    <row r="28" spans="1:1" x14ac:dyDescent="0.35">
      <c r="A28" t="e">
        <f>DATEVALUE("1d2")</f>
        <v>#VALUE!</v>
      </c>
    </row>
    <row r="29" spans="1:1" x14ac:dyDescent="0.35">
      <c r="A29" t="e">
        <f>DATEVALUE("Infinity")</f>
        <v>#VALUE!</v>
      </c>
    </row>
    <row r="30" spans="1:1" x14ac:dyDescent="0.35">
      <c r="A30" t="e">
        <f>DATEVALUE("NaN")</f>
        <v>#VALUE!</v>
      </c>
    </row>
    <row r="31" spans="1:1" x14ac:dyDescent="0.35">
      <c r="A31" t="e">
        <f>DATEVALUE("1e308")</f>
        <v>#VALUE!</v>
      </c>
    </row>
    <row r="32" spans="1:1" x14ac:dyDescent="0.35">
      <c r="A32" t="e">
        <f>DATEVALUE("1e309")</f>
        <v>#VALUE!</v>
      </c>
    </row>
    <row r="33" spans="1:1" x14ac:dyDescent="0.35">
      <c r="A33" t="e">
        <f>DATEVALUE("-0")</f>
        <v>#VALUE!</v>
      </c>
    </row>
    <row r="34" spans="1:1" x14ac:dyDescent="0.35">
      <c r="A34" t="e">
        <f>DATEVALUE("1e-400")</f>
        <v>#VALUE!</v>
      </c>
    </row>
    <row r="35" spans="1:1" x14ac:dyDescent="0.35">
      <c r="A35" t="e">
        <f>DATEVALUE("50%")</f>
        <v>#VALUE!</v>
      </c>
    </row>
    <row r="36" spans="1:1" x14ac:dyDescent="0.35">
      <c r="A36" t="e">
        <f>DATEVALUE("%50")</f>
        <v>#VALUE!</v>
      </c>
    </row>
    <row r="37" spans="1:1" x14ac:dyDescent="0.35">
      <c r="A37" t="e">
        <f>DATEVALUE("50 %")</f>
        <v>#VALUE!</v>
      </c>
    </row>
    <row r="38" spans="1:1" x14ac:dyDescent="0.35">
      <c r="A38" t="e">
        <f>DATEVALUE("5%%")</f>
        <v>#VALUE!</v>
      </c>
    </row>
    <row r="39" spans="1:1" x14ac:dyDescent="0.35">
      <c r="A39" t="e">
        <f>DATEVALUE("-50%")</f>
        <v>#VALUE!</v>
      </c>
    </row>
    <row r="40" spans="1:1" x14ac:dyDescent="0.35">
      <c r="A40" t="e">
        <f>DATEVALUE("1.5%")</f>
        <v>#VALUE!</v>
      </c>
    </row>
    <row r="41" spans="1:1" x14ac:dyDescent="0.35">
      <c r="A41" t="e">
        <f>DATEVALUE("1e2%")</f>
        <v>#VALUE!</v>
      </c>
    </row>
    <row r="42" spans="1:1" x14ac:dyDescent="0.35">
      <c r="A42" t="e">
        <f>DATEVALUE("(50%)")</f>
        <v>#VALUE!</v>
      </c>
    </row>
    <row r="43" spans="1:1" x14ac:dyDescent="0.35">
      <c r="A43" t="e">
        <f>DATEVALUE("$5")</f>
        <v>#VALUE!</v>
      </c>
    </row>
    <row r="44" spans="1:1" x14ac:dyDescent="0.35">
      <c r="A44" t="e">
        <f>DATEVALUE("-$5")</f>
        <v>#VALUE!</v>
      </c>
    </row>
    <row r="45" spans="1:1" x14ac:dyDescent="0.35">
      <c r="A45" t="e">
        <f>DATEVALUE("$-5")</f>
        <v>#VALUE!</v>
      </c>
    </row>
    <row r="46" spans="1:1" x14ac:dyDescent="0.35">
      <c r="A46" t="e">
        <f>DATEVALUE("($5)")</f>
        <v>#VALUE!</v>
      </c>
    </row>
    <row r="47" spans="1:1" x14ac:dyDescent="0.35">
      <c r="A47" t="e">
        <f>DATEVALUE("$ 5")</f>
        <v>#VALUE!</v>
      </c>
    </row>
    <row r="48" spans="1:1" x14ac:dyDescent="0.35">
      <c r="A48" t="e">
        <f>DATEVALUE("5$")</f>
        <v>#VALUE!</v>
      </c>
    </row>
    <row r="49" spans="1:1" x14ac:dyDescent="0.35">
      <c r="A49" t="e">
        <f>DATEVALUE("€5")</f>
        <v>#VALUE!</v>
      </c>
    </row>
    <row r="50" spans="1:1" x14ac:dyDescent="0.35">
      <c r="A50" t="e">
        <f>DATEVALUE("£5")</f>
        <v>#VALUE!</v>
      </c>
    </row>
    <row r="51" spans="1:1" x14ac:dyDescent="0.35">
      <c r="A51" t="e">
        <f>DATEVALUE("$1,000.50")</f>
        <v>#VALUE!</v>
      </c>
    </row>
    <row r="52" spans="1:1" x14ac:dyDescent="0.35">
      <c r="A52" t="e">
        <f>DATEVALUE("USD5")</f>
        <v>#VALUE!</v>
      </c>
    </row>
    <row r="53" spans="1:1" x14ac:dyDescent="0.35">
      <c r="A53" t="e">
        <f>DATEVALUE("(5)")</f>
        <v>#VALUE!</v>
      </c>
    </row>
    <row r="54" spans="1:1" x14ac:dyDescent="0.35">
      <c r="A54" t="e">
        <f>DATEVALUE("(-5)")</f>
        <v>#VALUE!</v>
      </c>
    </row>
    <row r="55" spans="1:1" x14ac:dyDescent="0.35">
      <c r="A55" t="e">
        <f>DATEVALUE("-(5)")</f>
        <v>#VALUE!</v>
      </c>
    </row>
    <row r="56" spans="1:1" x14ac:dyDescent="0.35">
      <c r="A56" t="e">
        <f>DATEVALUE("( 5 )")</f>
        <v>#VALUE!</v>
      </c>
    </row>
    <row r="57" spans="1:1" x14ac:dyDescent="0.35">
      <c r="A57" t="e">
        <f>DATEVALUE("(5")</f>
        <v>#VALUE!</v>
      </c>
    </row>
    <row r="58" spans="1:1" x14ac:dyDescent="0.35">
      <c r="A58" t="e">
        <f>DATEVALUE("5)")</f>
        <v>#VALUE!</v>
      </c>
    </row>
    <row r="59" spans="1:1" x14ac:dyDescent="0.35">
      <c r="A59" t="e">
        <f>DATEVALUE("5-")</f>
        <v>#VALUE!</v>
      </c>
    </row>
    <row r="60" spans="1:1" x14ac:dyDescent="0.35">
      <c r="A60" t="e">
        <f>DATEVALUE("5+")</f>
        <v>#VALUE!</v>
      </c>
    </row>
    <row r="61" spans="1:1" x14ac:dyDescent="0.35">
      <c r="A61" t="e">
        <f>DATEVALUE("--5")</f>
        <v>#VALUE!</v>
      </c>
    </row>
    <row r="62" spans="1:1" x14ac:dyDescent="0.35">
      <c r="A62" t="e">
        <f>DATEVALUE("+-5")</f>
        <v>#VALUE!</v>
      </c>
    </row>
    <row r="63" spans="1:1" x14ac:dyDescent="0.35">
      <c r="A63" t="e">
        <f>DATEVALUE("- 5")</f>
        <v>#VALUE!</v>
      </c>
    </row>
    <row r="64" spans="1:1" x14ac:dyDescent="0.35">
      <c r="A64">
        <f>DATEVALUE("1/2")</f>
        <v>46024</v>
      </c>
    </row>
    <row r="65" spans="1:1" x14ac:dyDescent="0.35">
      <c r="A65" t="e">
        <f>DATEVALUE("0 1/2")</f>
        <v>#VALUE!</v>
      </c>
    </row>
    <row r="66" spans="1:1" x14ac:dyDescent="0.35">
      <c r="A66" t="e">
        <f>DATEVALUE("1 1/2")</f>
        <v>#VALUE!</v>
      </c>
    </row>
    <row r="67" spans="1:1" x14ac:dyDescent="0.35">
      <c r="A67" t="e">
        <f>DATEVALUE("1 1/3")</f>
        <v>#VALUE!</v>
      </c>
    </row>
    <row r="68" spans="1:1" x14ac:dyDescent="0.35">
      <c r="A68" t="e">
        <f>DATEVALUE("-1 1/2")</f>
        <v>#VALUE!</v>
      </c>
    </row>
    <row r="69" spans="1:1" x14ac:dyDescent="0.35">
      <c r="A69" t="e">
        <f>DATEVALUE("1 1/2/3")</f>
        <v>#VALUE!</v>
      </c>
    </row>
    <row r="70" spans="1:1" x14ac:dyDescent="0.35">
      <c r="A70" t="e">
        <f>DATEVALUE("1 3/2")</f>
        <v>#VALUE!</v>
      </c>
    </row>
    <row r="71" spans="1:1" x14ac:dyDescent="0.35">
      <c r="A71">
        <f>DATEVALUE("3/2")</f>
        <v>46083</v>
      </c>
    </row>
    <row r="72" spans="1:1" x14ac:dyDescent="0.35">
      <c r="A72" t="e">
        <f>DATEVALUE(" 1 1/2 ")</f>
        <v>#VALUE!</v>
      </c>
    </row>
    <row r="73" spans="1:1" x14ac:dyDescent="0.35">
      <c r="A73" t="e">
        <f>DATEVALUE("1  1/2")</f>
        <v>#VALUE!</v>
      </c>
    </row>
    <row r="74" spans="1:1" x14ac:dyDescent="0.35">
      <c r="A74">
        <f>DATEVALUE("1/2/2020")</f>
        <v>43832</v>
      </c>
    </row>
    <row r="75" spans="1:1" x14ac:dyDescent="0.35">
      <c r="A75">
        <f>DATEVALUE("1/2/20")</f>
        <v>43832</v>
      </c>
    </row>
    <row r="76" spans="1:1" x14ac:dyDescent="0.35">
      <c r="A76">
        <f>DATEVALUE("2020-01-15")</f>
        <v>43845</v>
      </c>
    </row>
    <row r="77" spans="1:1" x14ac:dyDescent="0.35">
      <c r="A77">
        <f>DATEVALUE("2020/01/15")</f>
        <v>43845</v>
      </c>
    </row>
    <row r="78" spans="1:1" x14ac:dyDescent="0.35">
      <c r="A78">
        <f>DATEVALUE("15-Jan-2020")</f>
        <v>43845</v>
      </c>
    </row>
    <row r="79" spans="1:1" x14ac:dyDescent="0.35">
      <c r="A79">
        <f>DATEVALUE("15 Jan 2020")</f>
        <v>43845</v>
      </c>
    </row>
    <row r="80" spans="1:1" x14ac:dyDescent="0.35">
      <c r="A80">
        <f>DATEVALUE("Jan 15, 2020")</f>
        <v>43845</v>
      </c>
    </row>
    <row r="81" spans="1:1" x14ac:dyDescent="0.35">
      <c r="A81">
        <f>DATEVALUE("January 15, 2020")</f>
        <v>43845</v>
      </c>
    </row>
    <row r="82" spans="1:1" x14ac:dyDescent="0.35">
      <c r="A82">
        <f>DATEVALUE("Jan 2020")</f>
        <v>43831</v>
      </c>
    </row>
    <row r="83" spans="1:1" x14ac:dyDescent="0.35">
      <c r="A83">
        <f>DATEVALUE("Jan-20")</f>
        <v>46042</v>
      </c>
    </row>
    <row r="84" spans="1:1" x14ac:dyDescent="0.35">
      <c r="A84">
        <f>DATEVALUE("15-Jan")</f>
        <v>46037</v>
      </c>
    </row>
    <row r="85" spans="1:1" x14ac:dyDescent="0.35">
      <c r="A85">
        <f>DATEVALUE("1/15")</f>
        <v>46037</v>
      </c>
    </row>
    <row r="86" spans="1:1" x14ac:dyDescent="0.35">
      <c r="A86" t="e">
        <f>DATEVALUE("13/1/2020")</f>
        <v>#VALUE!</v>
      </c>
    </row>
    <row r="87" spans="1:1" x14ac:dyDescent="0.35">
      <c r="A87" t="e">
        <f>DATEVALUE("2/29/2021")</f>
        <v>#VALUE!</v>
      </c>
    </row>
    <row r="88" spans="1:1" x14ac:dyDescent="0.35">
      <c r="A88">
        <f>DATEVALUE("2/29/2020")</f>
        <v>43890</v>
      </c>
    </row>
    <row r="89" spans="1:1" x14ac:dyDescent="0.35">
      <c r="A89">
        <f>DATEVALUE("1/1/1900")</f>
        <v>1</v>
      </c>
    </row>
    <row r="90" spans="1:1" x14ac:dyDescent="0.35">
      <c r="A90" t="e">
        <f>DATEVALUE("12/31/1899")</f>
        <v>#VALUE!</v>
      </c>
    </row>
    <row r="91" spans="1:1" x14ac:dyDescent="0.35">
      <c r="A91">
        <f>DATEVALUE("1/1/9999")</f>
        <v>2958101</v>
      </c>
    </row>
    <row r="92" spans="1:1" x14ac:dyDescent="0.35">
      <c r="A92" t="e">
        <f>DATEVALUE("1/1/10000")</f>
        <v>#VALUE!</v>
      </c>
    </row>
    <row r="93" spans="1:1" x14ac:dyDescent="0.35">
      <c r="A93">
        <f>DATEVALUE("1/1/0")</f>
        <v>36526</v>
      </c>
    </row>
    <row r="94" spans="1:1" x14ac:dyDescent="0.35">
      <c r="A94">
        <f>DATEVALUE("1/1/29")</f>
        <v>47119</v>
      </c>
    </row>
    <row r="95" spans="1:1" x14ac:dyDescent="0.35">
      <c r="A95">
        <f>DATEVALUE("1/1/30")</f>
        <v>10959</v>
      </c>
    </row>
    <row r="96" spans="1:1" x14ac:dyDescent="0.35">
      <c r="A96" t="e">
        <f>DATEVALUE("Monday, January 15, 2020")</f>
        <v>#VALUE!</v>
      </c>
    </row>
    <row r="97" spans="1:1" x14ac:dyDescent="0.35">
      <c r="A97">
        <f>DATEVALUE("2020-1-15")</f>
        <v>43845</v>
      </c>
    </row>
    <row r="98" spans="1:1" x14ac:dyDescent="0.35">
      <c r="A98" t="e">
        <f>DATEVALUE("15.1.2020")</f>
        <v>#VALUE!</v>
      </c>
    </row>
    <row r="99" spans="1:1" x14ac:dyDescent="0.35">
      <c r="A99">
        <f>DATEVALUE("1-15-2020")</f>
        <v>43845</v>
      </c>
    </row>
    <row r="100" spans="1:1" x14ac:dyDescent="0.35">
      <c r="A100" t="e">
        <f>DATEVALUE("20200115")</f>
        <v>#VALUE!</v>
      </c>
    </row>
    <row r="101" spans="1:1" x14ac:dyDescent="0.35">
      <c r="A101">
        <f>DATEVALUE("12:30")</f>
        <v>0</v>
      </c>
    </row>
    <row r="102" spans="1:1" x14ac:dyDescent="0.35">
      <c r="A102">
        <f>DATEVALUE("12:30:45")</f>
        <v>0</v>
      </c>
    </row>
    <row r="103" spans="1:1" x14ac:dyDescent="0.35">
      <c r="A103">
        <f>DATEVALUE("12:30:45.5")</f>
        <v>0</v>
      </c>
    </row>
    <row r="104" spans="1:1" x14ac:dyDescent="0.35">
      <c r="A104">
        <f>DATEVALUE("12:30 PM")</f>
        <v>0</v>
      </c>
    </row>
    <row r="105" spans="1:1" x14ac:dyDescent="0.35">
      <c r="A105">
        <f>DATEVALUE("12:30 AM")</f>
        <v>0</v>
      </c>
    </row>
    <row r="106" spans="1:1" x14ac:dyDescent="0.35">
      <c r="A106" t="e">
        <f>DATEVALUE("12:30PM")</f>
        <v>#VALUE!</v>
      </c>
    </row>
    <row r="107" spans="1:1" x14ac:dyDescent="0.35">
      <c r="A107">
        <f>DATEVALUE("0:00")</f>
        <v>0</v>
      </c>
    </row>
    <row r="108" spans="1:1" x14ac:dyDescent="0.35">
      <c r="A108">
        <f>DATEVALUE("24:00")</f>
        <v>1</v>
      </c>
    </row>
    <row r="109" spans="1:1" x14ac:dyDescent="0.35">
      <c r="A109">
        <f>DATEVALUE("25:00")</f>
        <v>1</v>
      </c>
    </row>
    <row r="110" spans="1:1" x14ac:dyDescent="0.35">
      <c r="A110">
        <f>DATEVALUE("12:60")</f>
        <v>0</v>
      </c>
    </row>
    <row r="111" spans="1:1" x14ac:dyDescent="0.35">
      <c r="A111">
        <f>DATEVALUE("1:2:3")</f>
        <v>0</v>
      </c>
    </row>
    <row r="112" spans="1:1" x14ac:dyDescent="0.35">
      <c r="A112">
        <f>DATEVALUE("12:30:45 PM")</f>
        <v>0</v>
      </c>
    </row>
    <row r="113" spans="1:1" x14ac:dyDescent="0.35">
      <c r="A113">
        <f>DATEVALUE("12 PM")</f>
        <v>0</v>
      </c>
    </row>
    <row r="114" spans="1:1" x14ac:dyDescent="0.35">
      <c r="A114" t="e">
        <f>DATEVALUE("12pm")</f>
        <v>#VALUE!</v>
      </c>
    </row>
    <row r="115" spans="1:1" x14ac:dyDescent="0.35">
      <c r="A115">
        <f>DATEVALUE("1:30 a")</f>
        <v>0</v>
      </c>
    </row>
    <row r="116" spans="1:1" x14ac:dyDescent="0.35">
      <c r="A116">
        <f>DATEVALUE("12:30:45.123")</f>
        <v>0</v>
      </c>
    </row>
    <row r="117" spans="1:1" x14ac:dyDescent="0.35">
      <c r="A117">
        <f>DATEVALUE("100:00")</f>
        <v>4</v>
      </c>
    </row>
    <row r="118" spans="1:1" x14ac:dyDescent="0.35">
      <c r="A118">
        <f>DATEVALUE("9999:00")</f>
        <v>416</v>
      </c>
    </row>
    <row r="119" spans="1:1" x14ac:dyDescent="0.35">
      <c r="A119">
        <f>DATEVALUE("1/2/2020 12:30")</f>
        <v>43832</v>
      </c>
    </row>
    <row r="120" spans="1:1" x14ac:dyDescent="0.35">
      <c r="A120">
        <f>DATEVALUE("2020-01-15 12:30:45")</f>
        <v>43845</v>
      </c>
    </row>
    <row r="121" spans="1:1" x14ac:dyDescent="0.35">
      <c r="A121">
        <f>DATEVALUE("1/2/2020 12:30 PM")</f>
        <v>43832</v>
      </c>
    </row>
    <row r="122" spans="1:1" x14ac:dyDescent="0.35">
      <c r="A122" t="e">
        <f>DATEVALUE("TRUE")</f>
        <v>#VALUE!</v>
      </c>
    </row>
    <row r="123" spans="1:1" x14ac:dyDescent="0.35">
      <c r="A123" t="e">
        <f>DATEVALUE("FALSE")</f>
        <v>#VALUE!</v>
      </c>
    </row>
    <row r="124" spans="1:1" x14ac:dyDescent="0.35">
      <c r="A124" t="e">
        <f>DATEVALUE("")</f>
        <v>#VALUE!</v>
      </c>
    </row>
    <row r="125" spans="1:1" x14ac:dyDescent="0.35">
      <c r="A125" t="e">
        <f>DATEVALUE(" ")</f>
        <v>#VALUE!</v>
      </c>
    </row>
    <row r="126" spans="1:1" x14ac:dyDescent="0.35">
      <c r="A126" t="e">
        <f>DATEVALUE("abc")</f>
        <v>#VALUE!</v>
      </c>
    </row>
    <row r="127" spans="1:1" x14ac:dyDescent="0.35">
      <c r="A127" t="e">
        <f>DATEVALUE("#N/A")</f>
        <v>#VALUE!</v>
      </c>
    </row>
    <row r="128" spans="1:1" x14ac:dyDescent="0.35">
      <c r="A128" t="e">
        <f>DATEVALUE("e")</f>
        <v>#VALUE!</v>
      </c>
    </row>
    <row r="129" spans="1:1" x14ac:dyDescent="0.35">
      <c r="A129" t="e">
        <f>DATEVALUE(".")</f>
        <v>#VALUE!</v>
      </c>
    </row>
    <row r="130" spans="1:1" x14ac:dyDescent="0.35">
      <c r="A130" t="e">
        <f>DATEVALUE("-")</f>
        <v>#VALUE!</v>
      </c>
    </row>
    <row r="131" spans="1:1" x14ac:dyDescent="0.35">
      <c r="A131" t="e">
        <f>DATEVALUE("$")</f>
        <v>#VALUE!</v>
      </c>
    </row>
    <row r="132" spans="1:1" x14ac:dyDescent="0.35">
      <c r="A132" t="e">
        <f>DATEVALUE("%")</f>
        <v>#VALUE!</v>
      </c>
    </row>
    <row r="133" spans="1:1" x14ac:dyDescent="0.35">
      <c r="A133" t="e">
        <f>DATEVALUE("()")</f>
        <v>#VALUE!</v>
      </c>
    </row>
    <row r="134" spans="1:1" x14ac:dyDescent="0.35">
      <c r="A134">
        <f>DATEVALUE("1-1")</f>
        <v>46023</v>
      </c>
    </row>
    <row r="135" spans="1:1" x14ac:dyDescent="0.35">
      <c r="A135" t="e">
        <f>DATEVALUE("1+1")</f>
        <v>#VALUE!</v>
      </c>
    </row>
    <row r="136" spans="1:1" x14ac:dyDescent="0.35">
      <c r="A136" t="e">
        <f>DATEVALUE("1.5e3%")</f>
        <v>#VALUE!</v>
      </c>
    </row>
    <row r="137" spans="1:1" x14ac:dyDescent="0.35">
      <c r="A137" t="e">
        <f>DATEVALUE("$1e3")</f>
        <v>#VALUE!</v>
      </c>
    </row>
    <row r="138" spans="1:1" x14ac:dyDescent="0.35">
      <c r="A138" t="e">
        <f>DATEVALUE("1,5")</f>
        <v>#VALUE!</v>
      </c>
    </row>
    <row r="139" spans="1:1" x14ac:dyDescent="0.35">
      <c r="A139" t="e">
        <f>DATEVALUE("1,234,567")</f>
        <v>#VALUE!</v>
      </c>
    </row>
    <row r="140" spans="1:1" x14ac:dyDescent="0.35">
      <c r="A140" t="e">
        <f>DATEVALUE("12,34")</f>
        <v>#VALUE!</v>
      </c>
    </row>
    <row r="141" spans="1:1" x14ac:dyDescent="0.35">
      <c r="A141" t="e">
        <f>DATEVALUE("1.234,5")</f>
        <v>#VALUE!</v>
      </c>
    </row>
    <row r="142" spans="1:1" x14ac:dyDescent="0.35">
      <c r="A142" t="e">
        <f>DATEVALUE("0.5e1")</f>
        <v>#VALUE!</v>
      </c>
    </row>
    <row r="143" spans="1:1" x14ac:dyDescent="0.35">
      <c r="A143" t="e">
        <f>DATEVALUE("5e-1")</f>
        <v>#VALUE!</v>
      </c>
    </row>
    <row r="144" spans="1:1" x14ac:dyDescent="0.35">
      <c r="A144" t="e">
        <f>DATEVALUE("2 1/4%")</f>
        <v>#VALUE!</v>
      </c>
    </row>
    <row r="145" spans="1:1" x14ac:dyDescent="0.35">
      <c r="A145" t="e">
        <f>DATEVALUE("$(5)")</f>
        <v>#VALUE!</v>
      </c>
    </row>
    <row r="146" spans="1:1" x14ac:dyDescent="0.35">
      <c r="A146" t="e">
        <f>DATEVALUE("(-$5)")</f>
        <v>#VALUE!</v>
      </c>
    </row>
    <row r="147" spans="1:1" x14ac:dyDescent="0.35">
      <c r="A147">
        <f>DATEVALUE("1:30:00 PM")</f>
        <v>0</v>
      </c>
    </row>
    <row r="148" spans="1:1" x14ac:dyDescent="0.35">
      <c r="A148">
        <f>DATEVALUE("2:00 AM")</f>
        <v>0</v>
      </c>
    </row>
    <row r="149" spans="1:1" x14ac:dyDescent="0.35">
      <c r="A149">
        <f>DATEVALUE("1/2/2020 25:00")</f>
        <v>43833</v>
      </c>
    </row>
    <row r="150" spans="1:1" x14ac:dyDescent="0.35">
      <c r="A150" t="e">
        <f>DATEVALUE("Jan")</f>
        <v>#VALUE!</v>
      </c>
    </row>
    <row r="151" spans="1:1" x14ac:dyDescent="0.35">
      <c r="A151" t="e">
        <f>DATEVALUE("January")</f>
        <v>#VALUE!</v>
      </c>
    </row>
    <row r="152" spans="1:1" x14ac:dyDescent="0.35">
      <c r="A152">
        <f>DATEVALUE("1 Jan")</f>
        <v>46023</v>
      </c>
    </row>
    <row r="153" spans="1:1" x14ac:dyDescent="0.35">
      <c r="A153">
        <f>DATEVALUE("Jan 1")</f>
        <v>46023</v>
      </c>
    </row>
    <row r="154" spans="1:1" x14ac:dyDescent="0.35">
      <c r="A154" t="e">
        <f>DATEVALUE("2020 Jan 1")</f>
        <v>#VALUE!</v>
      </c>
    </row>
    <row r="155" spans="1:1" x14ac:dyDescent="0.35">
      <c r="A155">
        <f>DATEVALUE("1-Jan-2020 1:00")</f>
        <v>43831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560E-5A0B-4324-991B-5DEB4934FC37}">
  <dimension ref="A1:A155"/>
  <sheetViews>
    <sheetView workbookViewId="0"/>
  </sheetViews>
  <sheetFormatPr defaultRowHeight="14.5" x14ac:dyDescent="0.35"/>
  <sheetData>
    <row r="1" spans="1:1" x14ac:dyDescent="0.35">
      <c r="A1" t="e">
        <f>TIMEVALUE("1")</f>
        <v>#VALUE!</v>
      </c>
    </row>
    <row r="2" spans="1:1" x14ac:dyDescent="0.35">
      <c r="A2" t="e">
        <f>TIMEVALUE("-1")</f>
        <v>#VALUE!</v>
      </c>
    </row>
    <row r="3" spans="1:1" x14ac:dyDescent="0.35">
      <c r="A3" t="e">
        <f>TIMEVALUE("+1")</f>
        <v>#VALUE!</v>
      </c>
    </row>
    <row r="4" spans="1:1" x14ac:dyDescent="0.35">
      <c r="A4" t="e">
        <f>TIMEVALUE("1.5")</f>
        <v>#VALUE!</v>
      </c>
    </row>
    <row r="5" spans="1:1" x14ac:dyDescent="0.35">
      <c r="A5" t="e">
        <f>TIMEVALUE(".5")</f>
        <v>#VALUE!</v>
      </c>
    </row>
    <row r="6" spans="1:1" x14ac:dyDescent="0.35">
      <c r="A6" t="e">
        <f>TIMEVALUE("5.")</f>
        <v>#VALUE!</v>
      </c>
    </row>
    <row r="7" spans="1:1" x14ac:dyDescent="0.35">
      <c r="A7" t="e">
        <f>TIMEVALUE("1e3")</f>
        <v>#VALUE!</v>
      </c>
    </row>
    <row r="8" spans="1:1" x14ac:dyDescent="0.35">
      <c r="A8" t="e">
        <f>TIMEVALUE("1E3")</f>
        <v>#VALUE!</v>
      </c>
    </row>
    <row r="9" spans="1:1" x14ac:dyDescent="0.35">
      <c r="A9" t="e">
        <f>TIMEVALUE("1e+3")</f>
        <v>#VALUE!</v>
      </c>
    </row>
    <row r="10" spans="1:1" x14ac:dyDescent="0.35">
      <c r="A10" t="e">
        <f>TIMEVALUE("1e-3")</f>
        <v>#VALUE!</v>
      </c>
    </row>
    <row r="11" spans="1:1" x14ac:dyDescent="0.35">
      <c r="A11" t="e">
        <f>TIMEVALUE("1E")</f>
        <v>#VALUE!</v>
      </c>
    </row>
    <row r="12" spans="1:1" x14ac:dyDescent="0.35">
      <c r="A12" t="e">
        <f>TIMEVALUE("e3")</f>
        <v>#VALUE!</v>
      </c>
    </row>
    <row r="13" spans="1:1" x14ac:dyDescent="0.35">
      <c r="A13" t="e">
        <f>TIMEVALUE("1.5.2")</f>
        <v>#VALUE!</v>
      </c>
    </row>
    <row r="14" spans="1:1" x14ac:dyDescent="0.35">
      <c r="A14" t="e">
        <f>TIMEVALUE("1,000")</f>
        <v>#VALUE!</v>
      </c>
    </row>
    <row r="15" spans="1:1" x14ac:dyDescent="0.35">
      <c r="A15" t="e">
        <f>TIMEVALUE("1,000.5")</f>
        <v>#VALUE!</v>
      </c>
    </row>
    <row r="16" spans="1:1" x14ac:dyDescent="0.35">
      <c r="A16" t="e">
        <f>TIMEVALUE("1,00")</f>
        <v>#VALUE!</v>
      </c>
    </row>
    <row r="17" spans="1:1" x14ac:dyDescent="0.35">
      <c r="A17" t="e">
        <f>TIMEVALUE("10,00,000")</f>
        <v>#VALUE!</v>
      </c>
    </row>
    <row r="18" spans="1:1" x14ac:dyDescent="0.35">
      <c r="A18" t="e">
        <f>TIMEVALUE(",100")</f>
        <v>#VALUE!</v>
      </c>
    </row>
    <row r="19" spans="1:1" x14ac:dyDescent="0.35">
      <c r="A19" t="e">
        <f>TIMEVALUE("100,")</f>
        <v>#VALUE!</v>
      </c>
    </row>
    <row r="20" spans="1:1" x14ac:dyDescent="0.35">
      <c r="A20" t="e">
        <f>TIMEVALUE("1 000")</f>
        <v>#VALUE!</v>
      </c>
    </row>
    <row r="21" spans="1:1" x14ac:dyDescent="0.35">
      <c r="A21" t="e">
        <f>TIMEVALUE(" 1")</f>
        <v>#VALUE!</v>
      </c>
    </row>
    <row r="22" spans="1:1" x14ac:dyDescent="0.35">
      <c r="A22" t="e">
        <f>TIMEVALUE("1 ")</f>
        <v>#VALUE!</v>
      </c>
    </row>
    <row r="23" spans="1:1" x14ac:dyDescent="0.35">
      <c r="A23" t="e">
        <f>TIMEVALUE("01")</f>
        <v>#VALUE!</v>
      </c>
    </row>
    <row r="24" spans="1:1" x14ac:dyDescent="0.35">
      <c r="A24" t="e">
        <f>TIMEVALUE("00.5")</f>
        <v>#VALUE!</v>
      </c>
    </row>
    <row r="25" spans="1:1" x14ac:dyDescent="0.35">
      <c r="A25" t="e">
        <f>TIMEVALUE("1_000")</f>
        <v>#VALUE!</v>
      </c>
    </row>
    <row r="26" spans="1:1" x14ac:dyDescent="0.35">
      <c r="A26" t="e">
        <f>TIMEVALUE("0x1F")</f>
        <v>#VALUE!</v>
      </c>
    </row>
    <row r="27" spans="1:1" x14ac:dyDescent="0.35">
      <c r="A27" t="e">
        <f>TIMEVALUE("&amp;H1F")</f>
        <v>#VALUE!</v>
      </c>
    </row>
    <row r="28" spans="1:1" x14ac:dyDescent="0.35">
      <c r="A28" t="e">
        <f>TIMEVALUE("1d2")</f>
        <v>#VALUE!</v>
      </c>
    </row>
    <row r="29" spans="1:1" x14ac:dyDescent="0.35">
      <c r="A29" t="e">
        <f>TIMEVALUE("Infinity")</f>
        <v>#VALUE!</v>
      </c>
    </row>
    <row r="30" spans="1:1" x14ac:dyDescent="0.35">
      <c r="A30" t="e">
        <f>TIMEVALUE("NaN")</f>
        <v>#VALUE!</v>
      </c>
    </row>
    <row r="31" spans="1:1" x14ac:dyDescent="0.35">
      <c r="A31" t="e">
        <f>TIMEVALUE("1e308")</f>
        <v>#VALUE!</v>
      </c>
    </row>
    <row r="32" spans="1:1" x14ac:dyDescent="0.35">
      <c r="A32" t="e">
        <f>TIMEVALUE("1e309")</f>
        <v>#VALUE!</v>
      </c>
    </row>
    <row r="33" spans="1:1" x14ac:dyDescent="0.35">
      <c r="A33" t="e">
        <f>TIMEVALUE("-0")</f>
        <v>#VALUE!</v>
      </c>
    </row>
    <row r="34" spans="1:1" x14ac:dyDescent="0.35">
      <c r="A34" t="e">
        <f>TIMEVALUE("1e-400")</f>
        <v>#VALUE!</v>
      </c>
    </row>
    <row r="35" spans="1:1" x14ac:dyDescent="0.35">
      <c r="A35" t="e">
        <f>TIMEVALUE("50%")</f>
        <v>#VALUE!</v>
      </c>
    </row>
    <row r="36" spans="1:1" x14ac:dyDescent="0.35">
      <c r="A36" t="e">
        <f>TIMEVALUE("%50")</f>
        <v>#VALUE!</v>
      </c>
    </row>
    <row r="37" spans="1:1" x14ac:dyDescent="0.35">
      <c r="A37" t="e">
        <f>TIMEVALUE("50 %")</f>
        <v>#VALUE!</v>
      </c>
    </row>
    <row r="38" spans="1:1" x14ac:dyDescent="0.35">
      <c r="A38" t="e">
        <f>TIMEVALUE("5%%")</f>
        <v>#VALUE!</v>
      </c>
    </row>
    <row r="39" spans="1:1" x14ac:dyDescent="0.35">
      <c r="A39" t="e">
        <f>TIMEVALUE("-50%")</f>
        <v>#VALUE!</v>
      </c>
    </row>
    <row r="40" spans="1:1" x14ac:dyDescent="0.35">
      <c r="A40" t="e">
        <f>TIMEVALUE("1.5%")</f>
        <v>#VALUE!</v>
      </c>
    </row>
    <row r="41" spans="1:1" x14ac:dyDescent="0.35">
      <c r="A41" t="e">
        <f>TIMEVALUE("1e2%")</f>
        <v>#VALUE!</v>
      </c>
    </row>
    <row r="42" spans="1:1" x14ac:dyDescent="0.35">
      <c r="A42" t="e">
        <f>TIMEVALUE("(50%)")</f>
        <v>#VALUE!</v>
      </c>
    </row>
    <row r="43" spans="1:1" x14ac:dyDescent="0.35">
      <c r="A43" t="e">
        <f>TIMEVALUE("$5")</f>
        <v>#VALUE!</v>
      </c>
    </row>
    <row r="44" spans="1:1" x14ac:dyDescent="0.35">
      <c r="A44" t="e">
        <f>TIMEVALUE("-$5")</f>
        <v>#VALUE!</v>
      </c>
    </row>
    <row r="45" spans="1:1" x14ac:dyDescent="0.35">
      <c r="A45" t="e">
        <f>TIMEVALUE("$-5")</f>
        <v>#VALUE!</v>
      </c>
    </row>
    <row r="46" spans="1:1" x14ac:dyDescent="0.35">
      <c r="A46" t="e">
        <f>TIMEVALUE("($5)")</f>
        <v>#VALUE!</v>
      </c>
    </row>
    <row r="47" spans="1:1" x14ac:dyDescent="0.35">
      <c r="A47" t="e">
        <f>TIMEVALUE("$ 5")</f>
        <v>#VALUE!</v>
      </c>
    </row>
    <row r="48" spans="1:1" x14ac:dyDescent="0.35">
      <c r="A48" t="e">
        <f>TIMEVALUE("5$")</f>
        <v>#VALUE!</v>
      </c>
    </row>
    <row r="49" spans="1:1" x14ac:dyDescent="0.35">
      <c r="A49" t="e">
        <f>TIMEVALUE("€5")</f>
        <v>#VALUE!</v>
      </c>
    </row>
    <row r="50" spans="1:1" x14ac:dyDescent="0.35">
      <c r="A50" t="e">
        <f>TIMEVALUE("£5")</f>
        <v>#VALUE!</v>
      </c>
    </row>
    <row r="51" spans="1:1" x14ac:dyDescent="0.35">
      <c r="A51" t="e">
        <f>TIMEVALUE("$1,000.50")</f>
        <v>#VALUE!</v>
      </c>
    </row>
    <row r="52" spans="1:1" x14ac:dyDescent="0.35">
      <c r="A52" t="e">
        <f>TIMEVALUE("USD5")</f>
        <v>#VALUE!</v>
      </c>
    </row>
    <row r="53" spans="1:1" x14ac:dyDescent="0.35">
      <c r="A53" t="e">
        <f>TIMEVALUE("(5)")</f>
        <v>#VALUE!</v>
      </c>
    </row>
    <row r="54" spans="1:1" x14ac:dyDescent="0.35">
      <c r="A54" t="e">
        <f>TIMEVALUE("(-5)")</f>
        <v>#VALUE!</v>
      </c>
    </row>
    <row r="55" spans="1:1" x14ac:dyDescent="0.35">
      <c r="A55" t="e">
        <f>TIMEVALUE("-(5)")</f>
        <v>#VALUE!</v>
      </c>
    </row>
    <row r="56" spans="1:1" x14ac:dyDescent="0.35">
      <c r="A56" t="e">
        <f>TIMEVALUE("( 5 )")</f>
        <v>#VALUE!</v>
      </c>
    </row>
    <row r="57" spans="1:1" x14ac:dyDescent="0.35">
      <c r="A57" t="e">
        <f>TIMEVALUE("(5")</f>
        <v>#VALUE!</v>
      </c>
    </row>
    <row r="58" spans="1:1" x14ac:dyDescent="0.35">
      <c r="A58" t="e">
        <f>TIMEVALUE("5)")</f>
        <v>#VALUE!</v>
      </c>
    </row>
    <row r="59" spans="1:1" x14ac:dyDescent="0.35">
      <c r="A59" t="e">
        <f>TIMEVALUE("5-")</f>
        <v>#VALUE!</v>
      </c>
    </row>
    <row r="60" spans="1:1" x14ac:dyDescent="0.35">
      <c r="A60" t="e">
        <f>TIMEVALUE("5+")</f>
        <v>#VALUE!</v>
      </c>
    </row>
    <row r="61" spans="1:1" x14ac:dyDescent="0.35">
      <c r="A61" t="e">
        <f>TIMEVALUE("--5")</f>
        <v>#VALUE!</v>
      </c>
    </row>
    <row r="62" spans="1:1" x14ac:dyDescent="0.35">
      <c r="A62" t="e">
        <f>TIMEVALUE("+-5")</f>
        <v>#VALUE!</v>
      </c>
    </row>
    <row r="63" spans="1:1" x14ac:dyDescent="0.35">
      <c r="A63" t="e">
        <f>TIMEVALUE("- 5")</f>
        <v>#VALUE!</v>
      </c>
    </row>
    <row r="64" spans="1:1" x14ac:dyDescent="0.35">
      <c r="A64">
        <f>TIMEVALUE("1/2")</f>
        <v>0</v>
      </c>
    </row>
    <row r="65" spans="1:1" x14ac:dyDescent="0.35">
      <c r="A65" t="e">
        <f>TIMEVALUE("0 1/2")</f>
        <v>#VALUE!</v>
      </c>
    </row>
    <row r="66" spans="1:1" x14ac:dyDescent="0.35">
      <c r="A66" t="e">
        <f>TIMEVALUE("1 1/2")</f>
        <v>#VALUE!</v>
      </c>
    </row>
    <row r="67" spans="1:1" x14ac:dyDescent="0.35">
      <c r="A67" t="e">
        <f>TIMEVALUE("1 1/3")</f>
        <v>#VALUE!</v>
      </c>
    </row>
    <row r="68" spans="1:1" x14ac:dyDescent="0.35">
      <c r="A68" t="e">
        <f>TIMEVALUE("-1 1/2")</f>
        <v>#VALUE!</v>
      </c>
    </row>
    <row r="69" spans="1:1" x14ac:dyDescent="0.35">
      <c r="A69" t="e">
        <f>TIMEVALUE("1 1/2/3")</f>
        <v>#VALUE!</v>
      </c>
    </row>
    <row r="70" spans="1:1" x14ac:dyDescent="0.35">
      <c r="A70" t="e">
        <f>TIMEVALUE("1 3/2")</f>
        <v>#VALUE!</v>
      </c>
    </row>
    <row r="71" spans="1:1" x14ac:dyDescent="0.35">
      <c r="A71">
        <f>TIMEVALUE("3/2")</f>
        <v>0</v>
      </c>
    </row>
    <row r="72" spans="1:1" x14ac:dyDescent="0.35">
      <c r="A72" t="e">
        <f>TIMEVALUE(" 1 1/2 ")</f>
        <v>#VALUE!</v>
      </c>
    </row>
    <row r="73" spans="1:1" x14ac:dyDescent="0.35">
      <c r="A73" t="e">
        <f>TIMEVALUE("1  1/2")</f>
        <v>#VALUE!</v>
      </c>
    </row>
    <row r="74" spans="1:1" x14ac:dyDescent="0.35">
      <c r="A74">
        <f>TIMEVALUE("1/2/2020")</f>
        <v>0</v>
      </c>
    </row>
    <row r="75" spans="1:1" x14ac:dyDescent="0.35">
      <c r="A75">
        <f>TIMEVALUE("1/2/20")</f>
        <v>0</v>
      </c>
    </row>
    <row r="76" spans="1:1" x14ac:dyDescent="0.35">
      <c r="A76">
        <f>TIMEVALUE("2020-01-15")</f>
        <v>0</v>
      </c>
    </row>
    <row r="77" spans="1:1" x14ac:dyDescent="0.35">
      <c r="A77">
        <f>TIMEVALUE("2020/01/15")</f>
        <v>0</v>
      </c>
    </row>
    <row r="78" spans="1:1" x14ac:dyDescent="0.35">
      <c r="A78">
        <f>TIMEVALUE("15-Jan-2020")</f>
        <v>0</v>
      </c>
    </row>
    <row r="79" spans="1:1" x14ac:dyDescent="0.35">
      <c r="A79">
        <f>TIMEVALUE("15 Jan 2020")</f>
        <v>0</v>
      </c>
    </row>
    <row r="80" spans="1:1" x14ac:dyDescent="0.35">
      <c r="A80">
        <f>TIMEVALUE("Jan 15, 2020")</f>
        <v>0</v>
      </c>
    </row>
    <row r="81" spans="1:1" x14ac:dyDescent="0.35">
      <c r="A81">
        <f>TIMEVALUE("January 15, 2020")</f>
        <v>0</v>
      </c>
    </row>
    <row r="82" spans="1:1" x14ac:dyDescent="0.35">
      <c r="A82">
        <f>TIMEVALUE("Jan 2020")</f>
        <v>0</v>
      </c>
    </row>
    <row r="83" spans="1:1" x14ac:dyDescent="0.35">
      <c r="A83">
        <f>TIMEVALUE("Jan-20")</f>
        <v>0</v>
      </c>
    </row>
    <row r="84" spans="1:1" x14ac:dyDescent="0.35">
      <c r="A84">
        <f>TIMEVALUE("15-Jan")</f>
        <v>0</v>
      </c>
    </row>
    <row r="85" spans="1:1" x14ac:dyDescent="0.35">
      <c r="A85">
        <f>TIMEVALUE("1/15")</f>
        <v>0</v>
      </c>
    </row>
    <row r="86" spans="1:1" x14ac:dyDescent="0.35">
      <c r="A86" t="e">
        <f>TIMEVALUE("13/1/2020")</f>
        <v>#VALUE!</v>
      </c>
    </row>
    <row r="87" spans="1:1" x14ac:dyDescent="0.35">
      <c r="A87" t="e">
        <f>TIMEVALUE("2/29/2021")</f>
        <v>#VALUE!</v>
      </c>
    </row>
    <row r="88" spans="1:1" x14ac:dyDescent="0.35">
      <c r="A88">
        <f>TIMEVALUE("2/29/2020")</f>
        <v>0</v>
      </c>
    </row>
    <row r="89" spans="1:1" x14ac:dyDescent="0.35">
      <c r="A89">
        <f>TIMEVALUE("1/1/1900")</f>
        <v>0</v>
      </c>
    </row>
    <row r="90" spans="1:1" x14ac:dyDescent="0.35">
      <c r="A90" t="e">
        <f>TIMEVALUE("12/31/1899")</f>
        <v>#VALUE!</v>
      </c>
    </row>
    <row r="91" spans="1:1" x14ac:dyDescent="0.35">
      <c r="A91">
        <f>TIMEVALUE("1/1/9999")</f>
        <v>0</v>
      </c>
    </row>
    <row r="92" spans="1:1" x14ac:dyDescent="0.35">
      <c r="A92" t="e">
        <f>TIMEVALUE("1/1/10000")</f>
        <v>#VALUE!</v>
      </c>
    </row>
    <row r="93" spans="1:1" x14ac:dyDescent="0.35">
      <c r="A93">
        <f>TIMEVALUE("1/1/0")</f>
        <v>0</v>
      </c>
    </row>
    <row r="94" spans="1:1" x14ac:dyDescent="0.35">
      <c r="A94">
        <f>TIMEVALUE("1/1/29")</f>
        <v>0</v>
      </c>
    </row>
    <row r="95" spans="1:1" x14ac:dyDescent="0.35">
      <c r="A95">
        <f>TIMEVALUE("1/1/30")</f>
        <v>0</v>
      </c>
    </row>
    <row r="96" spans="1:1" x14ac:dyDescent="0.35">
      <c r="A96" t="e">
        <f>TIMEVALUE("Monday, January 15, 2020")</f>
        <v>#VALUE!</v>
      </c>
    </row>
    <row r="97" spans="1:1" x14ac:dyDescent="0.35">
      <c r="A97">
        <f>TIMEVALUE("2020-1-15")</f>
        <v>0</v>
      </c>
    </row>
    <row r="98" spans="1:1" x14ac:dyDescent="0.35">
      <c r="A98" t="e">
        <f>TIMEVALUE("15.1.2020")</f>
        <v>#VALUE!</v>
      </c>
    </row>
    <row r="99" spans="1:1" x14ac:dyDescent="0.35">
      <c r="A99">
        <f>TIMEVALUE("1-15-2020")</f>
        <v>0</v>
      </c>
    </row>
    <row r="100" spans="1:1" x14ac:dyDescent="0.35">
      <c r="A100" t="e">
        <f>TIMEVALUE("20200115")</f>
        <v>#VALUE!</v>
      </c>
    </row>
    <row r="101" spans="1:1" x14ac:dyDescent="0.35">
      <c r="A101">
        <f>TIMEVALUE("12:30")</f>
        <v>0.52083333333333337</v>
      </c>
    </row>
    <row r="102" spans="1:1" x14ac:dyDescent="0.35">
      <c r="A102">
        <f>TIMEVALUE("12:30:45")</f>
        <v>0.52135416666666667</v>
      </c>
    </row>
    <row r="103" spans="1:1" x14ac:dyDescent="0.35">
      <c r="A103">
        <f>TIMEVALUE("12:30:45.5")</f>
        <v>0.52135995370370369</v>
      </c>
    </row>
    <row r="104" spans="1:1" x14ac:dyDescent="0.35">
      <c r="A104">
        <f>TIMEVALUE("12:30 PM")</f>
        <v>0.52083333333333337</v>
      </c>
    </row>
    <row r="105" spans="1:1" x14ac:dyDescent="0.35">
      <c r="A105">
        <f>TIMEVALUE("12:30 AM")</f>
        <v>2.0833333333333332E-2</v>
      </c>
    </row>
    <row r="106" spans="1:1" x14ac:dyDescent="0.35">
      <c r="A106" t="e">
        <f>TIMEVALUE("12:30PM")</f>
        <v>#VALUE!</v>
      </c>
    </row>
    <row r="107" spans="1:1" x14ac:dyDescent="0.35">
      <c r="A107">
        <f>TIMEVALUE("0:00")</f>
        <v>0</v>
      </c>
    </row>
    <row r="108" spans="1:1" x14ac:dyDescent="0.35">
      <c r="A108">
        <f>TIMEVALUE("24:00")</f>
        <v>0</v>
      </c>
    </row>
    <row r="109" spans="1:1" x14ac:dyDescent="0.35">
      <c r="A109">
        <f>TIMEVALUE("25:00")</f>
        <v>4.1666666666666741E-2</v>
      </c>
    </row>
    <row r="110" spans="1:1" x14ac:dyDescent="0.35">
      <c r="A110">
        <f>TIMEVALUE("12:60")</f>
        <v>0.54166666666666663</v>
      </c>
    </row>
    <row r="111" spans="1:1" x14ac:dyDescent="0.35">
      <c r="A111">
        <f>TIMEVALUE("1:2:3")</f>
        <v>4.3090277777777776E-2</v>
      </c>
    </row>
    <row r="112" spans="1:1" x14ac:dyDescent="0.35">
      <c r="A112">
        <f>TIMEVALUE("12:30:45 PM")</f>
        <v>0.52135416666666667</v>
      </c>
    </row>
    <row r="113" spans="1:1" x14ac:dyDescent="0.35">
      <c r="A113">
        <f>TIMEVALUE("12 PM")</f>
        <v>0.5</v>
      </c>
    </row>
    <row r="114" spans="1:1" x14ac:dyDescent="0.35">
      <c r="A114" t="e">
        <f>TIMEVALUE("12pm")</f>
        <v>#VALUE!</v>
      </c>
    </row>
    <row r="115" spans="1:1" x14ac:dyDescent="0.35">
      <c r="A115">
        <f>TIMEVALUE("1:30 a")</f>
        <v>6.25E-2</v>
      </c>
    </row>
    <row r="116" spans="1:1" x14ac:dyDescent="0.35">
      <c r="A116">
        <f>TIMEVALUE("12:30:45.123")</f>
        <v>0.52135559027777778</v>
      </c>
    </row>
    <row r="117" spans="1:1" x14ac:dyDescent="0.35">
      <c r="A117">
        <f>TIMEVALUE("100:00")</f>
        <v>0.16666666666666696</v>
      </c>
    </row>
    <row r="118" spans="1:1" x14ac:dyDescent="0.35">
      <c r="A118">
        <f>TIMEVALUE("9999:00")</f>
        <v>0.625</v>
      </c>
    </row>
    <row r="119" spans="1:1" x14ac:dyDescent="0.35">
      <c r="A119">
        <f>TIMEVALUE("1/2/2020 12:30")</f>
        <v>0.52083333333575865</v>
      </c>
    </row>
    <row r="120" spans="1:1" x14ac:dyDescent="0.35">
      <c r="A120">
        <f>TIMEVALUE("2020-01-15 12:30:45")</f>
        <v>0.52135416666715173</v>
      </c>
    </row>
    <row r="121" spans="1:1" x14ac:dyDescent="0.35">
      <c r="A121">
        <f>TIMEVALUE("1/2/2020 12:30 PM")</f>
        <v>0.52083333333575865</v>
      </c>
    </row>
    <row r="122" spans="1:1" x14ac:dyDescent="0.35">
      <c r="A122" t="e">
        <f>TIMEVALUE("TRUE")</f>
        <v>#VALUE!</v>
      </c>
    </row>
    <row r="123" spans="1:1" x14ac:dyDescent="0.35">
      <c r="A123" t="e">
        <f>TIMEVALUE("FALSE")</f>
        <v>#VALUE!</v>
      </c>
    </row>
    <row r="124" spans="1:1" x14ac:dyDescent="0.35">
      <c r="A124" t="e">
        <f>TIMEVALUE("")</f>
        <v>#VALUE!</v>
      </c>
    </row>
    <row r="125" spans="1:1" x14ac:dyDescent="0.35">
      <c r="A125" t="e">
        <f>TIMEVALUE(" ")</f>
        <v>#VALUE!</v>
      </c>
    </row>
    <row r="126" spans="1:1" x14ac:dyDescent="0.35">
      <c r="A126" t="e">
        <f>TIMEVALUE("abc")</f>
        <v>#VALUE!</v>
      </c>
    </row>
    <row r="127" spans="1:1" x14ac:dyDescent="0.35">
      <c r="A127" t="e">
        <f>TIMEVALUE("#N/A")</f>
        <v>#VALUE!</v>
      </c>
    </row>
    <row r="128" spans="1:1" x14ac:dyDescent="0.35">
      <c r="A128" t="e">
        <f>TIMEVALUE("e")</f>
        <v>#VALUE!</v>
      </c>
    </row>
    <row r="129" spans="1:1" x14ac:dyDescent="0.35">
      <c r="A129" t="e">
        <f>TIMEVALUE(".")</f>
        <v>#VALUE!</v>
      </c>
    </row>
    <row r="130" spans="1:1" x14ac:dyDescent="0.35">
      <c r="A130" t="e">
        <f>TIMEVALUE("-")</f>
        <v>#VALUE!</v>
      </c>
    </row>
    <row r="131" spans="1:1" x14ac:dyDescent="0.35">
      <c r="A131" t="e">
        <f>TIMEVALUE("$")</f>
        <v>#VALUE!</v>
      </c>
    </row>
    <row r="132" spans="1:1" x14ac:dyDescent="0.35">
      <c r="A132" t="e">
        <f>TIMEVALUE("%")</f>
        <v>#VALUE!</v>
      </c>
    </row>
    <row r="133" spans="1:1" x14ac:dyDescent="0.35">
      <c r="A133" t="e">
        <f>TIMEVALUE("()")</f>
        <v>#VALUE!</v>
      </c>
    </row>
    <row r="134" spans="1:1" x14ac:dyDescent="0.35">
      <c r="A134">
        <f>TIMEVALUE("1-1")</f>
        <v>0</v>
      </c>
    </row>
    <row r="135" spans="1:1" x14ac:dyDescent="0.35">
      <c r="A135" t="e">
        <f>TIMEVALUE("1+1")</f>
        <v>#VALUE!</v>
      </c>
    </row>
    <row r="136" spans="1:1" x14ac:dyDescent="0.35">
      <c r="A136" t="e">
        <f>TIMEVALUE("1.5e3%")</f>
        <v>#VALUE!</v>
      </c>
    </row>
    <row r="137" spans="1:1" x14ac:dyDescent="0.35">
      <c r="A137" t="e">
        <f>TIMEVALUE("$1e3")</f>
        <v>#VALUE!</v>
      </c>
    </row>
    <row r="138" spans="1:1" x14ac:dyDescent="0.35">
      <c r="A138" t="e">
        <f>TIMEVALUE("1,5")</f>
        <v>#VALUE!</v>
      </c>
    </row>
    <row r="139" spans="1:1" x14ac:dyDescent="0.35">
      <c r="A139" t="e">
        <f>TIMEVALUE("1,234,567")</f>
        <v>#VALUE!</v>
      </c>
    </row>
    <row r="140" spans="1:1" x14ac:dyDescent="0.35">
      <c r="A140" t="e">
        <f>TIMEVALUE("12,34")</f>
        <v>#VALUE!</v>
      </c>
    </row>
    <row r="141" spans="1:1" x14ac:dyDescent="0.35">
      <c r="A141" t="e">
        <f>TIMEVALUE("1.234,5")</f>
        <v>#VALUE!</v>
      </c>
    </row>
    <row r="142" spans="1:1" x14ac:dyDescent="0.35">
      <c r="A142" t="e">
        <f>TIMEVALUE("0.5e1")</f>
        <v>#VALUE!</v>
      </c>
    </row>
    <row r="143" spans="1:1" x14ac:dyDescent="0.35">
      <c r="A143" t="e">
        <f>TIMEVALUE("5e-1")</f>
        <v>#VALUE!</v>
      </c>
    </row>
    <row r="144" spans="1:1" x14ac:dyDescent="0.35">
      <c r="A144" t="e">
        <f>TIMEVALUE("2 1/4%")</f>
        <v>#VALUE!</v>
      </c>
    </row>
    <row r="145" spans="1:1" x14ac:dyDescent="0.35">
      <c r="A145" t="e">
        <f>TIMEVALUE("$(5)")</f>
        <v>#VALUE!</v>
      </c>
    </row>
    <row r="146" spans="1:1" x14ac:dyDescent="0.35">
      <c r="A146" t="e">
        <f>TIMEVALUE("(-$5)")</f>
        <v>#VALUE!</v>
      </c>
    </row>
    <row r="147" spans="1:1" x14ac:dyDescent="0.35">
      <c r="A147">
        <f>TIMEVALUE("1:30:00 PM")</f>
        <v>0.5625</v>
      </c>
    </row>
    <row r="148" spans="1:1" x14ac:dyDescent="0.35">
      <c r="A148">
        <f>TIMEVALUE("2:00 AM")</f>
        <v>8.3333333333333329E-2</v>
      </c>
    </row>
    <row r="149" spans="1:1" x14ac:dyDescent="0.35">
      <c r="A149">
        <f>TIMEVALUE("1/2/2020 25:00")</f>
        <v>4.1666666664241347E-2</v>
      </c>
    </row>
    <row r="150" spans="1:1" x14ac:dyDescent="0.35">
      <c r="A150" t="e">
        <f>TIMEVALUE("Jan")</f>
        <v>#VALUE!</v>
      </c>
    </row>
    <row r="151" spans="1:1" x14ac:dyDescent="0.35">
      <c r="A151" t="e">
        <f>TIMEVALUE("January")</f>
        <v>#VALUE!</v>
      </c>
    </row>
    <row r="152" spans="1:1" x14ac:dyDescent="0.35">
      <c r="A152">
        <f>TIMEVALUE("1 Jan")</f>
        <v>0</v>
      </c>
    </row>
    <row r="153" spans="1:1" x14ac:dyDescent="0.35">
      <c r="A153">
        <f>TIMEVALUE("Jan 1")</f>
        <v>0</v>
      </c>
    </row>
    <row r="154" spans="1:1" x14ac:dyDescent="0.35">
      <c r="A154" t="e">
        <f>TIMEVALUE("2020 Jan 1")</f>
        <v>#VALUE!</v>
      </c>
    </row>
    <row r="155" spans="1:1" x14ac:dyDescent="0.35">
      <c r="A155">
        <f>TIMEVALUE("1-Jan-2020 1:00")</f>
        <v>4.1666666664241347E-2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5537-3F99-478D-81BE-8A67F4C14147}">
  <dimension ref="A1:A1089"/>
  <sheetViews>
    <sheetView workbookViewId="0"/>
  </sheetViews>
  <sheetFormatPr defaultRowHeight="14.5" x14ac:dyDescent="0.35"/>
  <sheetData>
    <row r="1" spans="1:1" x14ac:dyDescent="0.35">
      <c r="A1" t="b">
        <f>"a"="a"</f>
        <v>1</v>
      </c>
    </row>
    <row r="2" spans="1:1" x14ac:dyDescent="0.35">
      <c r="A2" t="b">
        <f>"a"="A"</f>
        <v>1</v>
      </c>
    </row>
    <row r="3" spans="1:1" x14ac:dyDescent="0.35">
      <c r="A3" t="b">
        <f>"a"="b"</f>
        <v>0</v>
      </c>
    </row>
    <row r="4" spans="1:1" x14ac:dyDescent="0.35">
      <c r="A4" t="b">
        <f>"a"="B"</f>
        <v>0</v>
      </c>
    </row>
    <row r="5" spans="1:1" x14ac:dyDescent="0.35">
      <c r="A5" t="b">
        <f>"a"=""</f>
        <v>0</v>
      </c>
    </row>
    <row r="6" spans="1:1" x14ac:dyDescent="0.35">
      <c r="A6" t="b">
        <f>"a"=" "</f>
        <v>0</v>
      </c>
    </row>
    <row r="7" spans="1:1" x14ac:dyDescent="0.35">
      <c r="A7" t="b">
        <f>"a"="ab"</f>
        <v>0</v>
      </c>
    </row>
    <row r="8" spans="1:1" x14ac:dyDescent="0.35">
      <c r="A8" t="b">
        <f>"a"="a b"</f>
        <v>0</v>
      </c>
    </row>
    <row r="9" spans="1:1" x14ac:dyDescent="0.35">
      <c r="A9" t="b">
        <f>"a"="a-b"</f>
        <v>0</v>
      </c>
    </row>
    <row r="10" spans="1:1" x14ac:dyDescent="0.35">
      <c r="A10" t="b">
        <f>"a"="a'b"</f>
        <v>0</v>
      </c>
    </row>
    <row r="11" spans="1:1" x14ac:dyDescent="0.35">
      <c r="A11" t="b">
        <f>"a"="co-op"</f>
        <v>0</v>
      </c>
    </row>
    <row r="12" spans="1:1" x14ac:dyDescent="0.35">
      <c r="A12" t="b">
        <f>"a"="coop"</f>
        <v>0</v>
      </c>
    </row>
    <row r="13" spans="1:1" x14ac:dyDescent="0.35">
      <c r="A13" t="b">
        <f>"a"="cop"</f>
        <v>0</v>
      </c>
    </row>
    <row r="14" spans="1:1" x14ac:dyDescent="0.35">
      <c r="A14" t="b">
        <f>"a"="ß"</f>
        <v>0</v>
      </c>
    </row>
    <row r="15" spans="1:1" x14ac:dyDescent="0.35">
      <c r="A15" t="b">
        <f>"a"="ss"</f>
        <v>0</v>
      </c>
    </row>
    <row r="16" spans="1:1" x14ac:dyDescent="0.35">
      <c r="A16" t="b">
        <f>"a"="æ"</f>
        <v>0</v>
      </c>
    </row>
    <row r="17" spans="1:1" x14ac:dyDescent="0.35">
      <c r="A17" t="b">
        <f>"a"="ae"</f>
        <v>0</v>
      </c>
    </row>
    <row r="18" spans="1:1" x14ac:dyDescent="0.35">
      <c r="A18" t="b">
        <f>"a"="é"</f>
        <v>0</v>
      </c>
    </row>
    <row r="19" spans="1:1" x14ac:dyDescent="0.35">
      <c r="A19" t="b">
        <f>"a"="e"</f>
        <v>0</v>
      </c>
    </row>
    <row r="20" spans="1:1" x14ac:dyDescent="0.35">
      <c r="A20" t="b">
        <f>"a"="f"</f>
        <v>0</v>
      </c>
    </row>
    <row r="21" spans="1:1" x14ac:dyDescent="0.35">
      <c r="A21" t="b">
        <f>"a"="É"</f>
        <v>0</v>
      </c>
    </row>
    <row r="22" spans="1:1" x14ac:dyDescent="0.35">
      <c r="A22" t="b">
        <f>"a"="1"</f>
        <v>0</v>
      </c>
    </row>
    <row r="23" spans="1:1" x14ac:dyDescent="0.35">
      <c r="A23" t="b">
        <f>"a"="10"</f>
        <v>0</v>
      </c>
    </row>
    <row r="24" spans="1:1" x14ac:dyDescent="0.35">
      <c r="A24" t="b">
        <f>"a"="9"</f>
        <v>0</v>
      </c>
    </row>
    <row r="25" spans="1:1" x14ac:dyDescent="0.35">
      <c r="A25" t="b">
        <f>"a"="a1"</f>
        <v>0</v>
      </c>
    </row>
    <row r="26" spans="1:1" x14ac:dyDescent="0.35">
      <c r="A26" t="b">
        <f>"a"="a10"</f>
        <v>0</v>
      </c>
    </row>
    <row r="27" spans="1:1" x14ac:dyDescent="0.35">
      <c r="A27" t="b">
        <f>"a"="a2"</f>
        <v>0</v>
      </c>
    </row>
    <row r="28" spans="1:1" x14ac:dyDescent="0.35">
      <c r="A28" t="b">
        <f>"a"="_"</f>
        <v>0</v>
      </c>
    </row>
    <row r="29" spans="1:1" x14ac:dyDescent="0.35">
      <c r="A29" t="b">
        <f>"a"="-"</f>
        <v>0</v>
      </c>
    </row>
    <row r="30" spans="1:1" x14ac:dyDescent="0.35">
      <c r="A30" t="b">
        <f>"a"="~"</f>
        <v>0</v>
      </c>
    </row>
    <row r="31" spans="1:1" x14ac:dyDescent="0.35">
      <c r="A31" t="b">
        <f>"a"="z"</f>
        <v>0</v>
      </c>
    </row>
    <row r="32" spans="1:1" x14ac:dyDescent="0.35">
      <c r="A32" t="b">
        <f>"a"="Ω"</f>
        <v>0</v>
      </c>
    </row>
    <row r="33" spans="1:1" x14ac:dyDescent="0.35">
      <c r="A33" t="b">
        <f>"a"="ω"</f>
        <v>0</v>
      </c>
    </row>
    <row r="34" spans="1:1" x14ac:dyDescent="0.35">
      <c r="A34" t="b">
        <f>"A"="a"</f>
        <v>1</v>
      </c>
    </row>
    <row r="35" spans="1:1" x14ac:dyDescent="0.35">
      <c r="A35" t="b">
        <f>"A"="A"</f>
        <v>1</v>
      </c>
    </row>
    <row r="36" spans="1:1" x14ac:dyDescent="0.35">
      <c r="A36" t="b">
        <f>"A"="b"</f>
        <v>0</v>
      </c>
    </row>
    <row r="37" spans="1:1" x14ac:dyDescent="0.35">
      <c r="A37" t="b">
        <f>"A"="B"</f>
        <v>0</v>
      </c>
    </row>
    <row r="38" spans="1:1" x14ac:dyDescent="0.35">
      <c r="A38" t="b">
        <f>"A"=""</f>
        <v>0</v>
      </c>
    </row>
    <row r="39" spans="1:1" x14ac:dyDescent="0.35">
      <c r="A39" t="b">
        <f>"A"=" "</f>
        <v>0</v>
      </c>
    </row>
    <row r="40" spans="1:1" x14ac:dyDescent="0.35">
      <c r="A40" t="b">
        <f>"A"="ab"</f>
        <v>0</v>
      </c>
    </row>
    <row r="41" spans="1:1" x14ac:dyDescent="0.35">
      <c r="A41" t="b">
        <f>"A"="a b"</f>
        <v>0</v>
      </c>
    </row>
    <row r="42" spans="1:1" x14ac:dyDescent="0.35">
      <c r="A42" t="b">
        <f>"A"="a-b"</f>
        <v>0</v>
      </c>
    </row>
    <row r="43" spans="1:1" x14ac:dyDescent="0.35">
      <c r="A43" t="b">
        <f>"A"="a'b"</f>
        <v>0</v>
      </c>
    </row>
    <row r="44" spans="1:1" x14ac:dyDescent="0.35">
      <c r="A44" t="b">
        <f>"A"="co-op"</f>
        <v>0</v>
      </c>
    </row>
    <row r="45" spans="1:1" x14ac:dyDescent="0.35">
      <c r="A45" t="b">
        <f>"A"="coop"</f>
        <v>0</v>
      </c>
    </row>
    <row r="46" spans="1:1" x14ac:dyDescent="0.35">
      <c r="A46" t="b">
        <f>"A"="cop"</f>
        <v>0</v>
      </c>
    </row>
    <row r="47" spans="1:1" x14ac:dyDescent="0.35">
      <c r="A47" t="b">
        <f>"A"="ß"</f>
        <v>0</v>
      </c>
    </row>
    <row r="48" spans="1:1" x14ac:dyDescent="0.35">
      <c r="A48" t="b">
        <f>"A"="ss"</f>
        <v>0</v>
      </c>
    </row>
    <row r="49" spans="1:1" x14ac:dyDescent="0.35">
      <c r="A49" t="b">
        <f>"A"="æ"</f>
        <v>0</v>
      </c>
    </row>
    <row r="50" spans="1:1" x14ac:dyDescent="0.35">
      <c r="A50" t="b">
        <f>"A"="ae"</f>
        <v>0</v>
      </c>
    </row>
    <row r="51" spans="1:1" x14ac:dyDescent="0.35">
      <c r="A51" t="b">
        <f>"A"="é"</f>
        <v>0</v>
      </c>
    </row>
    <row r="52" spans="1:1" x14ac:dyDescent="0.35">
      <c r="A52" t="b">
        <f>"A"="e"</f>
        <v>0</v>
      </c>
    </row>
    <row r="53" spans="1:1" x14ac:dyDescent="0.35">
      <c r="A53" t="b">
        <f>"A"="f"</f>
        <v>0</v>
      </c>
    </row>
    <row r="54" spans="1:1" x14ac:dyDescent="0.35">
      <c r="A54" t="b">
        <f>"A"="É"</f>
        <v>0</v>
      </c>
    </row>
    <row r="55" spans="1:1" x14ac:dyDescent="0.35">
      <c r="A55" t="b">
        <f>"A"="1"</f>
        <v>0</v>
      </c>
    </row>
    <row r="56" spans="1:1" x14ac:dyDescent="0.35">
      <c r="A56" t="b">
        <f>"A"="10"</f>
        <v>0</v>
      </c>
    </row>
    <row r="57" spans="1:1" x14ac:dyDescent="0.35">
      <c r="A57" t="b">
        <f>"A"="9"</f>
        <v>0</v>
      </c>
    </row>
    <row r="58" spans="1:1" x14ac:dyDescent="0.35">
      <c r="A58" t="b">
        <f>"A"="a1"</f>
        <v>0</v>
      </c>
    </row>
    <row r="59" spans="1:1" x14ac:dyDescent="0.35">
      <c r="A59" t="b">
        <f>"A"="a10"</f>
        <v>0</v>
      </c>
    </row>
    <row r="60" spans="1:1" x14ac:dyDescent="0.35">
      <c r="A60" t="b">
        <f>"A"="a2"</f>
        <v>0</v>
      </c>
    </row>
    <row r="61" spans="1:1" x14ac:dyDescent="0.35">
      <c r="A61" t="b">
        <f>"A"="_"</f>
        <v>0</v>
      </c>
    </row>
    <row r="62" spans="1:1" x14ac:dyDescent="0.35">
      <c r="A62" t="b">
        <f>"A"="-"</f>
        <v>0</v>
      </c>
    </row>
    <row r="63" spans="1:1" x14ac:dyDescent="0.35">
      <c r="A63" t="b">
        <f>"A"="~"</f>
        <v>0</v>
      </c>
    </row>
    <row r="64" spans="1:1" x14ac:dyDescent="0.35">
      <c r="A64" t="b">
        <f>"A"="z"</f>
        <v>0</v>
      </c>
    </row>
    <row r="65" spans="1:1" x14ac:dyDescent="0.35">
      <c r="A65" t="b">
        <f>"A"="Ω"</f>
        <v>0</v>
      </c>
    </row>
    <row r="66" spans="1:1" x14ac:dyDescent="0.35">
      <c r="A66" t="b">
        <f>"A"="ω"</f>
        <v>0</v>
      </c>
    </row>
    <row r="67" spans="1:1" x14ac:dyDescent="0.35">
      <c r="A67" t="b">
        <f>"b"="a"</f>
        <v>0</v>
      </c>
    </row>
    <row r="68" spans="1:1" x14ac:dyDescent="0.35">
      <c r="A68" t="b">
        <f>"b"="A"</f>
        <v>0</v>
      </c>
    </row>
    <row r="69" spans="1:1" x14ac:dyDescent="0.35">
      <c r="A69" t="b">
        <f>"b"="b"</f>
        <v>1</v>
      </c>
    </row>
    <row r="70" spans="1:1" x14ac:dyDescent="0.35">
      <c r="A70" t="b">
        <f>"b"="B"</f>
        <v>1</v>
      </c>
    </row>
    <row r="71" spans="1:1" x14ac:dyDescent="0.35">
      <c r="A71" t="b">
        <f>"b"=""</f>
        <v>0</v>
      </c>
    </row>
    <row r="72" spans="1:1" x14ac:dyDescent="0.35">
      <c r="A72" t="b">
        <f>"b"=" "</f>
        <v>0</v>
      </c>
    </row>
    <row r="73" spans="1:1" x14ac:dyDescent="0.35">
      <c r="A73" t="b">
        <f>"b"="ab"</f>
        <v>0</v>
      </c>
    </row>
    <row r="74" spans="1:1" x14ac:dyDescent="0.35">
      <c r="A74" t="b">
        <f>"b"="a b"</f>
        <v>0</v>
      </c>
    </row>
    <row r="75" spans="1:1" x14ac:dyDescent="0.35">
      <c r="A75" t="b">
        <f>"b"="a-b"</f>
        <v>0</v>
      </c>
    </row>
    <row r="76" spans="1:1" x14ac:dyDescent="0.35">
      <c r="A76" t="b">
        <f>"b"="a'b"</f>
        <v>0</v>
      </c>
    </row>
    <row r="77" spans="1:1" x14ac:dyDescent="0.35">
      <c r="A77" t="b">
        <f>"b"="co-op"</f>
        <v>0</v>
      </c>
    </row>
    <row r="78" spans="1:1" x14ac:dyDescent="0.35">
      <c r="A78" t="b">
        <f>"b"="coop"</f>
        <v>0</v>
      </c>
    </row>
    <row r="79" spans="1:1" x14ac:dyDescent="0.35">
      <c r="A79" t="b">
        <f>"b"="cop"</f>
        <v>0</v>
      </c>
    </row>
    <row r="80" spans="1:1" x14ac:dyDescent="0.35">
      <c r="A80" t="b">
        <f>"b"="ß"</f>
        <v>0</v>
      </c>
    </row>
    <row r="81" spans="1:1" x14ac:dyDescent="0.35">
      <c r="A81" t="b">
        <f>"b"="ss"</f>
        <v>0</v>
      </c>
    </row>
    <row r="82" spans="1:1" x14ac:dyDescent="0.35">
      <c r="A82" t="b">
        <f>"b"="æ"</f>
        <v>0</v>
      </c>
    </row>
    <row r="83" spans="1:1" x14ac:dyDescent="0.35">
      <c r="A83" t="b">
        <f>"b"="ae"</f>
        <v>0</v>
      </c>
    </row>
    <row r="84" spans="1:1" x14ac:dyDescent="0.35">
      <c r="A84" t="b">
        <f>"b"="é"</f>
        <v>0</v>
      </c>
    </row>
    <row r="85" spans="1:1" x14ac:dyDescent="0.35">
      <c r="A85" t="b">
        <f>"b"="e"</f>
        <v>0</v>
      </c>
    </row>
    <row r="86" spans="1:1" x14ac:dyDescent="0.35">
      <c r="A86" t="b">
        <f>"b"="f"</f>
        <v>0</v>
      </c>
    </row>
    <row r="87" spans="1:1" x14ac:dyDescent="0.35">
      <c r="A87" t="b">
        <f>"b"="É"</f>
        <v>0</v>
      </c>
    </row>
    <row r="88" spans="1:1" x14ac:dyDescent="0.35">
      <c r="A88" t="b">
        <f>"b"="1"</f>
        <v>0</v>
      </c>
    </row>
    <row r="89" spans="1:1" x14ac:dyDescent="0.35">
      <c r="A89" t="b">
        <f>"b"="10"</f>
        <v>0</v>
      </c>
    </row>
    <row r="90" spans="1:1" x14ac:dyDescent="0.35">
      <c r="A90" t="b">
        <f>"b"="9"</f>
        <v>0</v>
      </c>
    </row>
    <row r="91" spans="1:1" x14ac:dyDescent="0.35">
      <c r="A91" t="b">
        <f>"b"="a1"</f>
        <v>0</v>
      </c>
    </row>
    <row r="92" spans="1:1" x14ac:dyDescent="0.35">
      <c r="A92" t="b">
        <f>"b"="a10"</f>
        <v>0</v>
      </c>
    </row>
    <row r="93" spans="1:1" x14ac:dyDescent="0.35">
      <c r="A93" t="b">
        <f>"b"="a2"</f>
        <v>0</v>
      </c>
    </row>
    <row r="94" spans="1:1" x14ac:dyDescent="0.35">
      <c r="A94" t="b">
        <f>"b"="_"</f>
        <v>0</v>
      </c>
    </row>
    <row r="95" spans="1:1" x14ac:dyDescent="0.35">
      <c r="A95" t="b">
        <f>"b"="-"</f>
        <v>0</v>
      </c>
    </row>
    <row r="96" spans="1:1" x14ac:dyDescent="0.35">
      <c r="A96" t="b">
        <f>"b"="~"</f>
        <v>0</v>
      </c>
    </row>
    <row r="97" spans="1:1" x14ac:dyDescent="0.35">
      <c r="A97" t="b">
        <f>"b"="z"</f>
        <v>0</v>
      </c>
    </row>
    <row r="98" spans="1:1" x14ac:dyDescent="0.35">
      <c r="A98" t="b">
        <f>"b"="Ω"</f>
        <v>0</v>
      </c>
    </row>
    <row r="99" spans="1:1" x14ac:dyDescent="0.35">
      <c r="A99" t="b">
        <f>"b"="ω"</f>
        <v>0</v>
      </c>
    </row>
    <row r="100" spans="1:1" x14ac:dyDescent="0.35">
      <c r="A100" t="b">
        <f>"B"="a"</f>
        <v>0</v>
      </c>
    </row>
    <row r="101" spans="1:1" x14ac:dyDescent="0.35">
      <c r="A101" t="b">
        <f>"B"="A"</f>
        <v>0</v>
      </c>
    </row>
    <row r="102" spans="1:1" x14ac:dyDescent="0.35">
      <c r="A102" t="b">
        <f>"B"="b"</f>
        <v>1</v>
      </c>
    </row>
    <row r="103" spans="1:1" x14ac:dyDescent="0.35">
      <c r="A103" t="b">
        <f>"B"="B"</f>
        <v>1</v>
      </c>
    </row>
    <row r="104" spans="1:1" x14ac:dyDescent="0.35">
      <c r="A104" t="b">
        <f>"B"=""</f>
        <v>0</v>
      </c>
    </row>
    <row r="105" spans="1:1" x14ac:dyDescent="0.35">
      <c r="A105" t="b">
        <f>"B"=" "</f>
        <v>0</v>
      </c>
    </row>
    <row r="106" spans="1:1" x14ac:dyDescent="0.35">
      <c r="A106" t="b">
        <f>"B"="ab"</f>
        <v>0</v>
      </c>
    </row>
    <row r="107" spans="1:1" x14ac:dyDescent="0.35">
      <c r="A107" t="b">
        <f>"B"="a b"</f>
        <v>0</v>
      </c>
    </row>
    <row r="108" spans="1:1" x14ac:dyDescent="0.35">
      <c r="A108" t="b">
        <f>"B"="a-b"</f>
        <v>0</v>
      </c>
    </row>
    <row r="109" spans="1:1" x14ac:dyDescent="0.35">
      <c r="A109" t="b">
        <f>"B"="a'b"</f>
        <v>0</v>
      </c>
    </row>
    <row r="110" spans="1:1" x14ac:dyDescent="0.35">
      <c r="A110" t="b">
        <f>"B"="co-op"</f>
        <v>0</v>
      </c>
    </row>
    <row r="111" spans="1:1" x14ac:dyDescent="0.35">
      <c r="A111" t="b">
        <f>"B"="coop"</f>
        <v>0</v>
      </c>
    </row>
    <row r="112" spans="1:1" x14ac:dyDescent="0.35">
      <c r="A112" t="b">
        <f>"B"="cop"</f>
        <v>0</v>
      </c>
    </row>
    <row r="113" spans="1:1" x14ac:dyDescent="0.35">
      <c r="A113" t="b">
        <f>"B"="ß"</f>
        <v>0</v>
      </c>
    </row>
    <row r="114" spans="1:1" x14ac:dyDescent="0.35">
      <c r="A114" t="b">
        <f>"B"="ss"</f>
        <v>0</v>
      </c>
    </row>
    <row r="115" spans="1:1" x14ac:dyDescent="0.35">
      <c r="A115" t="b">
        <f>"B"="æ"</f>
        <v>0</v>
      </c>
    </row>
    <row r="116" spans="1:1" x14ac:dyDescent="0.35">
      <c r="A116" t="b">
        <f>"B"="ae"</f>
        <v>0</v>
      </c>
    </row>
    <row r="117" spans="1:1" x14ac:dyDescent="0.35">
      <c r="A117" t="b">
        <f>"B"="é"</f>
        <v>0</v>
      </c>
    </row>
    <row r="118" spans="1:1" x14ac:dyDescent="0.35">
      <c r="A118" t="b">
        <f>"B"="e"</f>
        <v>0</v>
      </c>
    </row>
    <row r="119" spans="1:1" x14ac:dyDescent="0.35">
      <c r="A119" t="b">
        <f>"B"="f"</f>
        <v>0</v>
      </c>
    </row>
    <row r="120" spans="1:1" x14ac:dyDescent="0.35">
      <c r="A120" t="b">
        <f>"B"="É"</f>
        <v>0</v>
      </c>
    </row>
    <row r="121" spans="1:1" x14ac:dyDescent="0.35">
      <c r="A121" t="b">
        <f>"B"="1"</f>
        <v>0</v>
      </c>
    </row>
    <row r="122" spans="1:1" x14ac:dyDescent="0.35">
      <c r="A122" t="b">
        <f>"B"="10"</f>
        <v>0</v>
      </c>
    </row>
    <row r="123" spans="1:1" x14ac:dyDescent="0.35">
      <c r="A123" t="b">
        <f>"B"="9"</f>
        <v>0</v>
      </c>
    </row>
    <row r="124" spans="1:1" x14ac:dyDescent="0.35">
      <c r="A124" t="b">
        <f>"B"="a1"</f>
        <v>0</v>
      </c>
    </row>
    <row r="125" spans="1:1" x14ac:dyDescent="0.35">
      <c r="A125" t="b">
        <f>"B"="a10"</f>
        <v>0</v>
      </c>
    </row>
    <row r="126" spans="1:1" x14ac:dyDescent="0.35">
      <c r="A126" t="b">
        <f>"B"="a2"</f>
        <v>0</v>
      </c>
    </row>
    <row r="127" spans="1:1" x14ac:dyDescent="0.35">
      <c r="A127" t="b">
        <f>"B"="_"</f>
        <v>0</v>
      </c>
    </row>
    <row r="128" spans="1:1" x14ac:dyDescent="0.35">
      <c r="A128" t="b">
        <f>"B"="-"</f>
        <v>0</v>
      </c>
    </row>
    <row r="129" spans="1:1" x14ac:dyDescent="0.35">
      <c r="A129" t="b">
        <f>"B"="~"</f>
        <v>0</v>
      </c>
    </row>
    <row r="130" spans="1:1" x14ac:dyDescent="0.35">
      <c r="A130" t="b">
        <f>"B"="z"</f>
        <v>0</v>
      </c>
    </row>
    <row r="131" spans="1:1" x14ac:dyDescent="0.35">
      <c r="A131" t="b">
        <f>"B"="Ω"</f>
        <v>0</v>
      </c>
    </row>
    <row r="132" spans="1:1" x14ac:dyDescent="0.35">
      <c r="A132" t="b">
        <f>"B"="ω"</f>
        <v>0</v>
      </c>
    </row>
    <row r="133" spans="1:1" x14ac:dyDescent="0.35">
      <c r="A133" t="b">
        <f>""="a"</f>
        <v>0</v>
      </c>
    </row>
    <row r="134" spans="1:1" x14ac:dyDescent="0.35">
      <c r="A134" t="b">
        <f>""="A"</f>
        <v>0</v>
      </c>
    </row>
    <row r="135" spans="1:1" x14ac:dyDescent="0.35">
      <c r="A135" t="b">
        <f>""="b"</f>
        <v>0</v>
      </c>
    </row>
    <row r="136" spans="1:1" x14ac:dyDescent="0.35">
      <c r="A136" t="b">
        <f>""="B"</f>
        <v>0</v>
      </c>
    </row>
    <row r="137" spans="1:1" x14ac:dyDescent="0.35">
      <c r="A137" t="b">
        <f>""=""</f>
        <v>1</v>
      </c>
    </row>
    <row r="138" spans="1:1" x14ac:dyDescent="0.35">
      <c r="A138" t="b">
        <f>""=" "</f>
        <v>0</v>
      </c>
    </row>
    <row r="139" spans="1:1" x14ac:dyDescent="0.35">
      <c r="A139" t="b">
        <f>""="ab"</f>
        <v>0</v>
      </c>
    </row>
    <row r="140" spans="1:1" x14ac:dyDescent="0.35">
      <c r="A140" t="b">
        <f>""="a b"</f>
        <v>0</v>
      </c>
    </row>
    <row r="141" spans="1:1" x14ac:dyDescent="0.35">
      <c r="A141" t="b">
        <f>""="a-b"</f>
        <v>0</v>
      </c>
    </row>
    <row r="142" spans="1:1" x14ac:dyDescent="0.35">
      <c r="A142" t="b">
        <f>""="a'b"</f>
        <v>0</v>
      </c>
    </row>
    <row r="143" spans="1:1" x14ac:dyDescent="0.35">
      <c r="A143" t="b">
        <f>""="co-op"</f>
        <v>0</v>
      </c>
    </row>
    <row r="144" spans="1:1" x14ac:dyDescent="0.35">
      <c r="A144" t="b">
        <f>""="coop"</f>
        <v>0</v>
      </c>
    </row>
    <row r="145" spans="1:1" x14ac:dyDescent="0.35">
      <c r="A145" t="b">
        <f>""="cop"</f>
        <v>0</v>
      </c>
    </row>
    <row r="146" spans="1:1" x14ac:dyDescent="0.35">
      <c r="A146" t="b">
        <f>""="ß"</f>
        <v>0</v>
      </c>
    </row>
    <row r="147" spans="1:1" x14ac:dyDescent="0.35">
      <c r="A147" t="b">
        <f>""="ss"</f>
        <v>0</v>
      </c>
    </row>
    <row r="148" spans="1:1" x14ac:dyDescent="0.35">
      <c r="A148" t="b">
        <f>""="æ"</f>
        <v>0</v>
      </c>
    </row>
    <row r="149" spans="1:1" x14ac:dyDescent="0.35">
      <c r="A149" t="b">
        <f>""="ae"</f>
        <v>0</v>
      </c>
    </row>
    <row r="150" spans="1:1" x14ac:dyDescent="0.35">
      <c r="A150" t="b">
        <f>""="é"</f>
        <v>0</v>
      </c>
    </row>
    <row r="151" spans="1:1" x14ac:dyDescent="0.35">
      <c r="A151" t="b">
        <f>""="e"</f>
        <v>0</v>
      </c>
    </row>
    <row r="152" spans="1:1" x14ac:dyDescent="0.35">
      <c r="A152" t="b">
        <f>""="f"</f>
        <v>0</v>
      </c>
    </row>
    <row r="153" spans="1:1" x14ac:dyDescent="0.35">
      <c r="A153" t="b">
        <f>""="É"</f>
        <v>0</v>
      </c>
    </row>
    <row r="154" spans="1:1" x14ac:dyDescent="0.35">
      <c r="A154" t="b">
        <f>""="1"</f>
        <v>0</v>
      </c>
    </row>
    <row r="155" spans="1:1" x14ac:dyDescent="0.35">
      <c r="A155" t="b">
        <f>""="10"</f>
        <v>0</v>
      </c>
    </row>
    <row r="156" spans="1:1" x14ac:dyDescent="0.35">
      <c r="A156" t="b">
        <f>""="9"</f>
        <v>0</v>
      </c>
    </row>
    <row r="157" spans="1:1" x14ac:dyDescent="0.35">
      <c r="A157" t="b">
        <f>""="a1"</f>
        <v>0</v>
      </c>
    </row>
    <row r="158" spans="1:1" x14ac:dyDescent="0.35">
      <c r="A158" t="b">
        <f>""="a10"</f>
        <v>0</v>
      </c>
    </row>
    <row r="159" spans="1:1" x14ac:dyDescent="0.35">
      <c r="A159" t="b">
        <f>""="a2"</f>
        <v>0</v>
      </c>
    </row>
    <row r="160" spans="1:1" x14ac:dyDescent="0.35">
      <c r="A160" t="b">
        <f>""="_"</f>
        <v>0</v>
      </c>
    </row>
    <row r="161" spans="1:1" x14ac:dyDescent="0.35">
      <c r="A161" t="b">
        <f>""="-"</f>
        <v>0</v>
      </c>
    </row>
    <row r="162" spans="1:1" x14ac:dyDescent="0.35">
      <c r="A162" t="b">
        <f>""="~"</f>
        <v>0</v>
      </c>
    </row>
    <row r="163" spans="1:1" x14ac:dyDescent="0.35">
      <c r="A163" t="b">
        <f>""="z"</f>
        <v>0</v>
      </c>
    </row>
    <row r="164" spans="1:1" x14ac:dyDescent="0.35">
      <c r="A164" t="b">
        <f>""="Ω"</f>
        <v>0</v>
      </c>
    </row>
    <row r="165" spans="1:1" x14ac:dyDescent="0.35">
      <c r="A165" t="b">
        <f>""="ω"</f>
        <v>0</v>
      </c>
    </row>
    <row r="166" spans="1:1" x14ac:dyDescent="0.35">
      <c r="A166" t="b">
        <f>" "="a"</f>
        <v>0</v>
      </c>
    </row>
    <row r="167" spans="1:1" x14ac:dyDescent="0.35">
      <c r="A167" t="b">
        <f>" "="A"</f>
        <v>0</v>
      </c>
    </row>
    <row r="168" spans="1:1" x14ac:dyDescent="0.35">
      <c r="A168" t="b">
        <f>" "="b"</f>
        <v>0</v>
      </c>
    </row>
    <row r="169" spans="1:1" x14ac:dyDescent="0.35">
      <c r="A169" t="b">
        <f>" "="B"</f>
        <v>0</v>
      </c>
    </row>
    <row r="170" spans="1:1" x14ac:dyDescent="0.35">
      <c r="A170" t="b">
        <f>" "=""</f>
        <v>0</v>
      </c>
    </row>
    <row r="171" spans="1:1" x14ac:dyDescent="0.35">
      <c r="A171" t="b">
        <f>" "=" "</f>
        <v>1</v>
      </c>
    </row>
    <row r="172" spans="1:1" x14ac:dyDescent="0.35">
      <c r="A172" t="b">
        <f>" "="ab"</f>
        <v>0</v>
      </c>
    </row>
    <row r="173" spans="1:1" x14ac:dyDescent="0.35">
      <c r="A173" t="b">
        <f>" "="a b"</f>
        <v>0</v>
      </c>
    </row>
    <row r="174" spans="1:1" x14ac:dyDescent="0.35">
      <c r="A174" t="b">
        <f>" "="a-b"</f>
        <v>0</v>
      </c>
    </row>
    <row r="175" spans="1:1" x14ac:dyDescent="0.35">
      <c r="A175" t="b">
        <f>" "="a'b"</f>
        <v>0</v>
      </c>
    </row>
    <row r="176" spans="1:1" x14ac:dyDescent="0.35">
      <c r="A176" t="b">
        <f>" "="co-op"</f>
        <v>0</v>
      </c>
    </row>
    <row r="177" spans="1:1" x14ac:dyDescent="0.35">
      <c r="A177" t="b">
        <f>" "="coop"</f>
        <v>0</v>
      </c>
    </row>
    <row r="178" spans="1:1" x14ac:dyDescent="0.35">
      <c r="A178" t="b">
        <f>" "="cop"</f>
        <v>0</v>
      </c>
    </row>
    <row r="179" spans="1:1" x14ac:dyDescent="0.35">
      <c r="A179" t="b">
        <f>" "="ß"</f>
        <v>0</v>
      </c>
    </row>
    <row r="180" spans="1:1" x14ac:dyDescent="0.35">
      <c r="A180" t="b">
        <f>" "="ss"</f>
        <v>0</v>
      </c>
    </row>
    <row r="181" spans="1:1" x14ac:dyDescent="0.35">
      <c r="A181" t="b">
        <f>" "="æ"</f>
        <v>0</v>
      </c>
    </row>
    <row r="182" spans="1:1" x14ac:dyDescent="0.35">
      <c r="A182" t="b">
        <f>" "="ae"</f>
        <v>0</v>
      </c>
    </row>
    <row r="183" spans="1:1" x14ac:dyDescent="0.35">
      <c r="A183" t="b">
        <f>" "="é"</f>
        <v>0</v>
      </c>
    </row>
    <row r="184" spans="1:1" x14ac:dyDescent="0.35">
      <c r="A184" t="b">
        <f>" "="e"</f>
        <v>0</v>
      </c>
    </row>
    <row r="185" spans="1:1" x14ac:dyDescent="0.35">
      <c r="A185" t="b">
        <f>" "="f"</f>
        <v>0</v>
      </c>
    </row>
    <row r="186" spans="1:1" x14ac:dyDescent="0.35">
      <c r="A186" t="b">
        <f>" "="É"</f>
        <v>0</v>
      </c>
    </row>
    <row r="187" spans="1:1" x14ac:dyDescent="0.35">
      <c r="A187" t="b">
        <f>" "="1"</f>
        <v>0</v>
      </c>
    </row>
    <row r="188" spans="1:1" x14ac:dyDescent="0.35">
      <c r="A188" t="b">
        <f>" "="10"</f>
        <v>0</v>
      </c>
    </row>
    <row r="189" spans="1:1" x14ac:dyDescent="0.35">
      <c r="A189" t="b">
        <f>" "="9"</f>
        <v>0</v>
      </c>
    </row>
    <row r="190" spans="1:1" x14ac:dyDescent="0.35">
      <c r="A190" t="b">
        <f>" "="a1"</f>
        <v>0</v>
      </c>
    </row>
    <row r="191" spans="1:1" x14ac:dyDescent="0.35">
      <c r="A191" t="b">
        <f>" "="a10"</f>
        <v>0</v>
      </c>
    </row>
    <row r="192" spans="1:1" x14ac:dyDescent="0.35">
      <c r="A192" t="b">
        <f>" "="a2"</f>
        <v>0</v>
      </c>
    </row>
    <row r="193" spans="1:1" x14ac:dyDescent="0.35">
      <c r="A193" t="b">
        <f>" "="_"</f>
        <v>0</v>
      </c>
    </row>
    <row r="194" spans="1:1" x14ac:dyDescent="0.35">
      <c r="A194" t="b">
        <f>" "="-"</f>
        <v>0</v>
      </c>
    </row>
    <row r="195" spans="1:1" x14ac:dyDescent="0.35">
      <c r="A195" t="b">
        <f>" "="~"</f>
        <v>0</v>
      </c>
    </row>
    <row r="196" spans="1:1" x14ac:dyDescent="0.35">
      <c r="A196" t="b">
        <f>" "="z"</f>
        <v>0</v>
      </c>
    </row>
    <row r="197" spans="1:1" x14ac:dyDescent="0.35">
      <c r="A197" t="b">
        <f>" "="Ω"</f>
        <v>0</v>
      </c>
    </row>
    <row r="198" spans="1:1" x14ac:dyDescent="0.35">
      <c r="A198" t="b">
        <f>" "="ω"</f>
        <v>0</v>
      </c>
    </row>
    <row r="199" spans="1:1" x14ac:dyDescent="0.35">
      <c r="A199" t="b">
        <f>"ab"="a"</f>
        <v>0</v>
      </c>
    </row>
    <row r="200" spans="1:1" x14ac:dyDescent="0.35">
      <c r="A200" t="b">
        <f>"ab"="A"</f>
        <v>0</v>
      </c>
    </row>
    <row r="201" spans="1:1" x14ac:dyDescent="0.35">
      <c r="A201" t="b">
        <f>"ab"="b"</f>
        <v>0</v>
      </c>
    </row>
    <row r="202" spans="1:1" x14ac:dyDescent="0.35">
      <c r="A202" t="b">
        <f>"ab"="B"</f>
        <v>0</v>
      </c>
    </row>
    <row r="203" spans="1:1" x14ac:dyDescent="0.35">
      <c r="A203" t="b">
        <f>"ab"=""</f>
        <v>0</v>
      </c>
    </row>
    <row r="204" spans="1:1" x14ac:dyDescent="0.35">
      <c r="A204" t="b">
        <f>"ab"=" "</f>
        <v>0</v>
      </c>
    </row>
    <row r="205" spans="1:1" x14ac:dyDescent="0.35">
      <c r="A205" t="b">
        <f>"ab"="ab"</f>
        <v>1</v>
      </c>
    </row>
    <row r="206" spans="1:1" x14ac:dyDescent="0.35">
      <c r="A206" t="b">
        <f>"ab"="a b"</f>
        <v>0</v>
      </c>
    </row>
    <row r="207" spans="1:1" x14ac:dyDescent="0.35">
      <c r="A207" t="b">
        <f>"ab"="a-b"</f>
        <v>0</v>
      </c>
    </row>
    <row r="208" spans="1:1" x14ac:dyDescent="0.35">
      <c r="A208" t="b">
        <f>"ab"="a'b"</f>
        <v>0</v>
      </c>
    </row>
    <row r="209" spans="1:1" x14ac:dyDescent="0.35">
      <c r="A209" t="b">
        <f>"ab"="co-op"</f>
        <v>0</v>
      </c>
    </row>
    <row r="210" spans="1:1" x14ac:dyDescent="0.35">
      <c r="A210" t="b">
        <f>"ab"="coop"</f>
        <v>0</v>
      </c>
    </row>
    <row r="211" spans="1:1" x14ac:dyDescent="0.35">
      <c r="A211" t="b">
        <f>"ab"="cop"</f>
        <v>0</v>
      </c>
    </row>
    <row r="212" spans="1:1" x14ac:dyDescent="0.35">
      <c r="A212" t="b">
        <f>"ab"="ß"</f>
        <v>0</v>
      </c>
    </row>
    <row r="213" spans="1:1" x14ac:dyDescent="0.35">
      <c r="A213" t="b">
        <f>"ab"="ss"</f>
        <v>0</v>
      </c>
    </row>
    <row r="214" spans="1:1" x14ac:dyDescent="0.35">
      <c r="A214" t="b">
        <f>"ab"="æ"</f>
        <v>0</v>
      </c>
    </row>
    <row r="215" spans="1:1" x14ac:dyDescent="0.35">
      <c r="A215" t="b">
        <f>"ab"="ae"</f>
        <v>0</v>
      </c>
    </row>
    <row r="216" spans="1:1" x14ac:dyDescent="0.35">
      <c r="A216" t="b">
        <f>"ab"="é"</f>
        <v>0</v>
      </c>
    </row>
    <row r="217" spans="1:1" x14ac:dyDescent="0.35">
      <c r="A217" t="b">
        <f>"ab"="e"</f>
        <v>0</v>
      </c>
    </row>
    <row r="218" spans="1:1" x14ac:dyDescent="0.35">
      <c r="A218" t="b">
        <f>"ab"="f"</f>
        <v>0</v>
      </c>
    </row>
    <row r="219" spans="1:1" x14ac:dyDescent="0.35">
      <c r="A219" t="b">
        <f>"ab"="É"</f>
        <v>0</v>
      </c>
    </row>
    <row r="220" spans="1:1" x14ac:dyDescent="0.35">
      <c r="A220" t="b">
        <f>"ab"="1"</f>
        <v>0</v>
      </c>
    </row>
    <row r="221" spans="1:1" x14ac:dyDescent="0.35">
      <c r="A221" t="b">
        <f>"ab"="10"</f>
        <v>0</v>
      </c>
    </row>
    <row r="222" spans="1:1" x14ac:dyDescent="0.35">
      <c r="A222" t="b">
        <f>"ab"="9"</f>
        <v>0</v>
      </c>
    </row>
    <row r="223" spans="1:1" x14ac:dyDescent="0.35">
      <c r="A223" t="b">
        <f>"ab"="a1"</f>
        <v>0</v>
      </c>
    </row>
    <row r="224" spans="1:1" x14ac:dyDescent="0.35">
      <c r="A224" t="b">
        <f>"ab"="a10"</f>
        <v>0</v>
      </c>
    </row>
    <row r="225" spans="1:1" x14ac:dyDescent="0.35">
      <c r="A225" t="b">
        <f>"ab"="a2"</f>
        <v>0</v>
      </c>
    </row>
    <row r="226" spans="1:1" x14ac:dyDescent="0.35">
      <c r="A226" t="b">
        <f>"ab"="_"</f>
        <v>0</v>
      </c>
    </row>
    <row r="227" spans="1:1" x14ac:dyDescent="0.35">
      <c r="A227" t="b">
        <f>"ab"="-"</f>
        <v>0</v>
      </c>
    </row>
    <row r="228" spans="1:1" x14ac:dyDescent="0.35">
      <c r="A228" t="b">
        <f>"ab"="~"</f>
        <v>0</v>
      </c>
    </row>
    <row r="229" spans="1:1" x14ac:dyDescent="0.35">
      <c r="A229" t="b">
        <f>"ab"="z"</f>
        <v>0</v>
      </c>
    </row>
    <row r="230" spans="1:1" x14ac:dyDescent="0.35">
      <c r="A230" t="b">
        <f>"ab"="Ω"</f>
        <v>0</v>
      </c>
    </row>
    <row r="231" spans="1:1" x14ac:dyDescent="0.35">
      <c r="A231" t="b">
        <f>"ab"="ω"</f>
        <v>0</v>
      </c>
    </row>
    <row r="232" spans="1:1" x14ac:dyDescent="0.35">
      <c r="A232" t="b">
        <f>"a b"="a"</f>
        <v>0</v>
      </c>
    </row>
    <row r="233" spans="1:1" x14ac:dyDescent="0.35">
      <c r="A233" t="b">
        <f>"a b"="A"</f>
        <v>0</v>
      </c>
    </row>
    <row r="234" spans="1:1" x14ac:dyDescent="0.35">
      <c r="A234" t="b">
        <f>"a b"="b"</f>
        <v>0</v>
      </c>
    </row>
    <row r="235" spans="1:1" x14ac:dyDescent="0.35">
      <c r="A235" t="b">
        <f>"a b"="B"</f>
        <v>0</v>
      </c>
    </row>
    <row r="236" spans="1:1" x14ac:dyDescent="0.35">
      <c r="A236" t="b">
        <f>"a b"=""</f>
        <v>0</v>
      </c>
    </row>
    <row r="237" spans="1:1" x14ac:dyDescent="0.35">
      <c r="A237" t="b">
        <f>"a b"=" "</f>
        <v>0</v>
      </c>
    </row>
    <row r="238" spans="1:1" x14ac:dyDescent="0.35">
      <c r="A238" t="b">
        <f>"a b"="ab"</f>
        <v>0</v>
      </c>
    </row>
    <row r="239" spans="1:1" x14ac:dyDescent="0.35">
      <c r="A239" t="b">
        <f>"a b"="a b"</f>
        <v>1</v>
      </c>
    </row>
    <row r="240" spans="1:1" x14ac:dyDescent="0.35">
      <c r="A240" t="b">
        <f>"a b"="a-b"</f>
        <v>0</v>
      </c>
    </row>
    <row r="241" spans="1:1" x14ac:dyDescent="0.35">
      <c r="A241" t="b">
        <f>"a b"="a'b"</f>
        <v>0</v>
      </c>
    </row>
    <row r="242" spans="1:1" x14ac:dyDescent="0.35">
      <c r="A242" t="b">
        <f>"a b"="co-op"</f>
        <v>0</v>
      </c>
    </row>
    <row r="243" spans="1:1" x14ac:dyDescent="0.35">
      <c r="A243" t="b">
        <f>"a b"="coop"</f>
        <v>0</v>
      </c>
    </row>
    <row r="244" spans="1:1" x14ac:dyDescent="0.35">
      <c r="A244" t="b">
        <f>"a b"="cop"</f>
        <v>0</v>
      </c>
    </row>
    <row r="245" spans="1:1" x14ac:dyDescent="0.35">
      <c r="A245" t="b">
        <f>"a b"="ß"</f>
        <v>0</v>
      </c>
    </row>
    <row r="246" spans="1:1" x14ac:dyDescent="0.35">
      <c r="A246" t="b">
        <f>"a b"="ss"</f>
        <v>0</v>
      </c>
    </row>
    <row r="247" spans="1:1" x14ac:dyDescent="0.35">
      <c r="A247" t="b">
        <f>"a b"="æ"</f>
        <v>0</v>
      </c>
    </row>
    <row r="248" spans="1:1" x14ac:dyDescent="0.35">
      <c r="A248" t="b">
        <f>"a b"="ae"</f>
        <v>0</v>
      </c>
    </row>
    <row r="249" spans="1:1" x14ac:dyDescent="0.35">
      <c r="A249" t="b">
        <f>"a b"="é"</f>
        <v>0</v>
      </c>
    </row>
    <row r="250" spans="1:1" x14ac:dyDescent="0.35">
      <c r="A250" t="b">
        <f>"a b"="e"</f>
        <v>0</v>
      </c>
    </row>
    <row r="251" spans="1:1" x14ac:dyDescent="0.35">
      <c r="A251" t="b">
        <f>"a b"="f"</f>
        <v>0</v>
      </c>
    </row>
    <row r="252" spans="1:1" x14ac:dyDescent="0.35">
      <c r="A252" t="b">
        <f>"a b"="É"</f>
        <v>0</v>
      </c>
    </row>
    <row r="253" spans="1:1" x14ac:dyDescent="0.35">
      <c r="A253" t="b">
        <f>"a b"="1"</f>
        <v>0</v>
      </c>
    </row>
    <row r="254" spans="1:1" x14ac:dyDescent="0.35">
      <c r="A254" t="b">
        <f>"a b"="10"</f>
        <v>0</v>
      </c>
    </row>
    <row r="255" spans="1:1" x14ac:dyDescent="0.35">
      <c r="A255" t="b">
        <f>"a b"="9"</f>
        <v>0</v>
      </c>
    </row>
    <row r="256" spans="1:1" x14ac:dyDescent="0.35">
      <c r="A256" t="b">
        <f>"a b"="a1"</f>
        <v>0</v>
      </c>
    </row>
    <row r="257" spans="1:1" x14ac:dyDescent="0.35">
      <c r="A257" t="b">
        <f>"a b"="a10"</f>
        <v>0</v>
      </c>
    </row>
    <row r="258" spans="1:1" x14ac:dyDescent="0.35">
      <c r="A258" t="b">
        <f>"a b"="a2"</f>
        <v>0</v>
      </c>
    </row>
    <row r="259" spans="1:1" x14ac:dyDescent="0.35">
      <c r="A259" t="b">
        <f>"a b"="_"</f>
        <v>0</v>
      </c>
    </row>
    <row r="260" spans="1:1" x14ac:dyDescent="0.35">
      <c r="A260" t="b">
        <f>"a b"="-"</f>
        <v>0</v>
      </c>
    </row>
    <row r="261" spans="1:1" x14ac:dyDescent="0.35">
      <c r="A261" t="b">
        <f>"a b"="~"</f>
        <v>0</v>
      </c>
    </row>
    <row r="262" spans="1:1" x14ac:dyDescent="0.35">
      <c r="A262" t="b">
        <f>"a b"="z"</f>
        <v>0</v>
      </c>
    </row>
    <row r="263" spans="1:1" x14ac:dyDescent="0.35">
      <c r="A263" t="b">
        <f>"a b"="Ω"</f>
        <v>0</v>
      </c>
    </row>
    <row r="264" spans="1:1" x14ac:dyDescent="0.35">
      <c r="A264" t="b">
        <f>"a b"="ω"</f>
        <v>0</v>
      </c>
    </row>
    <row r="265" spans="1:1" x14ac:dyDescent="0.35">
      <c r="A265" t="b">
        <f>"a-b"="a"</f>
        <v>0</v>
      </c>
    </row>
    <row r="266" spans="1:1" x14ac:dyDescent="0.35">
      <c r="A266" t="b">
        <f>"a-b"="A"</f>
        <v>0</v>
      </c>
    </row>
    <row r="267" spans="1:1" x14ac:dyDescent="0.35">
      <c r="A267" t="b">
        <f>"a-b"="b"</f>
        <v>0</v>
      </c>
    </row>
    <row r="268" spans="1:1" x14ac:dyDescent="0.35">
      <c r="A268" t="b">
        <f>"a-b"="B"</f>
        <v>0</v>
      </c>
    </row>
    <row r="269" spans="1:1" x14ac:dyDescent="0.35">
      <c r="A269" t="b">
        <f>"a-b"=""</f>
        <v>0</v>
      </c>
    </row>
    <row r="270" spans="1:1" x14ac:dyDescent="0.35">
      <c r="A270" t="b">
        <f>"a-b"=" "</f>
        <v>0</v>
      </c>
    </row>
    <row r="271" spans="1:1" x14ac:dyDescent="0.35">
      <c r="A271" t="b">
        <f>"a-b"="ab"</f>
        <v>0</v>
      </c>
    </row>
    <row r="272" spans="1:1" x14ac:dyDescent="0.35">
      <c r="A272" t="b">
        <f>"a-b"="a b"</f>
        <v>0</v>
      </c>
    </row>
    <row r="273" spans="1:1" x14ac:dyDescent="0.35">
      <c r="A273" t="b">
        <f>"a-b"="a-b"</f>
        <v>1</v>
      </c>
    </row>
    <row r="274" spans="1:1" x14ac:dyDescent="0.35">
      <c r="A274" t="b">
        <f>"a-b"="a'b"</f>
        <v>0</v>
      </c>
    </row>
    <row r="275" spans="1:1" x14ac:dyDescent="0.35">
      <c r="A275" t="b">
        <f>"a-b"="co-op"</f>
        <v>0</v>
      </c>
    </row>
    <row r="276" spans="1:1" x14ac:dyDescent="0.35">
      <c r="A276" t="b">
        <f>"a-b"="coop"</f>
        <v>0</v>
      </c>
    </row>
    <row r="277" spans="1:1" x14ac:dyDescent="0.35">
      <c r="A277" t="b">
        <f>"a-b"="cop"</f>
        <v>0</v>
      </c>
    </row>
    <row r="278" spans="1:1" x14ac:dyDescent="0.35">
      <c r="A278" t="b">
        <f>"a-b"="ß"</f>
        <v>0</v>
      </c>
    </row>
    <row r="279" spans="1:1" x14ac:dyDescent="0.35">
      <c r="A279" t="b">
        <f>"a-b"="ss"</f>
        <v>0</v>
      </c>
    </row>
    <row r="280" spans="1:1" x14ac:dyDescent="0.35">
      <c r="A280" t="b">
        <f>"a-b"="æ"</f>
        <v>0</v>
      </c>
    </row>
    <row r="281" spans="1:1" x14ac:dyDescent="0.35">
      <c r="A281" t="b">
        <f>"a-b"="ae"</f>
        <v>0</v>
      </c>
    </row>
    <row r="282" spans="1:1" x14ac:dyDescent="0.35">
      <c r="A282" t="b">
        <f>"a-b"="é"</f>
        <v>0</v>
      </c>
    </row>
    <row r="283" spans="1:1" x14ac:dyDescent="0.35">
      <c r="A283" t="b">
        <f>"a-b"="e"</f>
        <v>0</v>
      </c>
    </row>
    <row r="284" spans="1:1" x14ac:dyDescent="0.35">
      <c r="A284" t="b">
        <f>"a-b"="f"</f>
        <v>0</v>
      </c>
    </row>
    <row r="285" spans="1:1" x14ac:dyDescent="0.35">
      <c r="A285" t="b">
        <f>"a-b"="É"</f>
        <v>0</v>
      </c>
    </row>
    <row r="286" spans="1:1" x14ac:dyDescent="0.35">
      <c r="A286" t="b">
        <f>"a-b"="1"</f>
        <v>0</v>
      </c>
    </row>
    <row r="287" spans="1:1" x14ac:dyDescent="0.35">
      <c r="A287" t="b">
        <f>"a-b"="10"</f>
        <v>0</v>
      </c>
    </row>
    <row r="288" spans="1:1" x14ac:dyDescent="0.35">
      <c r="A288" t="b">
        <f>"a-b"="9"</f>
        <v>0</v>
      </c>
    </row>
    <row r="289" spans="1:1" x14ac:dyDescent="0.35">
      <c r="A289" t="b">
        <f>"a-b"="a1"</f>
        <v>0</v>
      </c>
    </row>
    <row r="290" spans="1:1" x14ac:dyDescent="0.35">
      <c r="A290" t="b">
        <f>"a-b"="a10"</f>
        <v>0</v>
      </c>
    </row>
    <row r="291" spans="1:1" x14ac:dyDescent="0.35">
      <c r="A291" t="b">
        <f>"a-b"="a2"</f>
        <v>0</v>
      </c>
    </row>
    <row r="292" spans="1:1" x14ac:dyDescent="0.35">
      <c r="A292" t="b">
        <f>"a-b"="_"</f>
        <v>0</v>
      </c>
    </row>
    <row r="293" spans="1:1" x14ac:dyDescent="0.35">
      <c r="A293" t="b">
        <f>"a-b"="-"</f>
        <v>0</v>
      </c>
    </row>
    <row r="294" spans="1:1" x14ac:dyDescent="0.35">
      <c r="A294" t="b">
        <f>"a-b"="~"</f>
        <v>0</v>
      </c>
    </row>
    <row r="295" spans="1:1" x14ac:dyDescent="0.35">
      <c r="A295" t="b">
        <f>"a-b"="z"</f>
        <v>0</v>
      </c>
    </row>
    <row r="296" spans="1:1" x14ac:dyDescent="0.35">
      <c r="A296" t="b">
        <f>"a-b"="Ω"</f>
        <v>0</v>
      </c>
    </row>
    <row r="297" spans="1:1" x14ac:dyDescent="0.35">
      <c r="A297" t="b">
        <f>"a-b"="ω"</f>
        <v>0</v>
      </c>
    </row>
    <row r="298" spans="1:1" x14ac:dyDescent="0.35">
      <c r="A298" t="b">
        <f>"a'b"="a"</f>
        <v>0</v>
      </c>
    </row>
    <row r="299" spans="1:1" x14ac:dyDescent="0.35">
      <c r="A299" t="b">
        <f>"a'b"="A"</f>
        <v>0</v>
      </c>
    </row>
    <row r="300" spans="1:1" x14ac:dyDescent="0.35">
      <c r="A300" t="b">
        <f>"a'b"="b"</f>
        <v>0</v>
      </c>
    </row>
    <row r="301" spans="1:1" x14ac:dyDescent="0.35">
      <c r="A301" t="b">
        <f>"a'b"="B"</f>
        <v>0</v>
      </c>
    </row>
    <row r="302" spans="1:1" x14ac:dyDescent="0.35">
      <c r="A302" t="b">
        <f>"a'b"=""</f>
        <v>0</v>
      </c>
    </row>
    <row r="303" spans="1:1" x14ac:dyDescent="0.35">
      <c r="A303" t="b">
        <f>"a'b"=" "</f>
        <v>0</v>
      </c>
    </row>
    <row r="304" spans="1:1" x14ac:dyDescent="0.35">
      <c r="A304" t="b">
        <f>"a'b"="ab"</f>
        <v>0</v>
      </c>
    </row>
    <row r="305" spans="1:1" x14ac:dyDescent="0.35">
      <c r="A305" t="b">
        <f>"a'b"="a b"</f>
        <v>0</v>
      </c>
    </row>
    <row r="306" spans="1:1" x14ac:dyDescent="0.35">
      <c r="A306" t="b">
        <f>"a'b"="a-b"</f>
        <v>0</v>
      </c>
    </row>
    <row r="307" spans="1:1" x14ac:dyDescent="0.35">
      <c r="A307" t="b">
        <f>"a'b"="a'b"</f>
        <v>1</v>
      </c>
    </row>
    <row r="308" spans="1:1" x14ac:dyDescent="0.35">
      <c r="A308" t="b">
        <f>"a'b"="co-op"</f>
        <v>0</v>
      </c>
    </row>
    <row r="309" spans="1:1" x14ac:dyDescent="0.35">
      <c r="A309" t="b">
        <f>"a'b"="coop"</f>
        <v>0</v>
      </c>
    </row>
    <row r="310" spans="1:1" x14ac:dyDescent="0.35">
      <c r="A310" t="b">
        <f>"a'b"="cop"</f>
        <v>0</v>
      </c>
    </row>
    <row r="311" spans="1:1" x14ac:dyDescent="0.35">
      <c r="A311" t="b">
        <f>"a'b"="ß"</f>
        <v>0</v>
      </c>
    </row>
    <row r="312" spans="1:1" x14ac:dyDescent="0.35">
      <c r="A312" t="b">
        <f>"a'b"="ss"</f>
        <v>0</v>
      </c>
    </row>
    <row r="313" spans="1:1" x14ac:dyDescent="0.35">
      <c r="A313" t="b">
        <f>"a'b"="æ"</f>
        <v>0</v>
      </c>
    </row>
    <row r="314" spans="1:1" x14ac:dyDescent="0.35">
      <c r="A314" t="b">
        <f>"a'b"="ae"</f>
        <v>0</v>
      </c>
    </row>
    <row r="315" spans="1:1" x14ac:dyDescent="0.35">
      <c r="A315" t="b">
        <f>"a'b"="é"</f>
        <v>0</v>
      </c>
    </row>
    <row r="316" spans="1:1" x14ac:dyDescent="0.35">
      <c r="A316" t="b">
        <f>"a'b"="e"</f>
        <v>0</v>
      </c>
    </row>
    <row r="317" spans="1:1" x14ac:dyDescent="0.35">
      <c r="A317" t="b">
        <f>"a'b"="f"</f>
        <v>0</v>
      </c>
    </row>
    <row r="318" spans="1:1" x14ac:dyDescent="0.35">
      <c r="A318" t="b">
        <f>"a'b"="É"</f>
        <v>0</v>
      </c>
    </row>
    <row r="319" spans="1:1" x14ac:dyDescent="0.35">
      <c r="A319" t="b">
        <f>"a'b"="1"</f>
        <v>0</v>
      </c>
    </row>
    <row r="320" spans="1:1" x14ac:dyDescent="0.35">
      <c r="A320" t="b">
        <f>"a'b"="10"</f>
        <v>0</v>
      </c>
    </row>
    <row r="321" spans="1:1" x14ac:dyDescent="0.35">
      <c r="A321" t="b">
        <f>"a'b"="9"</f>
        <v>0</v>
      </c>
    </row>
    <row r="322" spans="1:1" x14ac:dyDescent="0.35">
      <c r="A322" t="b">
        <f>"a'b"="a1"</f>
        <v>0</v>
      </c>
    </row>
    <row r="323" spans="1:1" x14ac:dyDescent="0.35">
      <c r="A323" t="b">
        <f>"a'b"="a10"</f>
        <v>0</v>
      </c>
    </row>
    <row r="324" spans="1:1" x14ac:dyDescent="0.35">
      <c r="A324" t="b">
        <f>"a'b"="a2"</f>
        <v>0</v>
      </c>
    </row>
    <row r="325" spans="1:1" x14ac:dyDescent="0.35">
      <c r="A325" t="b">
        <f>"a'b"="_"</f>
        <v>0</v>
      </c>
    </row>
    <row r="326" spans="1:1" x14ac:dyDescent="0.35">
      <c r="A326" t="b">
        <f>"a'b"="-"</f>
        <v>0</v>
      </c>
    </row>
    <row r="327" spans="1:1" x14ac:dyDescent="0.35">
      <c r="A327" t="b">
        <f>"a'b"="~"</f>
        <v>0</v>
      </c>
    </row>
    <row r="328" spans="1:1" x14ac:dyDescent="0.35">
      <c r="A328" t="b">
        <f>"a'b"="z"</f>
        <v>0</v>
      </c>
    </row>
    <row r="329" spans="1:1" x14ac:dyDescent="0.35">
      <c r="A329" t="b">
        <f>"a'b"="Ω"</f>
        <v>0</v>
      </c>
    </row>
    <row r="330" spans="1:1" x14ac:dyDescent="0.35">
      <c r="A330" t="b">
        <f>"a'b"="ω"</f>
        <v>0</v>
      </c>
    </row>
    <row r="331" spans="1:1" x14ac:dyDescent="0.35">
      <c r="A331" t="b">
        <f>"co-op"="a"</f>
        <v>0</v>
      </c>
    </row>
    <row r="332" spans="1:1" x14ac:dyDescent="0.35">
      <c r="A332" t="b">
        <f>"co-op"="A"</f>
        <v>0</v>
      </c>
    </row>
    <row r="333" spans="1:1" x14ac:dyDescent="0.35">
      <c r="A333" t="b">
        <f>"co-op"="b"</f>
        <v>0</v>
      </c>
    </row>
    <row r="334" spans="1:1" x14ac:dyDescent="0.35">
      <c r="A334" t="b">
        <f>"co-op"="B"</f>
        <v>0</v>
      </c>
    </row>
    <row r="335" spans="1:1" x14ac:dyDescent="0.35">
      <c r="A335" t="b">
        <f>"co-op"=""</f>
        <v>0</v>
      </c>
    </row>
    <row r="336" spans="1:1" x14ac:dyDescent="0.35">
      <c r="A336" t="b">
        <f>"co-op"=" "</f>
        <v>0</v>
      </c>
    </row>
    <row r="337" spans="1:1" x14ac:dyDescent="0.35">
      <c r="A337" t="b">
        <f>"co-op"="ab"</f>
        <v>0</v>
      </c>
    </row>
    <row r="338" spans="1:1" x14ac:dyDescent="0.35">
      <c r="A338" t="b">
        <f>"co-op"="a b"</f>
        <v>0</v>
      </c>
    </row>
    <row r="339" spans="1:1" x14ac:dyDescent="0.35">
      <c r="A339" t="b">
        <f>"co-op"="a-b"</f>
        <v>0</v>
      </c>
    </row>
    <row r="340" spans="1:1" x14ac:dyDescent="0.35">
      <c r="A340" t="b">
        <f>"co-op"="a'b"</f>
        <v>0</v>
      </c>
    </row>
    <row r="341" spans="1:1" x14ac:dyDescent="0.35">
      <c r="A341" t="b">
        <f>"co-op"="co-op"</f>
        <v>1</v>
      </c>
    </row>
    <row r="342" spans="1:1" x14ac:dyDescent="0.35">
      <c r="A342" t="b">
        <f>"co-op"="coop"</f>
        <v>0</v>
      </c>
    </row>
    <row r="343" spans="1:1" x14ac:dyDescent="0.35">
      <c r="A343" t="b">
        <f>"co-op"="cop"</f>
        <v>0</v>
      </c>
    </row>
    <row r="344" spans="1:1" x14ac:dyDescent="0.35">
      <c r="A344" t="b">
        <f>"co-op"="ß"</f>
        <v>0</v>
      </c>
    </row>
    <row r="345" spans="1:1" x14ac:dyDescent="0.35">
      <c r="A345" t="b">
        <f>"co-op"="ss"</f>
        <v>0</v>
      </c>
    </row>
    <row r="346" spans="1:1" x14ac:dyDescent="0.35">
      <c r="A346" t="b">
        <f>"co-op"="æ"</f>
        <v>0</v>
      </c>
    </row>
    <row r="347" spans="1:1" x14ac:dyDescent="0.35">
      <c r="A347" t="b">
        <f>"co-op"="ae"</f>
        <v>0</v>
      </c>
    </row>
    <row r="348" spans="1:1" x14ac:dyDescent="0.35">
      <c r="A348" t="b">
        <f>"co-op"="é"</f>
        <v>0</v>
      </c>
    </row>
    <row r="349" spans="1:1" x14ac:dyDescent="0.35">
      <c r="A349" t="b">
        <f>"co-op"="e"</f>
        <v>0</v>
      </c>
    </row>
    <row r="350" spans="1:1" x14ac:dyDescent="0.35">
      <c r="A350" t="b">
        <f>"co-op"="f"</f>
        <v>0</v>
      </c>
    </row>
    <row r="351" spans="1:1" x14ac:dyDescent="0.35">
      <c r="A351" t="b">
        <f>"co-op"="É"</f>
        <v>0</v>
      </c>
    </row>
    <row r="352" spans="1:1" x14ac:dyDescent="0.35">
      <c r="A352" t="b">
        <f>"co-op"="1"</f>
        <v>0</v>
      </c>
    </row>
    <row r="353" spans="1:1" x14ac:dyDescent="0.35">
      <c r="A353" t="b">
        <f>"co-op"="10"</f>
        <v>0</v>
      </c>
    </row>
    <row r="354" spans="1:1" x14ac:dyDescent="0.35">
      <c r="A354" t="b">
        <f>"co-op"="9"</f>
        <v>0</v>
      </c>
    </row>
    <row r="355" spans="1:1" x14ac:dyDescent="0.35">
      <c r="A355" t="b">
        <f>"co-op"="a1"</f>
        <v>0</v>
      </c>
    </row>
    <row r="356" spans="1:1" x14ac:dyDescent="0.35">
      <c r="A356" t="b">
        <f>"co-op"="a10"</f>
        <v>0</v>
      </c>
    </row>
    <row r="357" spans="1:1" x14ac:dyDescent="0.35">
      <c r="A357" t="b">
        <f>"co-op"="a2"</f>
        <v>0</v>
      </c>
    </row>
    <row r="358" spans="1:1" x14ac:dyDescent="0.35">
      <c r="A358" t="b">
        <f>"co-op"="_"</f>
        <v>0</v>
      </c>
    </row>
    <row r="359" spans="1:1" x14ac:dyDescent="0.35">
      <c r="A359" t="b">
        <f>"co-op"="-"</f>
        <v>0</v>
      </c>
    </row>
    <row r="360" spans="1:1" x14ac:dyDescent="0.35">
      <c r="A360" t="b">
        <f>"co-op"="~"</f>
        <v>0</v>
      </c>
    </row>
    <row r="361" spans="1:1" x14ac:dyDescent="0.35">
      <c r="A361" t="b">
        <f>"co-op"="z"</f>
        <v>0</v>
      </c>
    </row>
    <row r="362" spans="1:1" x14ac:dyDescent="0.35">
      <c r="A362" t="b">
        <f>"co-op"="Ω"</f>
        <v>0</v>
      </c>
    </row>
    <row r="363" spans="1:1" x14ac:dyDescent="0.35">
      <c r="A363" t="b">
        <f>"co-op"="ω"</f>
        <v>0</v>
      </c>
    </row>
    <row r="364" spans="1:1" x14ac:dyDescent="0.35">
      <c r="A364" t="b">
        <f>"coop"="a"</f>
        <v>0</v>
      </c>
    </row>
    <row r="365" spans="1:1" x14ac:dyDescent="0.35">
      <c r="A365" t="b">
        <f>"coop"="A"</f>
        <v>0</v>
      </c>
    </row>
    <row r="366" spans="1:1" x14ac:dyDescent="0.35">
      <c r="A366" t="b">
        <f>"coop"="b"</f>
        <v>0</v>
      </c>
    </row>
    <row r="367" spans="1:1" x14ac:dyDescent="0.35">
      <c r="A367" t="b">
        <f>"coop"="B"</f>
        <v>0</v>
      </c>
    </row>
    <row r="368" spans="1:1" x14ac:dyDescent="0.35">
      <c r="A368" t="b">
        <f>"coop"=""</f>
        <v>0</v>
      </c>
    </row>
    <row r="369" spans="1:1" x14ac:dyDescent="0.35">
      <c r="A369" t="b">
        <f>"coop"=" "</f>
        <v>0</v>
      </c>
    </row>
    <row r="370" spans="1:1" x14ac:dyDescent="0.35">
      <c r="A370" t="b">
        <f>"coop"="ab"</f>
        <v>0</v>
      </c>
    </row>
    <row r="371" spans="1:1" x14ac:dyDescent="0.35">
      <c r="A371" t="b">
        <f>"coop"="a b"</f>
        <v>0</v>
      </c>
    </row>
    <row r="372" spans="1:1" x14ac:dyDescent="0.35">
      <c r="A372" t="b">
        <f>"coop"="a-b"</f>
        <v>0</v>
      </c>
    </row>
    <row r="373" spans="1:1" x14ac:dyDescent="0.35">
      <c r="A373" t="b">
        <f>"coop"="a'b"</f>
        <v>0</v>
      </c>
    </row>
    <row r="374" spans="1:1" x14ac:dyDescent="0.35">
      <c r="A374" t="b">
        <f>"coop"="co-op"</f>
        <v>0</v>
      </c>
    </row>
    <row r="375" spans="1:1" x14ac:dyDescent="0.35">
      <c r="A375" t="b">
        <f>"coop"="coop"</f>
        <v>1</v>
      </c>
    </row>
    <row r="376" spans="1:1" x14ac:dyDescent="0.35">
      <c r="A376" t="b">
        <f>"coop"="cop"</f>
        <v>0</v>
      </c>
    </row>
    <row r="377" spans="1:1" x14ac:dyDescent="0.35">
      <c r="A377" t="b">
        <f>"coop"="ß"</f>
        <v>0</v>
      </c>
    </row>
    <row r="378" spans="1:1" x14ac:dyDescent="0.35">
      <c r="A378" t="b">
        <f>"coop"="ss"</f>
        <v>0</v>
      </c>
    </row>
    <row r="379" spans="1:1" x14ac:dyDescent="0.35">
      <c r="A379" t="b">
        <f>"coop"="æ"</f>
        <v>0</v>
      </c>
    </row>
    <row r="380" spans="1:1" x14ac:dyDescent="0.35">
      <c r="A380" t="b">
        <f>"coop"="ae"</f>
        <v>0</v>
      </c>
    </row>
    <row r="381" spans="1:1" x14ac:dyDescent="0.35">
      <c r="A381" t="b">
        <f>"coop"="é"</f>
        <v>0</v>
      </c>
    </row>
    <row r="382" spans="1:1" x14ac:dyDescent="0.35">
      <c r="A382" t="b">
        <f>"coop"="e"</f>
        <v>0</v>
      </c>
    </row>
    <row r="383" spans="1:1" x14ac:dyDescent="0.35">
      <c r="A383" t="b">
        <f>"coop"="f"</f>
        <v>0</v>
      </c>
    </row>
    <row r="384" spans="1:1" x14ac:dyDescent="0.35">
      <c r="A384" t="b">
        <f>"coop"="É"</f>
        <v>0</v>
      </c>
    </row>
    <row r="385" spans="1:1" x14ac:dyDescent="0.35">
      <c r="A385" t="b">
        <f>"coop"="1"</f>
        <v>0</v>
      </c>
    </row>
    <row r="386" spans="1:1" x14ac:dyDescent="0.35">
      <c r="A386" t="b">
        <f>"coop"="10"</f>
        <v>0</v>
      </c>
    </row>
    <row r="387" spans="1:1" x14ac:dyDescent="0.35">
      <c r="A387" t="b">
        <f>"coop"="9"</f>
        <v>0</v>
      </c>
    </row>
    <row r="388" spans="1:1" x14ac:dyDescent="0.35">
      <c r="A388" t="b">
        <f>"coop"="a1"</f>
        <v>0</v>
      </c>
    </row>
    <row r="389" spans="1:1" x14ac:dyDescent="0.35">
      <c r="A389" t="b">
        <f>"coop"="a10"</f>
        <v>0</v>
      </c>
    </row>
    <row r="390" spans="1:1" x14ac:dyDescent="0.35">
      <c r="A390" t="b">
        <f>"coop"="a2"</f>
        <v>0</v>
      </c>
    </row>
    <row r="391" spans="1:1" x14ac:dyDescent="0.35">
      <c r="A391" t="b">
        <f>"coop"="_"</f>
        <v>0</v>
      </c>
    </row>
    <row r="392" spans="1:1" x14ac:dyDescent="0.35">
      <c r="A392" t="b">
        <f>"coop"="-"</f>
        <v>0</v>
      </c>
    </row>
    <row r="393" spans="1:1" x14ac:dyDescent="0.35">
      <c r="A393" t="b">
        <f>"coop"="~"</f>
        <v>0</v>
      </c>
    </row>
    <row r="394" spans="1:1" x14ac:dyDescent="0.35">
      <c r="A394" t="b">
        <f>"coop"="z"</f>
        <v>0</v>
      </c>
    </row>
    <row r="395" spans="1:1" x14ac:dyDescent="0.35">
      <c r="A395" t="b">
        <f>"coop"="Ω"</f>
        <v>0</v>
      </c>
    </row>
    <row r="396" spans="1:1" x14ac:dyDescent="0.35">
      <c r="A396" t="b">
        <f>"coop"="ω"</f>
        <v>0</v>
      </c>
    </row>
    <row r="397" spans="1:1" x14ac:dyDescent="0.35">
      <c r="A397" t="b">
        <f>"cop"="a"</f>
        <v>0</v>
      </c>
    </row>
    <row r="398" spans="1:1" x14ac:dyDescent="0.35">
      <c r="A398" t="b">
        <f>"cop"="A"</f>
        <v>0</v>
      </c>
    </row>
    <row r="399" spans="1:1" x14ac:dyDescent="0.35">
      <c r="A399" t="b">
        <f>"cop"="b"</f>
        <v>0</v>
      </c>
    </row>
    <row r="400" spans="1:1" x14ac:dyDescent="0.35">
      <c r="A400" t="b">
        <f>"cop"="B"</f>
        <v>0</v>
      </c>
    </row>
    <row r="401" spans="1:1" x14ac:dyDescent="0.35">
      <c r="A401" t="b">
        <f>"cop"=""</f>
        <v>0</v>
      </c>
    </row>
    <row r="402" spans="1:1" x14ac:dyDescent="0.35">
      <c r="A402" t="b">
        <f>"cop"=" "</f>
        <v>0</v>
      </c>
    </row>
    <row r="403" spans="1:1" x14ac:dyDescent="0.35">
      <c r="A403" t="b">
        <f>"cop"="ab"</f>
        <v>0</v>
      </c>
    </row>
    <row r="404" spans="1:1" x14ac:dyDescent="0.35">
      <c r="A404" t="b">
        <f>"cop"="a b"</f>
        <v>0</v>
      </c>
    </row>
    <row r="405" spans="1:1" x14ac:dyDescent="0.35">
      <c r="A405" t="b">
        <f>"cop"="a-b"</f>
        <v>0</v>
      </c>
    </row>
    <row r="406" spans="1:1" x14ac:dyDescent="0.35">
      <c r="A406" t="b">
        <f>"cop"="a'b"</f>
        <v>0</v>
      </c>
    </row>
    <row r="407" spans="1:1" x14ac:dyDescent="0.35">
      <c r="A407" t="b">
        <f>"cop"="co-op"</f>
        <v>0</v>
      </c>
    </row>
    <row r="408" spans="1:1" x14ac:dyDescent="0.35">
      <c r="A408" t="b">
        <f>"cop"="coop"</f>
        <v>0</v>
      </c>
    </row>
    <row r="409" spans="1:1" x14ac:dyDescent="0.35">
      <c r="A409" t="b">
        <f>"cop"="cop"</f>
        <v>1</v>
      </c>
    </row>
    <row r="410" spans="1:1" x14ac:dyDescent="0.35">
      <c r="A410" t="b">
        <f>"cop"="ß"</f>
        <v>0</v>
      </c>
    </row>
    <row r="411" spans="1:1" x14ac:dyDescent="0.35">
      <c r="A411" t="b">
        <f>"cop"="ss"</f>
        <v>0</v>
      </c>
    </row>
    <row r="412" spans="1:1" x14ac:dyDescent="0.35">
      <c r="A412" t="b">
        <f>"cop"="æ"</f>
        <v>0</v>
      </c>
    </row>
    <row r="413" spans="1:1" x14ac:dyDescent="0.35">
      <c r="A413" t="b">
        <f>"cop"="ae"</f>
        <v>0</v>
      </c>
    </row>
    <row r="414" spans="1:1" x14ac:dyDescent="0.35">
      <c r="A414" t="b">
        <f>"cop"="é"</f>
        <v>0</v>
      </c>
    </row>
    <row r="415" spans="1:1" x14ac:dyDescent="0.35">
      <c r="A415" t="b">
        <f>"cop"="e"</f>
        <v>0</v>
      </c>
    </row>
    <row r="416" spans="1:1" x14ac:dyDescent="0.35">
      <c r="A416" t="b">
        <f>"cop"="f"</f>
        <v>0</v>
      </c>
    </row>
    <row r="417" spans="1:1" x14ac:dyDescent="0.35">
      <c r="A417" t="b">
        <f>"cop"="É"</f>
        <v>0</v>
      </c>
    </row>
    <row r="418" spans="1:1" x14ac:dyDescent="0.35">
      <c r="A418" t="b">
        <f>"cop"="1"</f>
        <v>0</v>
      </c>
    </row>
    <row r="419" spans="1:1" x14ac:dyDescent="0.35">
      <c r="A419" t="b">
        <f>"cop"="10"</f>
        <v>0</v>
      </c>
    </row>
    <row r="420" spans="1:1" x14ac:dyDescent="0.35">
      <c r="A420" t="b">
        <f>"cop"="9"</f>
        <v>0</v>
      </c>
    </row>
    <row r="421" spans="1:1" x14ac:dyDescent="0.35">
      <c r="A421" t="b">
        <f>"cop"="a1"</f>
        <v>0</v>
      </c>
    </row>
    <row r="422" spans="1:1" x14ac:dyDescent="0.35">
      <c r="A422" t="b">
        <f>"cop"="a10"</f>
        <v>0</v>
      </c>
    </row>
    <row r="423" spans="1:1" x14ac:dyDescent="0.35">
      <c r="A423" t="b">
        <f>"cop"="a2"</f>
        <v>0</v>
      </c>
    </row>
    <row r="424" spans="1:1" x14ac:dyDescent="0.35">
      <c r="A424" t="b">
        <f>"cop"="_"</f>
        <v>0</v>
      </c>
    </row>
    <row r="425" spans="1:1" x14ac:dyDescent="0.35">
      <c r="A425" t="b">
        <f>"cop"="-"</f>
        <v>0</v>
      </c>
    </row>
    <row r="426" spans="1:1" x14ac:dyDescent="0.35">
      <c r="A426" t="b">
        <f>"cop"="~"</f>
        <v>0</v>
      </c>
    </row>
    <row r="427" spans="1:1" x14ac:dyDescent="0.35">
      <c r="A427" t="b">
        <f>"cop"="z"</f>
        <v>0</v>
      </c>
    </row>
    <row r="428" spans="1:1" x14ac:dyDescent="0.35">
      <c r="A428" t="b">
        <f>"cop"="Ω"</f>
        <v>0</v>
      </c>
    </row>
    <row r="429" spans="1:1" x14ac:dyDescent="0.35">
      <c r="A429" t="b">
        <f>"cop"="ω"</f>
        <v>0</v>
      </c>
    </row>
    <row r="430" spans="1:1" x14ac:dyDescent="0.35">
      <c r="A430" t="b">
        <f>"ß"="a"</f>
        <v>0</v>
      </c>
    </row>
    <row r="431" spans="1:1" x14ac:dyDescent="0.35">
      <c r="A431" t="b">
        <f>"ß"="A"</f>
        <v>0</v>
      </c>
    </row>
    <row r="432" spans="1:1" x14ac:dyDescent="0.35">
      <c r="A432" t="b">
        <f>"ß"="b"</f>
        <v>0</v>
      </c>
    </row>
    <row r="433" spans="1:1" x14ac:dyDescent="0.35">
      <c r="A433" t="b">
        <f>"ß"="B"</f>
        <v>0</v>
      </c>
    </row>
    <row r="434" spans="1:1" x14ac:dyDescent="0.35">
      <c r="A434" t="b">
        <f>"ß"=""</f>
        <v>0</v>
      </c>
    </row>
    <row r="435" spans="1:1" x14ac:dyDescent="0.35">
      <c r="A435" t="b">
        <f>"ß"=" "</f>
        <v>0</v>
      </c>
    </row>
    <row r="436" spans="1:1" x14ac:dyDescent="0.35">
      <c r="A436" t="b">
        <f>"ß"="ab"</f>
        <v>0</v>
      </c>
    </row>
    <row r="437" spans="1:1" x14ac:dyDescent="0.35">
      <c r="A437" t="b">
        <f>"ß"="a b"</f>
        <v>0</v>
      </c>
    </row>
    <row r="438" spans="1:1" x14ac:dyDescent="0.35">
      <c r="A438" t="b">
        <f>"ß"="a-b"</f>
        <v>0</v>
      </c>
    </row>
    <row r="439" spans="1:1" x14ac:dyDescent="0.35">
      <c r="A439" t="b">
        <f>"ß"="a'b"</f>
        <v>0</v>
      </c>
    </row>
    <row r="440" spans="1:1" x14ac:dyDescent="0.35">
      <c r="A440" t="b">
        <f>"ß"="co-op"</f>
        <v>0</v>
      </c>
    </row>
    <row r="441" spans="1:1" x14ac:dyDescent="0.35">
      <c r="A441" t="b">
        <f>"ß"="coop"</f>
        <v>0</v>
      </c>
    </row>
    <row r="442" spans="1:1" x14ac:dyDescent="0.35">
      <c r="A442" t="b">
        <f>"ß"="cop"</f>
        <v>0</v>
      </c>
    </row>
    <row r="443" spans="1:1" x14ac:dyDescent="0.35">
      <c r="A443" t="b">
        <f>"ß"="ß"</f>
        <v>1</v>
      </c>
    </row>
    <row r="444" spans="1:1" x14ac:dyDescent="0.35">
      <c r="A444" t="b">
        <f>"ß"="ss"</f>
        <v>1</v>
      </c>
    </row>
    <row r="445" spans="1:1" x14ac:dyDescent="0.35">
      <c r="A445" t="b">
        <f>"ß"="æ"</f>
        <v>0</v>
      </c>
    </row>
    <row r="446" spans="1:1" x14ac:dyDescent="0.35">
      <c r="A446" t="b">
        <f>"ß"="ae"</f>
        <v>0</v>
      </c>
    </row>
    <row r="447" spans="1:1" x14ac:dyDescent="0.35">
      <c r="A447" t="b">
        <f>"ß"="é"</f>
        <v>0</v>
      </c>
    </row>
    <row r="448" spans="1:1" x14ac:dyDescent="0.35">
      <c r="A448" t="b">
        <f>"ß"="e"</f>
        <v>0</v>
      </c>
    </row>
    <row r="449" spans="1:1" x14ac:dyDescent="0.35">
      <c r="A449" t="b">
        <f>"ß"="f"</f>
        <v>0</v>
      </c>
    </row>
    <row r="450" spans="1:1" x14ac:dyDescent="0.35">
      <c r="A450" t="b">
        <f>"ß"="É"</f>
        <v>0</v>
      </c>
    </row>
    <row r="451" spans="1:1" x14ac:dyDescent="0.35">
      <c r="A451" t="b">
        <f>"ß"="1"</f>
        <v>0</v>
      </c>
    </row>
    <row r="452" spans="1:1" x14ac:dyDescent="0.35">
      <c r="A452" t="b">
        <f>"ß"="10"</f>
        <v>0</v>
      </c>
    </row>
    <row r="453" spans="1:1" x14ac:dyDescent="0.35">
      <c r="A453" t="b">
        <f>"ß"="9"</f>
        <v>0</v>
      </c>
    </row>
    <row r="454" spans="1:1" x14ac:dyDescent="0.35">
      <c r="A454" t="b">
        <f>"ß"="a1"</f>
        <v>0</v>
      </c>
    </row>
    <row r="455" spans="1:1" x14ac:dyDescent="0.35">
      <c r="A455" t="b">
        <f>"ß"="a10"</f>
        <v>0</v>
      </c>
    </row>
    <row r="456" spans="1:1" x14ac:dyDescent="0.35">
      <c r="A456" t="b">
        <f>"ß"="a2"</f>
        <v>0</v>
      </c>
    </row>
    <row r="457" spans="1:1" x14ac:dyDescent="0.35">
      <c r="A457" t="b">
        <f>"ß"="_"</f>
        <v>0</v>
      </c>
    </row>
    <row r="458" spans="1:1" x14ac:dyDescent="0.35">
      <c r="A458" t="b">
        <f>"ß"="-"</f>
        <v>0</v>
      </c>
    </row>
    <row r="459" spans="1:1" x14ac:dyDescent="0.35">
      <c r="A459" t="b">
        <f>"ß"="~"</f>
        <v>0</v>
      </c>
    </row>
    <row r="460" spans="1:1" x14ac:dyDescent="0.35">
      <c r="A460" t="b">
        <f>"ß"="z"</f>
        <v>0</v>
      </c>
    </row>
    <row r="461" spans="1:1" x14ac:dyDescent="0.35">
      <c r="A461" t="b">
        <f>"ß"="Ω"</f>
        <v>0</v>
      </c>
    </row>
    <row r="462" spans="1:1" x14ac:dyDescent="0.35">
      <c r="A462" t="b">
        <f>"ß"="ω"</f>
        <v>0</v>
      </c>
    </row>
    <row r="463" spans="1:1" x14ac:dyDescent="0.35">
      <c r="A463" t="b">
        <f>"ss"="a"</f>
        <v>0</v>
      </c>
    </row>
    <row r="464" spans="1:1" x14ac:dyDescent="0.35">
      <c r="A464" t="b">
        <f>"ss"="A"</f>
        <v>0</v>
      </c>
    </row>
    <row r="465" spans="1:1" x14ac:dyDescent="0.35">
      <c r="A465" t="b">
        <f>"ss"="b"</f>
        <v>0</v>
      </c>
    </row>
    <row r="466" spans="1:1" x14ac:dyDescent="0.35">
      <c r="A466" t="b">
        <f>"ss"="B"</f>
        <v>0</v>
      </c>
    </row>
    <row r="467" spans="1:1" x14ac:dyDescent="0.35">
      <c r="A467" t="b">
        <f>"ss"=""</f>
        <v>0</v>
      </c>
    </row>
    <row r="468" spans="1:1" x14ac:dyDescent="0.35">
      <c r="A468" t="b">
        <f>"ss"=" "</f>
        <v>0</v>
      </c>
    </row>
    <row r="469" spans="1:1" x14ac:dyDescent="0.35">
      <c r="A469" t="b">
        <f>"ss"="ab"</f>
        <v>0</v>
      </c>
    </row>
    <row r="470" spans="1:1" x14ac:dyDescent="0.35">
      <c r="A470" t="b">
        <f>"ss"="a b"</f>
        <v>0</v>
      </c>
    </row>
    <row r="471" spans="1:1" x14ac:dyDescent="0.35">
      <c r="A471" t="b">
        <f>"ss"="a-b"</f>
        <v>0</v>
      </c>
    </row>
    <row r="472" spans="1:1" x14ac:dyDescent="0.35">
      <c r="A472" t="b">
        <f>"ss"="a'b"</f>
        <v>0</v>
      </c>
    </row>
    <row r="473" spans="1:1" x14ac:dyDescent="0.35">
      <c r="A473" t="b">
        <f>"ss"="co-op"</f>
        <v>0</v>
      </c>
    </row>
    <row r="474" spans="1:1" x14ac:dyDescent="0.35">
      <c r="A474" t="b">
        <f>"ss"="coop"</f>
        <v>0</v>
      </c>
    </row>
    <row r="475" spans="1:1" x14ac:dyDescent="0.35">
      <c r="A475" t="b">
        <f>"ss"="cop"</f>
        <v>0</v>
      </c>
    </row>
    <row r="476" spans="1:1" x14ac:dyDescent="0.35">
      <c r="A476" t="b">
        <f>"ss"="ß"</f>
        <v>1</v>
      </c>
    </row>
    <row r="477" spans="1:1" x14ac:dyDescent="0.35">
      <c r="A477" t="b">
        <f>"ss"="ss"</f>
        <v>1</v>
      </c>
    </row>
    <row r="478" spans="1:1" x14ac:dyDescent="0.35">
      <c r="A478" t="b">
        <f>"ss"="æ"</f>
        <v>0</v>
      </c>
    </row>
    <row r="479" spans="1:1" x14ac:dyDescent="0.35">
      <c r="A479" t="b">
        <f>"ss"="ae"</f>
        <v>0</v>
      </c>
    </row>
    <row r="480" spans="1:1" x14ac:dyDescent="0.35">
      <c r="A480" t="b">
        <f>"ss"="é"</f>
        <v>0</v>
      </c>
    </row>
    <row r="481" spans="1:1" x14ac:dyDescent="0.35">
      <c r="A481" t="b">
        <f>"ss"="e"</f>
        <v>0</v>
      </c>
    </row>
    <row r="482" spans="1:1" x14ac:dyDescent="0.35">
      <c r="A482" t="b">
        <f>"ss"="f"</f>
        <v>0</v>
      </c>
    </row>
    <row r="483" spans="1:1" x14ac:dyDescent="0.35">
      <c r="A483" t="b">
        <f>"ss"="É"</f>
        <v>0</v>
      </c>
    </row>
    <row r="484" spans="1:1" x14ac:dyDescent="0.35">
      <c r="A484" t="b">
        <f>"ss"="1"</f>
        <v>0</v>
      </c>
    </row>
    <row r="485" spans="1:1" x14ac:dyDescent="0.35">
      <c r="A485" t="b">
        <f>"ss"="10"</f>
        <v>0</v>
      </c>
    </row>
    <row r="486" spans="1:1" x14ac:dyDescent="0.35">
      <c r="A486" t="b">
        <f>"ss"="9"</f>
        <v>0</v>
      </c>
    </row>
    <row r="487" spans="1:1" x14ac:dyDescent="0.35">
      <c r="A487" t="b">
        <f>"ss"="a1"</f>
        <v>0</v>
      </c>
    </row>
    <row r="488" spans="1:1" x14ac:dyDescent="0.35">
      <c r="A488" t="b">
        <f>"ss"="a10"</f>
        <v>0</v>
      </c>
    </row>
    <row r="489" spans="1:1" x14ac:dyDescent="0.35">
      <c r="A489" t="b">
        <f>"ss"="a2"</f>
        <v>0</v>
      </c>
    </row>
    <row r="490" spans="1:1" x14ac:dyDescent="0.35">
      <c r="A490" t="b">
        <f>"ss"="_"</f>
        <v>0</v>
      </c>
    </row>
    <row r="491" spans="1:1" x14ac:dyDescent="0.35">
      <c r="A491" t="b">
        <f>"ss"="-"</f>
        <v>0</v>
      </c>
    </row>
    <row r="492" spans="1:1" x14ac:dyDescent="0.35">
      <c r="A492" t="b">
        <f>"ss"="~"</f>
        <v>0</v>
      </c>
    </row>
    <row r="493" spans="1:1" x14ac:dyDescent="0.35">
      <c r="A493" t="b">
        <f>"ss"="z"</f>
        <v>0</v>
      </c>
    </row>
    <row r="494" spans="1:1" x14ac:dyDescent="0.35">
      <c r="A494" t="b">
        <f>"ss"="Ω"</f>
        <v>0</v>
      </c>
    </row>
    <row r="495" spans="1:1" x14ac:dyDescent="0.35">
      <c r="A495" t="b">
        <f>"ss"="ω"</f>
        <v>0</v>
      </c>
    </row>
    <row r="496" spans="1:1" x14ac:dyDescent="0.35">
      <c r="A496" t="b">
        <f>"æ"="a"</f>
        <v>0</v>
      </c>
    </row>
    <row r="497" spans="1:1" x14ac:dyDescent="0.35">
      <c r="A497" t="b">
        <f>"æ"="A"</f>
        <v>0</v>
      </c>
    </row>
    <row r="498" spans="1:1" x14ac:dyDescent="0.35">
      <c r="A498" t="b">
        <f>"æ"="b"</f>
        <v>0</v>
      </c>
    </row>
    <row r="499" spans="1:1" x14ac:dyDescent="0.35">
      <c r="A499" t="b">
        <f>"æ"="B"</f>
        <v>0</v>
      </c>
    </row>
    <row r="500" spans="1:1" x14ac:dyDescent="0.35">
      <c r="A500" t="b">
        <f>"æ"=""</f>
        <v>0</v>
      </c>
    </row>
    <row r="501" spans="1:1" x14ac:dyDescent="0.35">
      <c r="A501" t="b">
        <f>"æ"=" "</f>
        <v>0</v>
      </c>
    </row>
    <row r="502" spans="1:1" x14ac:dyDescent="0.35">
      <c r="A502" t="b">
        <f>"æ"="ab"</f>
        <v>0</v>
      </c>
    </row>
    <row r="503" spans="1:1" x14ac:dyDescent="0.35">
      <c r="A503" t="b">
        <f>"æ"="a b"</f>
        <v>0</v>
      </c>
    </row>
    <row r="504" spans="1:1" x14ac:dyDescent="0.35">
      <c r="A504" t="b">
        <f>"æ"="a-b"</f>
        <v>0</v>
      </c>
    </row>
    <row r="505" spans="1:1" x14ac:dyDescent="0.35">
      <c r="A505" t="b">
        <f>"æ"="a'b"</f>
        <v>0</v>
      </c>
    </row>
    <row r="506" spans="1:1" x14ac:dyDescent="0.35">
      <c r="A506" t="b">
        <f>"æ"="co-op"</f>
        <v>0</v>
      </c>
    </row>
    <row r="507" spans="1:1" x14ac:dyDescent="0.35">
      <c r="A507" t="b">
        <f>"æ"="coop"</f>
        <v>0</v>
      </c>
    </row>
    <row r="508" spans="1:1" x14ac:dyDescent="0.35">
      <c r="A508" t="b">
        <f>"æ"="cop"</f>
        <v>0</v>
      </c>
    </row>
    <row r="509" spans="1:1" x14ac:dyDescent="0.35">
      <c r="A509" t="b">
        <f>"æ"="ß"</f>
        <v>0</v>
      </c>
    </row>
    <row r="510" spans="1:1" x14ac:dyDescent="0.35">
      <c r="A510" t="b">
        <f>"æ"="ss"</f>
        <v>0</v>
      </c>
    </row>
    <row r="511" spans="1:1" x14ac:dyDescent="0.35">
      <c r="A511" t="b">
        <f>"æ"="æ"</f>
        <v>1</v>
      </c>
    </row>
    <row r="512" spans="1:1" x14ac:dyDescent="0.35">
      <c r="A512" t="b">
        <f>"æ"="ae"</f>
        <v>1</v>
      </c>
    </row>
    <row r="513" spans="1:1" x14ac:dyDescent="0.35">
      <c r="A513" t="b">
        <f>"æ"="é"</f>
        <v>0</v>
      </c>
    </row>
    <row r="514" spans="1:1" x14ac:dyDescent="0.35">
      <c r="A514" t="b">
        <f>"æ"="e"</f>
        <v>0</v>
      </c>
    </row>
    <row r="515" spans="1:1" x14ac:dyDescent="0.35">
      <c r="A515" t="b">
        <f>"æ"="f"</f>
        <v>0</v>
      </c>
    </row>
    <row r="516" spans="1:1" x14ac:dyDescent="0.35">
      <c r="A516" t="b">
        <f>"æ"="É"</f>
        <v>0</v>
      </c>
    </row>
    <row r="517" spans="1:1" x14ac:dyDescent="0.35">
      <c r="A517" t="b">
        <f>"æ"="1"</f>
        <v>0</v>
      </c>
    </row>
    <row r="518" spans="1:1" x14ac:dyDescent="0.35">
      <c r="A518" t="b">
        <f>"æ"="10"</f>
        <v>0</v>
      </c>
    </row>
    <row r="519" spans="1:1" x14ac:dyDescent="0.35">
      <c r="A519" t="b">
        <f>"æ"="9"</f>
        <v>0</v>
      </c>
    </row>
    <row r="520" spans="1:1" x14ac:dyDescent="0.35">
      <c r="A520" t="b">
        <f>"æ"="a1"</f>
        <v>0</v>
      </c>
    </row>
    <row r="521" spans="1:1" x14ac:dyDescent="0.35">
      <c r="A521" t="b">
        <f>"æ"="a10"</f>
        <v>0</v>
      </c>
    </row>
    <row r="522" spans="1:1" x14ac:dyDescent="0.35">
      <c r="A522" t="b">
        <f>"æ"="a2"</f>
        <v>0</v>
      </c>
    </row>
    <row r="523" spans="1:1" x14ac:dyDescent="0.35">
      <c r="A523" t="b">
        <f>"æ"="_"</f>
        <v>0</v>
      </c>
    </row>
    <row r="524" spans="1:1" x14ac:dyDescent="0.35">
      <c r="A524" t="b">
        <f>"æ"="-"</f>
        <v>0</v>
      </c>
    </row>
    <row r="525" spans="1:1" x14ac:dyDescent="0.35">
      <c r="A525" t="b">
        <f>"æ"="~"</f>
        <v>0</v>
      </c>
    </row>
    <row r="526" spans="1:1" x14ac:dyDescent="0.35">
      <c r="A526" t="b">
        <f>"æ"="z"</f>
        <v>0</v>
      </c>
    </row>
    <row r="527" spans="1:1" x14ac:dyDescent="0.35">
      <c r="A527" t="b">
        <f>"æ"="Ω"</f>
        <v>0</v>
      </c>
    </row>
    <row r="528" spans="1:1" x14ac:dyDescent="0.35">
      <c r="A528" t="b">
        <f>"æ"="ω"</f>
        <v>0</v>
      </c>
    </row>
    <row r="529" spans="1:1" x14ac:dyDescent="0.35">
      <c r="A529" t="b">
        <f>"ae"="a"</f>
        <v>0</v>
      </c>
    </row>
    <row r="530" spans="1:1" x14ac:dyDescent="0.35">
      <c r="A530" t="b">
        <f>"ae"="A"</f>
        <v>0</v>
      </c>
    </row>
    <row r="531" spans="1:1" x14ac:dyDescent="0.35">
      <c r="A531" t="b">
        <f>"ae"="b"</f>
        <v>0</v>
      </c>
    </row>
    <row r="532" spans="1:1" x14ac:dyDescent="0.35">
      <c r="A532" t="b">
        <f>"ae"="B"</f>
        <v>0</v>
      </c>
    </row>
    <row r="533" spans="1:1" x14ac:dyDescent="0.35">
      <c r="A533" t="b">
        <f>"ae"=""</f>
        <v>0</v>
      </c>
    </row>
    <row r="534" spans="1:1" x14ac:dyDescent="0.35">
      <c r="A534" t="b">
        <f>"ae"=" "</f>
        <v>0</v>
      </c>
    </row>
    <row r="535" spans="1:1" x14ac:dyDescent="0.35">
      <c r="A535" t="b">
        <f>"ae"="ab"</f>
        <v>0</v>
      </c>
    </row>
    <row r="536" spans="1:1" x14ac:dyDescent="0.35">
      <c r="A536" t="b">
        <f>"ae"="a b"</f>
        <v>0</v>
      </c>
    </row>
    <row r="537" spans="1:1" x14ac:dyDescent="0.35">
      <c r="A537" t="b">
        <f>"ae"="a-b"</f>
        <v>0</v>
      </c>
    </row>
    <row r="538" spans="1:1" x14ac:dyDescent="0.35">
      <c r="A538" t="b">
        <f>"ae"="a'b"</f>
        <v>0</v>
      </c>
    </row>
    <row r="539" spans="1:1" x14ac:dyDescent="0.35">
      <c r="A539" t="b">
        <f>"ae"="co-op"</f>
        <v>0</v>
      </c>
    </row>
    <row r="540" spans="1:1" x14ac:dyDescent="0.35">
      <c r="A540" t="b">
        <f>"ae"="coop"</f>
        <v>0</v>
      </c>
    </row>
    <row r="541" spans="1:1" x14ac:dyDescent="0.35">
      <c r="A541" t="b">
        <f>"ae"="cop"</f>
        <v>0</v>
      </c>
    </row>
    <row r="542" spans="1:1" x14ac:dyDescent="0.35">
      <c r="A542" t="b">
        <f>"ae"="ß"</f>
        <v>0</v>
      </c>
    </row>
    <row r="543" spans="1:1" x14ac:dyDescent="0.35">
      <c r="A543" t="b">
        <f>"ae"="ss"</f>
        <v>0</v>
      </c>
    </row>
    <row r="544" spans="1:1" x14ac:dyDescent="0.35">
      <c r="A544" t="b">
        <f>"ae"="æ"</f>
        <v>1</v>
      </c>
    </row>
    <row r="545" spans="1:1" x14ac:dyDescent="0.35">
      <c r="A545" t="b">
        <f>"ae"="ae"</f>
        <v>1</v>
      </c>
    </row>
    <row r="546" spans="1:1" x14ac:dyDescent="0.35">
      <c r="A546" t="b">
        <f>"ae"="é"</f>
        <v>0</v>
      </c>
    </row>
    <row r="547" spans="1:1" x14ac:dyDescent="0.35">
      <c r="A547" t="b">
        <f>"ae"="e"</f>
        <v>0</v>
      </c>
    </row>
    <row r="548" spans="1:1" x14ac:dyDescent="0.35">
      <c r="A548" t="b">
        <f>"ae"="f"</f>
        <v>0</v>
      </c>
    </row>
    <row r="549" spans="1:1" x14ac:dyDescent="0.35">
      <c r="A549" t="b">
        <f>"ae"="É"</f>
        <v>0</v>
      </c>
    </row>
    <row r="550" spans="1:1" x14ac:dyDescent="0.35">
      <c r="A550" t="b">
        <f>"ae"="1"</f>
        <v>0</v>
      </c>
    </row>
    <row r="551" spans="1:1" x14ac:dyDescent="0.35">
      <c r="A551" t="b">
        <f>"ae"="10"</f>
        <v>0</v>
      </c>
    </row>
    <row r="552" spans="1:1" x14ac:dyDescent="0.35">
      <c r="A552" t="b">
        <f>"ae"="9"</f>
        <v>0</v>
      </c>
    </row>
    <row r="553" spans="1:1" x14ac:dyDescent="0.35">
      <c r="A553" t="b">
        <f>"ae"="a1"</f>
        <v>0</v>
      </c>
    </row>
    <row r="554" spans="1:1" x14ac:dyDescent="0.35">
      <c r="A554" t="b">
        <f>"ae"="a10"</f>
        <v>0</v>
      </c>
    </row>
    <row r="555" spans="1:1" x14ac:dyDescent="0.35">
      <c r="A555" t="b">
        <f>"ae"="a2"</f>
        <v>0</v>
      </c>
    </row>
    <row r="556" spans="1:1" x14ac:dyDescent="0.35">
      <c r="A556" t="b">
        <f>"ae"="_"</f>
        <v>0</v>
      </c>
    </row>
    <row r="557" spans="1:1" x14ac:dyDescent="0.35">
      <c r="A557" t="b">
        <f>"ae"="-"</f>
        <v>0</v>
      </c>
    </row>
    <row r="558" spans="1:1" x14ac:dyDescent="0.35">
      <c r="A558" t="b">
        <f>"ae"="~"</f>
        <v>0</v>
      </c>
    </row>
    <row r="559" spans="1:1" x14ac:dyDescent="0.35">
      <c r="A559" t="b">
        <f>"ae"="z"</f>
        <v>0</v>
      </c>
    </row>
    <row r="560" spans="1:1" x14ac:dyDescent="0.35">
      <c r="A560" t="b">
        <f>"ae"="Ω"</f>
        <v>0</v>
      </c>
    </row>
    <row r="561" spans="1:1" x14ac:dyDescent="0.35">
      <c r="A561" t="b">
        <f>"ae"="ω"</f>
        <v>0</v>
      </c>
    </row>
    <row r="562" spans="1:1" x14ac:dyDescent="0.35">
      <c r="A562" t="b">
        <f>"é"="a"</f>
        <v>0</v>
      </c>
    </row>
    <row r="563" spans="1:1" x14ac:dyDescent="0.35">
      <c r="A563" t="b">
        <f>"é"="A"</f>
        <v>0</v>
      </c>
    </row>
    <row r="564" spans="1:1" x14ac:dyDescent="0.35">
      <c r="A564" t="b">
        <f>"é"="b"</f>
        <v>0</v>
      </c>
    </row>
    <row r="565" spans="1:1" x14ac:dyDescent="0.35">
      <c r="A565" t="b">
        <f>"é"="B"</f>
        <v>0</v>
      </c>
    </row>
    <row r="566" spans="1:1" x14ac:dyDescent="0.35">
      <c r="A566" t="b">
        <f>"é"=""</f>
        <v>0</v>
      </c>
    </row>
    <row r="567" spans="1:1" x14ac:dyDescent="0.35">
      <c r="A567" t="b">
        <f>"é"=" "</f>
        <v>0</v>
      </c>
    </row>
    <row r="568" spans="1:1" x14ac:dyDescent="0.35">
      <c r="A568" t="b">
        <f>"é"="ab"</f>
        <v>0</v>
      </c>
    </row>
    <row r="569" spans="1:1" x14ac:dyDescent="0.35">
      <c r="A569" t="b">
        <f>"é"="a b"</f>
        <v>0</v>
      </c>
    </row>
    <row r="570" spans="1:1" x14ac:dyDescent="0.35">
      <c r="A570" t="b">
        <f>"é"="a-b"</f>
        <v>0</v>
      </c>
    </row>
    <row r="571" spans="1:1" x14ac:dyDescent="0.35">
      <c r="A571" t="b">
        <f>"é"="a'b"</f>
        <v>0</v>
      </c>
    </row>
    <row r="572" spans="1:1" x14ac:dyDescent="0.35">
      <c r="A572" t="b">
        <f>"é"="co-op"</f>
        <v>0</v>
      </c>
    </row>
    <row r="573" spans="1:1" x14ac:dyDescent="0.35">
      <c r="A573" t="b">
        <f>"é"="coop"</f>
        <v>0</v>
      </c>
    </row>
    <row r="574" spans="1:1" x14ac:dyDescent="0.35">
      <c r="A574" t="b">
        <f>"é"="cop"</f>
        <v>0</v>
      </c>
    </row>
    <row r="575" spans="1:1" x14ac:dyDescent="0.35">
      <c r="A575" t="b">
        <f>"é"="ß"</f>
        <v>0</v>
      </c>
    </row>
    <row r="576" spans="1:1" x14ac:dyDescent="0.35">
      <c r="A576" t="b">
        <f>"é"="ss"</f>
        <v>0</v>
      </c>
    </row>
    <row r="577" spans="1:1" x14ac:dyDescent="0.35">
      <c r="A577" t="b">
        <f>"é"="æ"</f>
        <v>0</v>
      </c>
    </row>
    <row r="578" spans="1:1" x14ac:dyDescent="0.35">
      <c r="A578" t="b">
        <f>"é"="ae"</f>
        <v>0</v>
      </c>
    </row>
    <row r="579" spans="1:1" x14ac:dyDescent="0.35">
      <c r="A579" t="b">
        <f>"é"="é"</f>
        <v>1</v>
      </c>
    </row>
    <row r="580" spans="1:1" x14ac:dyDescent="0.35">
      <c r="A580" t="b">
        <f>"é"="e"</f>
        <v>0</v>
      </c>
    </row>
    <row r="581" spans="1:1" x14ac:dyDescent="0.35">
      <c r="A581" t="b">
        <f>"é"="f"</f>
        <v>0</v>
      </c>
    </row>
    <row r="582" spans="1:1" x14ac:dyDescent="0.35">
      <c r="A582" t="b">
        <f>"é"="É"</f>
        <v>1</v>
      </c>
    </row>
    <row r="583" spans="1:1" x14ac:dyDescent="0.35">
      <c r="A583" t="b">
        <f>"é"="1"</f>
        <v>0</v>
      </c>
    </row>
    <row r="584" spans="1:1" x14ac:dyDescent="0.35">
      <c r="A584" t="b">
        <f>"é"="10"</f>
        <v>0</v>
      </c>
    </row>
    <row r="585" spans="1:1" x14ac:dyDescent="0.35">
      <c r="A585" t="b">
        <f>"é"="9"</f>
        <v>0</v>
      </c>
    </row>
    <row r="586" spans="1:1" x14ac:dyDescent="0.35">
      <c r="A586" t="b">
        <f>"é"="a1"</f>
        <v>0</v>
      </c>
    </row>
    <row r="587" spans="1:1" x14ac:dyDescent="0.35">
      <c r="A587" t="b">
        <f>"é"="a10"</f>
        <v>0</v>
      </c>
    </row>
    <row r="588" spans="1:1" x14ac:dyDescent="0.35">
      <c r="A588" t="b">
        <f>"é"="a2"</f>
        <v>0</v>
      </c>
    </row>
    <row r="589" spans="1:1" x14ac:dyDescent="0.35">
      <c r="A589" t="b">
        <f>"é"="_"</f>
        <v>0</v>
      </c>
    </row>
    <row r="590" spans="1:1" x14ac:dyDescent="0.35">
      <c r="A590" t="b">
        <f>"é"="-"</f>
        <v>0</v>
      </c>
    </row>
    <row r="591" spans="1:1" x14ac:dyDescent="0.35">
      <c r="A591" t="b">
        <f>"é"="~"</f>
        <v>0</v>
      </c>
    </row>
    <row r="592" spans="1:1" x14ac:dyDescent="0.35">
      <c r="A592" t="b">
        <f>"é"="z"</f>
        <v>0</v>
      </c>
    </row>
    <row r="593" spans="1:1" x14ac:dyDescent="0.35">
      <c r="A593" t="b">
        <f>"é"="Ω"</f>
        <v>0</v>
      </c>
    </row>
    <row r="594" spans="1:1" x14ac:dyDescent="0.35">
      <c r="A594" t="b">
        <f>"é"="ω"</f>
        <v>0</v>
      </c>
    </row>
    <row r="595" spans="1:1" x14ac:dyDescent="0.35">
      <c r="A595" t="b">
        <f>"e"="a"</f>
        <v>0</v>
      </c>
    </row>
    <row r="596" spans="1:1" x14ac:dyDescent="0.35">
      <c r="A596" t="b">
        <f>"e"="A"</f>
        <v>0</v>
      </c>
    </row>
    <row r="597" spans="1:1" x14ac:dyDescent="0.35">
      <c r="A597" t="b">
        <f>"e"="b"</f>
        <v>0</v>
      </c>
    </row>
    <row r="598" spans="1:1" x14ac:dyDescent="0.35">
      <c r="A598" t="b">
        <f>"e"="B"</f>
        <v>0</v>
      </c>
    </row>
    <row r="599" spans="1:1" x14ac:dyDescent="0.35">
      <c r="A599" t="b">
        <f>"e"=""</f>
        <v>0</v>
      </c>
    </row>
    <row r="600" spans="1:1" x14ac:dyDescent="0.35">
      <c r="A600" t="b">
        <f>"e"=" "</f>
        <v>0</v>
      </c>
    </row>
    <row r="601" spans="1:1" x14ac:dyDescent="0.35">
      <c r="A601" t="b">
        <f>"e"="ab"</f>
        <v>0</v>
      </c>
    </row>
    <row r="602" spans="1:1" x14ac:dyDescent="0.35">
      <c r="A602" t="b">
        <f>"e"="a b"</f>
        <v>0</v>
      </c>
    </row>
    <row r="603" spans="1:1" x14ac:dyDescent="0.35">
      <c r="A603" t="b">
        <f>"e"="a-b"</f>
        <v>0</v>
      </c>
    </row>
    <row r="604" spans="1:1" x14ac:dyDescent="0.35">
      <c r="A604" t="b">
        <f>"e"="a'b"</f>
        <v>0</v>
      </c>
    </row>
    <row r="605" spans="1:1" x14ac:dyDescent="0.35">
      <c r="A605" t="b">
        <f>"e"="co-op"</f>
        <v>0</v>
      </c>
    </row>
    <row r="606" spans="1:1" x14ac:dyDescent="0.35">
      <c r="A606" t="b">
        <f>"e"="coop"</f>
        <v>0</v>
      </c>
    </row>
    <row r="607" spans="1:1" x14ac:dyDescent="0.35">
      <c r="A607" t="b">
        <f>"e"="cop"</f>
        <v>0</v>
      </c>
    </row>
    <row r="608" spans="1:1" x14ac:dyDescent="0.35">
      <c r="A608" t="b">
        <f>"e"="ß"</f>
        <v>0</v>
      </c>
    </row>
    <row r="609" spans="1:1" x14ac:dyDescent="0.35">
      <c r="A609" t="b">
        <f>"e"="ss"</f>
        <v>0</v>
      </c>
    </row>
    <row r="610" spans="1:1" x14ac:dyDescent="0.35">
      <c r="A610" t="b">
        <f>"e"="æ"</f>
        <v>0</v>
      </c>
    </row>
    <row r="611" spans="1:1" x14ac:dyDescent="0.35">
      <c r="A611" t="b">
        <f>"e"="ae"</f>
        <v>0</v>
      </c>
    </row>
    <row r="612" spans="1:1" x14ac:dyDescent="0.35">
      <c r="A612" t="b">
        <f>"e"="é"</f>
        <v>0</v>
      </c>
    </row>
    <row r="613" spans="1:1" x14ac:dyDescent="0.35">
      <c r="A613" t="b">
        <f>"e"="e"</f>
        <v>1</v>
      </c>
    </row>
    <row r="614" spans="1:1" x14ac:dyDescent="0.35">
      <c r="A614" t="b">
        <f>"e"="f"</f>
        <v>0</v>
      </c>
    </row>
    <row r="615" spans="1:1" x14ac:dyDescent="0.35">
      <c r="A615" t="b">
        <f>"e"="É"</f>
        <v>0</v>
      </c>
    </row>
    <row r="616" spans="1:1" x14ac:dyDescent="0.35">
      <c r="A616" t="b">
        <f>"e"="1"</f>
        <v>0</v>
      </c>
    </row>
    <row r="617" spans="1:1" x14ac:dyDescent="0.35">
      <c r="A617" t="b">
        <f>"e"="10"</f>
        <v>0</v>
      </c>
    </row>
    <row r="618" spans="1:1" x14ac:dyDescent="0.35">
      <c r="A618" t="b">
        <f>"e"="9"</f>
        <v>0</v>
      </c>
    </row>
    <row r="619" spans="1:1" x14ac:dyDescent="0.35">
      <c r="A619" t="b">
        <f>"e"="a1"</f>
        <v>0</v>
      </c>
    </row>
    <row r="620" spans="1:1" x14ac:dyDescent="0.35">
      <c r="A620" t="b">
        <f>"e"="a10"</f>
        <v>0</v>
      </c>
    </row>
    <row r="621" spans="1:1" x14ac:dyDescent="0.35">
      <c r="A621" t="b">
        <f>"e"="a2"</f>
        <v>0</v>
      </c>
    </row>
    <row r="622" spans="1:1" x14ac:dyDescent="0.35">
      <c r="A622" t="b">
        <f>"e"="_"</f>
        <v>0</v>
      </c>
    </row>
    <row r="623" spans="1:1" x14ac:dyDescent="0.35">
      <c r="A623" t="b">
        <f>"e"="-"</f>
        <v>0</v>
      </c>
    </row>
    <row r="624" spans="1:1" x14ac:dyDescent="0.35">
      <c r="A624" t="b">
        <f>"e"="~"</f>
        <v>0</v>
      </c>
    </row>
    <row r="625" spans="1:1" x14ac:dyDescent="0.35">
      <c r="A625" t="b">
        <f>"e"="z"</f>
        <v>0</v>
      </c>
    </row>
    <row r="626" spans="1:1" x14ac:dyDescent="0.35">
      <c r="A626" t="b">
        <f>"e"="Ω"</f>
        <v>0</v>
      </c>
    </row>
    <row r="627" spans="1:1" x14ac:dyDescent="0.35">
      <c r="A627" t="b">
        <f>"e"="ω"</f>
        <v>0</v>
      </c>
    </row>
    <row r="628" spans="1:1" x14ac:dyDescent="0.35">
      <c r="A628" t="b">
        <f>"f"="a"</f>
        <v>0</v>
      </c>
    </row>
    <row r="629" spans="1:1" x14ac:dyDescent="0.35">
      <c r="A629" t="b">
        <f>"f"="A"</f>
        <v>0</v>
      </c>
    </row>
    <row r="630" spans="1:1" x14ac:dyDescent="0.35">
      <c r="A630" t="b">
        <f>"f"="b"</f>
        <v>0</v>
      </c>
    </row>
    <row r="631" spans="1:1" x14ac:dyDescent="0.35">
      <c r="A631" t="b">
        <f>"f"="B"</f>
        <v>0</v>
      </c>
    </row>
    <row r="632" spans="1:1" x14ac:dyDescent="0.35">
      <c r="A632" t="b">
        <f>"f"=""</f>
        <v>0</v>
      </c>
    </row>
    <row r="633" spans="1:1" x14ac:dyDescent="0.35">
      <c r="A633" t="b">
        <f>"f"=" "</f>
        <v>0</v>
      </c>
    </row>
    <row r="634" spans="1:1" x14ac:dyDescent="0.35">
      <c r="A634" t="b">
        <f>"f"="ab"</f>
        <v>0</v>
      </c>
    </row>
    <row r="635" spans="1:1" x14ac:dyDescent="0.35">
      <c r="A635" t="b">
        <f>"f"="a b"</f>
        <v>0</v>
      </c>
    </row>
    <row r="636" spans="1:1" x14ac:dyDescent="0.35">
      <c r="A636" t="b">
        <f>"f"="a-b"</f>
        <v>0</v>
      </c>
    </row>
    <row r="637" spans="1:1" x14ac:dyDescent="0.35">
      <c r="A637" t="b">
        <f>"f"="a'b"</f>
        <v>0</v>
      </c>
    </row>
    <row r="638" spans="1:1" x14ac:dyDescent="0.35">
      <c r="A638" t="b">
        <f>"f"="co-op"</f>
        <v>0</v>
      </c>
    </row>
    <row r="639" spans="1:1" x14ac:dyDescent="0.35">
      <c r="A639" t="b">
        <f>"f"="coop"</f>
        <v>0</v>
      </c>
    </row>
    <row r="640" spans="1:1" x14ac:dyDescent="0.35">
      <c r="A640" t="b">
        <f>"f"="cop"</f>
        <v>0</v>
      </c>
    </row>
    <row r="641" spans="1:1" x14ac:dyDescent="0.35">
      <c r="A641" t="b">
        <f>"f"="ß"</f>
        <v>0</v>
      </c>
    </row>
    <row r="642" spans="1:1" x14ac:dyDescent="0.35">
      <c r="A642" t="b">
        <f>"f"="ss"</f>
        <v>0</v>
      </c>
    </row>
    <row r="643" spans="1:1" x14ac:dyDescent="0.35">
      <c r="A643" t="b">
        <f>"f"="æ"</f>
        <v>0</v>
      </c>
    </row>
    <row r="644" spans="1:1" x14ac:dyDescent="0.35">
      <c r="A644" t="b">
        <f>"f"="ae"</f>
        <v>0</v>
      </c>
    </row>
    <row r="645" spans="1:1" x14ac:dyDescent="0.35">
      <c r="A645" t="b">
        <f>"f"="é"</f>
        <v>0</v>
      </c>
    </row>
    <row r="646" spans="1:1" x14ac:dyDescent="0.35">
      <c r="A646" t="b">
        <f>"f"="e"</f>
        <v>0</v>
      </c>
    </row>
    <row r="647" spans="1:1" x14ac:dyDescent="0.35">
      <c r="A647" t="b">
        <f>"f"="f"</f>
        <v>1</v>
      </c>
    </row>
    <row r="648" spans="1:1" x14ac:dyDescent="0.35">
      <c r="A648" t="b">
        <f>"f"="É"</f>
        <v>0</v>
      </c>
    </row>
    <row r="649" spans="1:1" x14ac:dyDescent="0.35">
      <c r="A649" t="b">
        <f>"f"="1"</f>
        <v>0</v>
      </c>
    </row>
    <row r="650" spans="1:1" x14ac:dyDescent="0.35">
      <c r="A650" t="b">
        <f>"f"="10"</f>
        <v>0</v>
      </c>
    </row>
    <row r="651" spans="1:1" x14ac:dyDescent="0.35">
      <c r="A651" t="b">
        <f>"f"="9"</f>
        <v>0</v>
      </c>
    </row>
    <row r="652" spans="1:1" x14ac:dyDescent="0.35">
      <c r="A652" t="b">
        <f>"f"="a1"</f>
        <v>0</v>
      </c>
    </row>
    <row r="653" spans="1:1" x14ac:dyDescent="0.35">
      <c r="A653" t="b">
        <f>"f"="a10"</f>
        <v>0</v>
      </c>
    </row>
    <row r="654" spans="1:1" x14ac:dyDescent="0.35">
      <c r="A654" t="b">
        <f>"f"="a2"</f>
        <v>0</v>
      </c>
    </row>
    <row r="655" spans="1:1" x14ac:dyDescent="0.35">
      <c r="A655" t="b">
        <f>"f"="_"</f>
        <v>0</v>
      </c>
    </row>
    <row r="656" spans="1:1" x14ac:dyDescent="0.35">
      <c r="A656" t="b">
        <f>"f"="-"</f>
        <v>0</v>
      </c>
    </row>
    <row r="657" spans="1:1" x14ac:dyDescent="0.35">
      <c r="A657" t="b">
        <f>"f"="~"</f>
        <v>0</v>
      </c>
    </row>
    <row r="658" spans="1:1" x14ac:dyDescent="0.35">
      <c r="A658" t="b">
        <f>"f"="z"</f>
        <v>0</v>
      </c>
    </row>
    <row r="659" spans="1:1" x14ac:dyDescent="0.35">
      <c r="A659" t="b">
        <f>"f"="Ω"</f>
        <v>0</v>
      </c>
    </row>
    <row r="660" spans="1:1" x14ac:dyDescent="0.35">
      <c r="A660" t="b">
        <f>"f"="ω"</f>
        <v>0</v>
      </c>
    </row>
    <row r="661" spans="1:1" x14ac:dyDescent="0.35">
      <c r="A661" t="b">
        <f>"É"="a"</f>
        <v>0</v>
      </c>
    </row>
    <row r="662" spans="1:1" x14ac:dyDescent="0.35">
      <c r="A662" t="b">
        <f>"É"="A"</f>
        <v>0</v>
      </c>
    </row>
    <row r="663" spans="1:1" x14ac:dyDescent="0.35">
      <c r="A663" t="b">
        <f>"É"="b"</f>
        <v>0</v>
      </c>
    </row>
    <row r="664" spans="1:1" x14ac:dyDescent="0.35">
      <c r="A664" t="b">
        <f>"É"="B"</f>
        <v>0</v>
      </c>
    </row>
    <row r="665" spans="1:1" x14ac:dyDescent="0.35">
      <c r="A665" t="b">
        <f>"É"=""</f>
        <v>0</v>
      </c>
    </row>
    <row r="666" spans="1:1" x14ac:dyDescent="0.35">
      <c r="A666" t="b">
        <f>"É"=" "</f>
        <v>0</v>
      </c>
    </row>
    <row r="667" spans="1:1" x14ac:dyDescent="0.35">
      <c r="A667" t="b">
        <f>"É"="ab"</f>
        <v>0</v>
      </c>
    </row>
    <row r="668" spans="1:1" x14ac:dyDescent="0.35">
      <c r="A668" t="b">
        <f>"É"="a b"</f>
        <v>0</v>
      </c>
    </row>
    <row r="669" spans="1:1" x14ac:dyDescent="0.35">
      <c r="A669" t="b">
        <f>"É"="a-b"</f>
        <v>0</v>
      </c>
    </row>
    <row r="670" spans="1:1" x14ac:dyDescent="0.35">
      <c r="A670" t="b">
        <f>"É"="a'b"</f>
        <v>0</v>
      </c>
    </row>
    <row r="671" spans="1:1" x14ac:dyDescent="0.35">
      <c r="A671" t="b">
        <f>"É"="co-op"</f>
        <v>0</v>
      </c>
    </row>
    <row r="672" spans="1:1" x14ac:dyDescent="0.35">
      <c r="A672" t="b">
        <f>"É"="coop"</f>
        <v>0</v>
      </c>
    </row>
    <row r="673" spans="1:1" x14ac:dyDescent="0.35">
      <c r="A673" t="b">
        <f>"É"="cop"</f>
        <v>0</v>
      </c>
    </row>
    <row r="674" spans="1:1" x14ac:dyDescent="0.35">
      <c r="A674" t="b">
        <f>"É"="ß"</f>
        <v>0</v>
      </c>
    </row>
    <row r="675" spans="1:1" x14ac:dyDescent="0.35">
      <c r="A675" t="b">
        <f>"É"="ss"</f>
        <v>0</v>
      </c>
    </row>
    <row r="676" spans="1:1" x14ac:dyDescent="0.35">
      <c r="A676" t="b">
        <f>"É"="æ"</f>
        <v>0</v>
      </c>
    </row>
    <row r="677" spans="1:1" x14ac:dyDescent="0.35">
      <c r="A677" t="b">
        <f>"É"="ae"</f>
        <v>0</v>
      </c>
    </row>
    <row r="678" spans="1:1" x14ac:dyDescent="0.35">
      <c r="A678" t="b">
        <f>"É"="é"</f>
        <v>1</v>
      </c>
    </row>
    <row r="679" spans="1:1" x14ac:dyDescent="0.35">
      <c r="A679" t="b">
        <f>"É"="e"</f>
        <v>0</v>
      </c>
    </row>
    <row r="680" spans="1:1" x14ac:dyDescent="0.35">
      <c r="A680" t="b">
        <f>"É"="f"</f>
        <v>0</v>
      </c>
    </row>
    <row r="681" spans="1:1" x14ac:dyDescent="0.35">
      <c r="A681" t="b">
        <f>"É"="É"</f>
        <v>1</v>
      </c>
    </row>
    <row r="682" spans="1:1" x14ac:dyDescent="0.35">
      <c r="A682" t="b">
        <f>"É"="1"</f>
        <v>0</v>
      </c>
    </row>
    <row r="683" spans="1:1" x14ac:dyDescent="0.35">
      <c r="A683" t="b">
        <f>"É"="10"</f>
        <v>0</v>
      </c>
    </row>
    <row r="684" spans="1:1" x14ac:dyDescent="0.35">
      <c r="A684" t="b">
        <f>"É"="9"</f>
        <v>0</v>
      </c>
    </row>
    <row r="685" spans="1:1" x14ac:dyDescent="0.35">
      <c r="A685" t="b">
        <f>"É"="a1"</f>
        <v>0</v>
      </c>
    </row>
    <row r="686" spans="1:1" x14ac:dyDescent="0.35">
      <c r="A686" t="b">
        <f>"É"="a10"</f>
        <v>0</v>
      </c>
    </row>
    <row r="687" spans="1:1" x14ac:dyDescent="0.35">
      <c r="A687" t="b">
        <f>"É"="a2"</f>
        <v>0</v>
      </c>
    </row>
    <row r="688" spans="1:1" x14ac:dyDescent="0.35">
      <c r="A688" t="b">
        <f>"É"="_"</f>
        <v>0</v>
      </c>
    </row>
    <row r="689" spans="1:1" x14ac:dyDescent="0.35">
      <c r="A689" t="b">
        <f>"É"="-"</f>
        <v>0</v>
      </c>
    </row>
    <row r="690" spans="1:1" x14ac:dyDescent="0.35">
      <c r="A690" t="b">
        <f>"É"="~"</f>
        <v>0</v>
      </c>
    </row>
    <row r="691" spans="1:1" x14ac:dyDescent="0.35">
      <c r="A691" t="b">
        <f>"É"="z"</f>
        <v>0</v>
      </c>
    </row>
    <row r="692" spans="1:1" x14ac:dyDescent="0.35">
      <c r="A692" t="b">
        <f>"É"="Ω"</f>
        <v>0</v>
      </c>
    </row>
    <row r="693" spans="1:1" x14ac:dyDescent="0.35">
      <c r="A693" t="b">
        <f>"É"="ω"</f>
        <v>0</v>
      </c>
    </row>
    <row r="694" spans="1:1" x14ac:dyDescent="0.35">
      <c r="A694" t="b">
        <f>"1"="a"</f>
        <v>0</v>
      </c>
    </row>
    <row r="695" spans="1:1" x14ac:dyDescent="0.35">
      <c r="A695" t="b">
        <f>"1"="A"</f>
        <v>0</v>
      </c>
    </row>
    <row r="696" spans="1:1" x14ac:dyDescent="0.35">
      <c r="A696" t="b">
        <f>"1"="b"</f>
        <v>0</v>
      </c>
    </row>
    <row r="697" spans="1:1" x14ac:dyDescent="0.35">
      <c r="A697" t="b">
        <f>"1"="B"</f>
        <v>0</v>
      </c>
    </row>
    <row r="698" spans="1:1" x14ac:dyDescent="0.35">
      <c r="A698" t="b">
        <f>"1"=""</f>
        <v>0</v>
      </c>
    </row>
    <row r="699" spans="1:1" x14ac:dyDescent="0.35">
      <c r="A699" t="b">
        <f>"1"=" "</f>
        <v>0</v>
      </c>
    </row>
    <row r="700" spans="1:1" x14ac:dyDescent="0.35">
      <c r="A700" t="b">
        <f>"1"="ab"</f>
        <v>0</v>
      </c>
    </row>
    <row r="701" spans="1:1" x14ac:dyDescent="0.35">
      <c r="A701" t="b">
        <f>"1"="a b"</f>
        <v>0</v>
      </c>
    </row>
    <row r="702" spans="1:1" x14ac:dyDescent="0.35">
      <c r="A702" t="b">
        <f>"1"="a-b"</f>
        <v>0</v>
      </c>
    </row>
    <row r="703" spans="1:1" x14ac:dyDescent="0.35">
      <c r="A703" t="b">
        <f>"1"="a'b"</f>
        <v>0</v>
      </c>
    </row>
    <row r="704" spans="1:1" x14ac:dyDescent="0.35">
      <c r="A704" t="b">
        <f>"1"="co-op"</f>
        <v>0</v>
      </c>
    </row>
    <row r="705" spans="1:1" x14ac:dyDescent="0.35">
      <c r="A705" t="b">
        <f>"1"="coop"</f>
        <v>0</v>
      </c>
    </row>
    <row r="706" spans="1:1" x14ac:dyDescent="0.35">
      <c r="A706" t="b">
        <f>"1"="cop"</f>
        <v>0</v>
      </c>
    </row>
    <row r="707" spans="1:1" x14ac:dyDescent="0.35">
      <c r="A707" t="b">
        <f>"1"="ß"</f>
        <v>0</v>
      </c>
    </row>
    <row r="708" spans="1:1" x14ac:dyDescent="0.35">
      <c r="A708" t="b">
        <f>"1"="ss"</f>
        <v>0</v>
      </c>
    </row>
    <row r="709" spans="1:1" x14ac:dyDescent="0.35">
      <c r="A709" t="b">
        <f>"1"="æ"</f>
        <v>0</v>
      </c>
    </row>
    <row r="710" spans="1:1" x14ac:dyDescent="0.35">
      <c r="A710" t="b">
        <f>"1"="ae"</f>
        <v>0</v>
      </c>
    </row>
    <row r="711" spans="1:1" x14ac:dyDescent="0.35">
      <c r="A711" t="b">
        <f>"1"="é"</f>
        <v>0</v>
      </c>
    </row>
    <row r="712" spans="1:1" x14ac:dyDescent="0.35">
      <c r="A712" t="b">
        <f>"1"="e"</f>
        <v>0</v>
      </c>
    </row>
    <row r="713" spans="1:1" x14ac:dyDescent="0.35">
      <c r="A713" t="b">
        <f>"1"="f"</f>
        <v>0</v>
      </c>
    </row>
    <row r="714" spans="1:1" x14ac:dyDescent="0.35">
      <c r="A714" t="b">
        <f>"1"="É"</f>
        <v>0</v>
      </c>
    </row>
    <row r="715" spans="1:1" x14ac:dyDescent="0.35">
      <c r="A715" t="b">
        <f>"1"="1"</f>
        <v>1</v>
      </c>
    </row>
    <row r="716" spans="1:1" x14ac:dyDescent="0.35">
      <c r="A716" t="b">
        <f>"1"="10"</f>
        <v>0</v>
      </c>
    </row>
    <row r="717" spans="1:1" x14ac:dyDescent="0.35">
      <c r="A717" t="b">
        <f>"1"="9"</f>
        <v>0</v>
      </c>
    </row>
    <row r="718" spans="1:1" x14ac:dyDescent="0.35">
      <c r="A718" t="b">
        <f>"1"="a1"</f>
        <v>0</v>
      </c>
    </row>
    <row r="719" spans="1:1" x14ac:dyDescent="0.35">
      <c r="A719" t="b">
        <f>"1"="a10"</f>
        <v>0</v>
      </c>
    </row>
    <row r="720" spans="1:1" x14ac:dyDescent="0.35">
      <c r="A720" t="b">
        <f>"1"="a2"</f>
        <v>0</v>
      </c>
    </row>
    <row r="721" spans="1:1" x14ac:dyDescent="0.35">
      <c r="A721" t="b">
        <f>"1"="_"</f>
        <v>0</v>
      </c>
    </row>
    <row r="722" spans="1:1" x14ac:dyDescent="0.35">
      <c r="A722" t="b">
        <f>"1"="-"</f>
        <v>0</v>
      </c>
    </row>
    <row r="723" spans="1:1" x14ac:dyDescent="0.35">
      <c r="A723" t="b">
        <f>"1"="~"</f>
        <v>0</v>
      </c>
    </row>
    <row r="724" spans="1:1" x14ac:dyDescent="0.35">
      <c r="A724" t="b">
        <f>"1"="z"</f>
        <v>0</v>
      </c>
    </row>
    <row r="725" spans="1:1" x14ac:dyDescent="0.35">
      <c r="A725" t="b">
        <f>"1"="Ω"</f>
        <v>0</v>
      </c>
    </row>
    <row r="726" spans="1:1" x14ac:dyDescent="0.35">
      <c r="A726" t="b">
        <f>"1"="ω"</f>
        <v>0</v>
      </c>
    </row>
    <row r="727" spans="1:1" x14ac:dyDescent="0.35">
      <c r="A727" t="b">
        <f>"10"="a"</f>
        <v>0</v>
      </c>
    </row>
    <row r="728" spans="1:1" x14ac:dyDescent="0.35">
      <c r="A728" t="b">
        <f>"10"="A"</f>
        <v>0</v>
      </c>
    </row>
    <row r="729" spans="1:1" x14ac:dyDescent="0.35">
      <c r="A729" t="b">
        <f>"10"="b"</f>
        <v>0</v>
      </c>
    </row>
    <row r="730" spans="1:1" x14ac:dyDescent="0.35">
      <c r="A730" t="b">
        <f>"10"="B"</f>
        <v>0</v>
      </c>
    </row>
    <row r="731" spans="1:1" x14ac:dyDescent="0.35">
      <c r="A731" t="b">
        <f>"10"=""</f>
        <v>0</v>
      </c>
    </row>
    <row r="732" spans="1:1" x14ac:dyDescent="0.35">
      <c r="A732" t="b">
        <f>"10"=" "</f>
        <v>0</v>
      </c>
    </row>
    <row r="733" spans="1:1" x14ac:dyDescent="0.35">
      <c r="A733" t="b">
        <f>"10"="ab"</f>
        <v>0</v>
      </c>
    </row>
    <row r="734" spans="1:1" x14ac:dyDescent="0.35">
      <c r="A734" t="b">
        <f>"10"="a b"</f>
        <v>0</v>
      </c>
    </row>
    <row r="735" spans="1:1" x14ac:dyDescent="0.35">
      <c r="A735" t="b">
        <f>"10"="a-b"</f>
        <v>0</v>
      </c>
    </row>
    <row r="736" spans="1:1" x14ac:dyDescent="0.35">
      <c r="A736" t="b">
        <f>"10"="a'b"</f>
        <v>0</v>
      </c>
    </row>
    <row r="737" spans="1:1" x14ac:dyDescent="0.35">
      <c r="A737" t="b">
        <f>"10"="co-op"</f>
        <v>0</v>
      </c>
    </row>
    <row r="738" spans="1:1" x14ac:dyDescent="0.35">
      <c r="A738" t="b">
        <f>"10"="coop"</f>
        <v>0</v>
      </c>
    </row>
    <row r="739" spans="1:1" x14ac:dyDescent="0.35">
      <c r="A739" t="b">
        <f>"10"="cop"</f>
        <v>0</v>
      </c>
    </row>
    <row r="740" spans="1:1" x14ac:dyDescent="0.35">
      <c r="A740" t="b">
        <f>"10"="ß"</f>
        <v>0</v>
      </c>
    </row>
    <row r="741" spans="1:1" x14ac:dyDescent="0.35">
      <c r="A741" t="b">
        <f>"10"="ss"</f>
        <v>0</v>
      </c>
    </row>
    <row r="742" spans="1:1" x14ac:dyDescent="0.35">
      <c r="A742" t="b">
        <f>"10"="æ"</f>
        <v>0</v>
      </c>
    </row>
    <row r="743" spans="1:1" x14ac:dyDescent="0.35">
      <c r="A743" t="b">
        <f>"10"="ae"</f>
        <v>0</v>
      </c>
    </row>
    <row r="744" spans="1:1" x14ac:dyDescent="0.35">
      <c r="A744" t="b">
        <f>"10"="é"</f>
        <v>0</v>
      </c>
    </row>
    <row r="745" spans="1:1" x14ac:dyDescent="0.35">
      <c r="A745" t="b">
        <f>"10"="e"</f>
        <v>0</v>
      </c>
    </row>
    <row r="746" spans="1:1" x14ac:dyDescent="0.35">
      <c r="A746" t="b">
        <f>"10"="f"</f>
        <v>0</v>
      </c>
    </row>
    <row r="747" spans="1:1" x14ac:dyDescent="0.35">
      <c r="A747" t="b">
        <f>"10"="É"</f>
        <v>0</v>
      </c>
    </row>
    <row r="748" spans="1:1" x14ac:dyDescent="0.35">
      <c r="A748" t="b">
        <f>"10"="1"</f>
        <v>0</v>
      </c>
    </row>
    <row r="749" spans="1:1" x14ac:dyDescent="0.35">
      <c r="A749" t="b">
        <f>"10"="10"</f>
        <v>1</v>
      </c>
    </row>
    <row r="750" spans="1:1" x14ac:dyDescent="0.35">
      <c r="A750" t="b">
        <f>"10"="9"</f>
        <v>0</v>
      </c>
    </row>
    <row r="751" spans="1:1" x14ac:dyDescent="0.35">
      <c r="A751" t="b">
        <f>"10"="a1"</f>
        <v>0</v>
      </c>
    </row>
    <row r="752" spans="1:1" x14ac:dyDescent="0.35">
      <c r="A752" t="b">
        <f>"10"="a10"</f>
        <v>0</v>
      </c>
    </row>
    <row r="753" spans="1:1" x14ac:dyDescent="0.35">
      <c r="A753" t="b">
        <f>"10"="a2"</f>
        <v>0</v>
      </c>
    </row>
    <row r="754" spans="1:1" x14ac:dyDescent="0.35">
      <c r="A754" t="b">
        <f>"10"="_"</f>
        <v>0</v>
      </c>
    </row>
    <row r="755" spans="1:1" x14ac:dyDescent="0.35">
      <c r="A755" t="b">
        <f>"10"="-"</f>
        <v>0</v>
      </c>
    </row>
    <row r="756" spans="1:1" x14ac:dyDescent="0.35">
      <c r="A756" t="b">
        <f>"10"="~"</f>
        <v>0</v>
      </c>
    </row>
    <row r="757" spans="1:1" x14ac:dyDescent="0.35">
      <c r="A757" t="b">
        <f>"10"="z"</f>
        <v>0</v>
      </c>
    </row>
    <row r="758" spans="1:1" x14ac:dyDescent="0.35">
      <c r="A758" t="b">
        <f>"10"="Ω"</f>
        <v>0</v>
      </c>
    </row>
    <row r="759" spans="1:1" x14ac:dyDescent="0.35">
      <c r="A759" t="b">
        <f>"10"="ω"</f>
        <v>0</v>
      </c>
    </row>
    <row r="760" spans="1:1" x14ac:dyDescent="0.35">
      <c r="A760" t="b">
        <f>"9"="a"</f>
        <v>0</v>
      </c>
    </row>
    <row r="761" spans="1:1" x14ac:dyDescent="0.35">
      <c r="A761" t="b">
        <f>"9"="A"</f>
        <v>0</v>
      </c>
    </row>
    <row r="762" spans="1:1" x14ac:dyDescent="0.35">
      <c r="A762" t="b">
        <f>"9"="b"</f>
        <v>0</v>
      </c>
    </row>
    <row r="763" spans="1:1" x14ac:dyDescent="0.35">
      <c r="A763" t="b">
        <f>"9"="B"</f>
        <v>0</v>
      </c>
    </row>
    <row r="764" spans="1:1" x14ac:dyDescent="0.35">
      <c r="A764" t="b">
        <f>"9"=""</f>
        <v>0</v>
      </c>
    </row>
    <row r="765" spans="1:1" x14ac:dyDescent="0.35">
      <c r="A765" t="b">
        <f>"9"=" "</f>
        <v>0</v>
      </c>
    </row>
    <row r="766" spans="1:1" x14ac:dyDescent="0.35">
      <c r="A766" t="b">
        <f>"9"="ab"</f>
        <v>0</v>
      </c>
    </row>
    <row r="767" spans="1:1" x14ac:dyDescent="0.35">
      <c r="A767" t="b">
        <f>"9"="a b"</f>
        <v>0</v>
      </c>
    </row>
    <row r="768" spans="1:1" x14ac:dyDescent="0.35">
      <c r="A768" t="b">
        <f>"9"="a-b"</f>
        <v>0</v>
      </c>
    </row>
    <row r="769" spans="1:1" x14ac:dyDescent="0.35">
      <c r="A769" t="b">
        <f>"9"="a'b"</f>
        <v>0</v>
      </c>
    </row>
    <row r="770" spans="1:1" x14ac:dyDescent="0.35">
      <c r="A770" t="b">
        <f>"9"="co-op"</f>
        <v>0</v>
      </c>
    </row>
    <row r="771" spans="1:1" x14ac:dyDescent="0.35">
      <c r="A771" t="b">
        <f>"9"="coop"</f>
        <v>0</v>
      </c>
    </row>
    <row r="772" spans="1:1" x14ac:dyDescent="0.35">
      <c r="A772" t="b">
        <f>"9"="cop"</f>
        <v>0</v>
      </c>
    </row>
    <row r="773" spans="1:1" x14ac:dyDescent="0.35">
      <c r="A773" t="b">
        <f>"9"="ß"</f>
        <v>0</v>
      </c>
    </row>
    <row r="774" spans="1:1" x14ac:dyDescent="0.35">
      <c r="A774" t="b">
        <f>"9"="ss"</f>
        <v>0</v>
      </c>
    </row>
    <row r="775" spans="1:1" x14ac:dyDescent="0.35">
      <c r="A775" t="b">
        <f>"9"="æ"</f>
        <v>0</v>
      </c>
    </row>
    <row r="776" spans="1:1" x14ac:dyDescent="0.35">
      <c r="A776" t="b">
        <f>"9"="ae"</f>
        <v>0</v>
      </c>
    </row>
    <row r="777" spans="1:1" x14ac:dyDescent="0.35">
      <c r="A777" t="b">
        <f>"9"="é"</f>
        <v>0</v>
      </c>
    </row>
    <row r="778" spans="1:1" x14ac:dyDescent="0.35">
      <c r="A778" t="b">
        <f>"9"="e"</f>
        <v>0</v>
      </c>
    </row>
    <row r="779" spans="1:1" x14ac:dyDescent="0.35">
      <c r="A779" t="b">
        <f>"9"="f"</f>
        <v>0</v>
      </c>
    </row>
    <row r="780" spans="1:1" x14ac:dyDescent="0.35">
      <c r="A780" t="b">
        <f>"9"="É"</f>
        <v>0</v>
      </c>
    </row>
    <row r="781" spans="1:1" x14ac:dyDescent="0.35">
      <c r="A781" t="b">
        <f>"9"="1"</f>
        <v>0</v>
      </c>
    </row>
    <row r="782" spans="1:1" x14ac:dyDescent="0.35">
      <c r="A782" t="b">
        <f>"9"="10"</f>
        <v>0</v>
      </c>
    </row>
    <row r="783" spans="1:1" x14ac:dyDescent="0.35">
      <c r="A783" t="b">
        <f>"9"="9"</f>
        <v>1</v>
      </c>
    </row>
    <row r="784" spans="1:1" x14ac:dyDescent="0.35">
      <c r="A784" t="b">
        <f>"9"="a1"</f>
        <v>0</v>
      </c>
    </row>
    <row r="785" spans="1:1" x14ac:dyDescent="0.35">
      <c r="A785" t="b">
        <f>"9"="a10"</f>
        <v>0</v>
      </c>
    </row>
    <row r="786" spans="1:1" x14ac:dyDescent="0.35">
      <c r="A786" t="b">
        <f>"9"="a2"</f>
        <v>0</v>
      </c>
    </row>
    <row r="787" spans="1:1" x14ac:dyDescent="0.35">
      <c r="A787" t="b">
        <f>"9"="_"</f>
        <v>0</v>
      </c>
    </row>
    <row r="788" spans="1:1" x14ac:dyDescent="0.35">
      <c r="A788" t="b">
        <f>"9"="-"</f>
        <v>0</v>
      </c>
    </row>
    <row r="789" spans="1:1" x14ac:dyDescent="0.35">
      <c r="A789" t="b">
        <f>"9"="~"</f>
        <v>0</v>
      </c>
    </row>
    <row r="790" spans="1:1" x14ac:dyDescent="0.35">
      <c r="A790" t="b">
        <f>"9"="z"</f>
        <v>0</v>
      </c>
    </row>
    <row r="791" spans="1:1" x14ac:dyDescent="0.35">
      <c r="A791" t="b">
        <f>"9"="Ω"</f>
        <v>0</v>
      </c>
    </row>
    <row r="792" spans="1:1" x14ac:dyDescent="0.35">
      <c r="A792" t="b">
        <f>"9"="ω"</f>
        <v>0</v>
      </c>
    </row>
    <row r="793" spans="1:1" x14ac:dyDescent="0.35">
      <c r="A793" t="b">
        <f>"a1"="a"</f>
        <v>0</v>
      </c>
    </row>
    <row r="794" spans="1:1" x14ac:dyDescent="0.35">
      <c r="A794" t="b">
        <f>"a1"="A"</f>
        <v>0</v>
      </c>
    </row>
    <row r="795" spans="1:1" x14ac:dyDescent="0.35">
      <c r="A795" t="b">
        <f>"a1"="b"</f>
        <v>0</v>
      </c>
    </row>
    <row r="796" spans="1:1" x14ac:dyDescent="0.35">
      <c r="A796" t="b">
        <f>"a1"="B"</f>
        <v>0</v>
      </c>
    </row>
    <row r="797" spans="1:1" x14ac:dyDescent="0.35">
      <c r="A797" t="b">
        <f>"a1"=""</f>
        <v>0</v>
      </c>
    </row>
    <row r="798" spans="1:1" x14ac:dyDescent="0.35">
      <c r="A798" t="b">
        <f>"a1"=" "</f>
        <v>0</v>
      </c>
    </row>
    <row r="799" spans="1:1" x14ac:dyDescent="0.35">
      <c r="A799" t="b">
        <f>"a1"="ab"</f>
        <v>0</v>
      </c>
    </row>
    <row r="800" spans="1:1" x14ac:dyDescent="0.35">
      <c r="A800" t="b">
        <f>"a1"="a b"</f>
        <v>0</v>
      </c>
    </row>
    <row r="801" spans="1:1" x14ac:dyDescent="0.35">
      <c r="A801" t="b">
        <f>"a1"="a-b"</f>
        <v>0</v>
      </c>
    </row>
    <row r="802" spans="1:1" x14ac:dyDescent="0.35">
      <c r="A802" t="b">
        <f>"a1"="a'b"</f>
        <v>0</v>
      </c>
    </row>
    <row r="803" spans="1:1" x14ac:dyDescent="0.35">
      <c r="A803" t="b">
        <f>"a1"="co-op"</f>
        <v>0</v>
      </c>
    </row>
    <row r="804" spans="1:1" x14ac:dyDescent="0.35">
      <c r="A804" t="b">
        <f>"a1"="coop"</f>
        <v>0</v>
      </c>
    </row>
    <row r="805" spans="1:1" x14ac:dyDescent="0.35">
      <c r="A805" t="b">
        <f>"a1"="cop"</f>
        <v>0</v>
      </c>
    </row>
    <row r="806" spans="1:1" x14ac:dyDescent="0.35">
      <c r="A806" t="b">
        <f>"a1"="ß"</f>
        <v>0</v>
      </c>
    </row>
    <row r="807" spans="1:1" x14ac:dyDescent="0.35">
      <c r="A807" t="b">
        <f>"a1"="ss"</f>
        <v>0</v>
      </c>
    </row>
    <row r="808" spans="1:1" x14ac:dyDescent="0.35">
      <c r="A808" t="b">
        <f>"a1"="æ"</f>
        <v>0</v>
      </c>
    </row>
    <row r="809" spans="1:1" x14ac:dyDescent="0.35">
      <c r="A809" t="b">
        <f>"a1"="ae"</f>
        <v>0</v>
      </c>
    </row>
    <row r="810" spans="1:1" x14ac:dyDescent="0.35">
      <c r="A810" t="b">
        <f>"a1"="é"</f>
        <v>0</v>
      </c>
    </row>
    <row r="811" spans="1:1" x14ac:dyDescent="0.35">
      <c r="A811" t="b">
        <f>"a1"="e"</f>
        <v>0</v>
      </c>
    </row>
    <row r="812" spans="1:1" x14ac:dyDescent="0.35">
      <c r="A812" t="b">
        <f>"a1"="f"</f>
        <v>0</v>
      </c>
    </row>
    <row r="813" spans="1:1" x14ac:dyDescent="0.35">
      <c r="A813" t="b">
        <f>"a1"="É"</f>
        <v>0</v>
      </c>
    </row>
    <row r="814" spans="1:1" x14ac:dyDescent="0.35">
      <c r="A814" t="b">
        <f>"a1"="1"</f>
        <v>0</v>
      </c>
    </row>
    <row r="815" spans="1:1" x14ac:dyDescent="0.35">
      <c r="A815" t="b">
        <f>"a1"="10"</f>
        <v>0</v>
      </c>
    </row>
    <row r="816" spans="1:1" x14ac:dyDescent="0.35">
      <c r="A816" t="b">
        <f>"a1"="9"</f>
        <v>0</v>
      </c>
    </row>
    <row r="817" spans="1:1" x14ac:dyDescent="0.35">
      <c r="A817" t="b">
        <f>"a1"="a1"</f>
        <v>1</v>
      </c>
    </row>
    <row r="818" spans="1:1" x14ac:dyDescent="0.35">
      <c r="A818" t="b">
        <f>"a1"="a10"</f>
        <v>0</v>
      </c>
    </row>
    <row r="819" spans="1:1" x14ac:dyDescent="0.35">
      <c r="A819" t="b">
        <f>"a1"="a2"</f>
        <v>0</v>
      </c>
    </row>
    <row r="820" spans="1:1" x14ac:dyDescent="0.35">
      <c r="A820" t="b">
        <f>"a1"="_"</f>
        <v>0</v>
      </c>
    </row>
    <row r="821" spans="1:1" x14ac:dyDescent="0.35">
      <c r="A821" t="b">
        <f>"a1"="-"</f>
        <v>0</v>
      </c>
    </row>
    <row r="822" spans="1:1" x14ac:dyDescent="0.35">
      <c r="A822" t="b">
        <f>"a1"="~"</f>
        <v>0</v>
      </c>
    </row>
    <row r="823" spans="1:1" x14ac:dyDescent="0.35">
      <c r="A823" t="b">
        <f>"a1"="z"</f>
        <v>0</v>
      </c>
    </row>
    <row r="824" spans="1:1" x14ac:dyDescent="0.35">
      <c r="A824" t="b">
        <f>"a1"="Ω"</f>
        <v>0</v>
      </c>
    </row>
    <row r="825" spans="1:1" x14ac:dyDescent="0.35">
      <c r="A825" t="b">
        <f>"a1"="ω"</f>
        <v>0</v>
      </c>
    </row>
    <row r="826" spans="1:1" x14ac:dyDescent="0.35">
      <c r="A826" t="b">
        <f>"a10"="a"</f>
        <v>0</v>
      </c>
    </row>
    <row r="827" spans="1:1" x14ac:dyDescent="0.35">
      <c r="A827" t="b">
        <f>"a10"="A"</f>
        <v>0</v>
      </c>
    </row>
    <row r="828" spans="1:1" x14ac:dyDescent="0.35">
      <c r="A828" t="b">
        <f>"a10"="b"</f>
        <v>0</v>
      </c>
    </row>
    <row r="829" spans="1:1" x14ac:dyDescent="0.35">
      <c r="A829" t="b">
        <f>"a10"="B"</f>
        <v>0</v>
      </c>
    </row>
    <row r="830" spans="1:1" x14ac:dyDescent="0.35">
      <c r="A830" t="b">
        <f>"a10"=""</f>
        <v>0</v>
      </c>
    </row>
    <row r="831" spans="1:1" x14ac:dyDescent="0.35">
      <c r="A831" t="b">
        <f>"a10"=" "</f>
        <v>0</v>
      </c>
    </row>
    <row r="832" spans="1:1" x14ac:dyDescent="0.35">
      <c r="A832" t="b">
        <f>"a10"="ab"</f>
        <v>0</v>
      </c>
    </row>
    <row r="833" spans="1:1" x14ac:dyDescent="0.35">
      <c r="A833" t="b">
        <f>"a10"="a b"</f>
        <v>0</v>
      </c>
    </row>
    <row r="834" spans="1:1" x14ac:dyDescent="0.35">
      <c r="A834" t="b">
        <f>"a10"="a-b"</f>
        <v>0</v>
      </c>
    </row>
    <row r="835" spans="1:1" x14ac:dyDescent="0.35">
      <c r="A835" t="b">
        <f>"a10"="a'b"</f>
        <v>0</v>
      </c>
    </row>
    <row r="836" spans="1:1" x14ac:dyDescent="0.35">
      <c r="A836" t="b">
        <f>"a10"="co-op"</f>
        <v>0</v>
      </c>
    </row>
    <row r="837" spans="1:1" x14ac:dyDescent="0.35">
      <c r="A837" t="b">
        <f>"a10"="coop"</f>
        <v>0</v>
      </c>
    </row>
    <row r="838" spans="1:1" x14ac:dyDescent="0.35">
      <c r="A838" t="b">
        <f>"a10"="cop"</f>
        <v>0</v>
      </c>
    </row>
    <row r="839" spans="1:1" x14ac:dyDescent="0.35">
      <c r="A839" t="b">
        <f>"a10"="ß"</f>
        <v>0</v>
      </c>
    </row>
    <row r="840" spans="1:1" x14ac:dyDescent="0.35">
      <c r="A840" t="b">
        <f>"a10"="ss"</f>
        <v>0</v>
      </c>
    </row>
    <row r="841" spans="1:1" x14ac:dyDescent="0.35">
      <c r="A841" t="b">
        <f>"a10"="æ"</f>
        <v>0</v>
      </c>
    </row>
    <row r="842" spans="1:1" x14ac:dyDescent="0.35">
      <c r="A842" t="b">
        <f>"a10"="ae"</f>
        <v>0</v>
      </c>
    </row>
    <row r="843" spans="1:1" x14ac:dyDescent="0.35">
      <c r="A843" t="b">
        <f>"a10"="é"</f>
        <v>0</v>
      </c>
    </row>
    <row r="844" spans="1:1" x14ac:dyDescent="0.35">
      <c r="A844" t="b">
        <f>"a10"="e"</f>
        <v>0</v>
      </c>
    </row>
    <row r="845" spans="1:1" x14ac:dyDescent="0.35">
      <c r="A845" t="b">
        <f>"a10"="f"</f>
        <v>0</v>
      </c>
    </row>
    <row r="846" spans="1:1" x14ac:dyDescent="0.35">
      <c r="A846" t="b">
        <f>"a10"="É"</f>
        <v>0</v>
      </c>
    </row>
    <row r="847" spans="1:1" x14ac:dyDescent="0.35">
      <c r="A847" t="b">
        <f>"a10"="1"</f>
        <v>0</v>
      </c>
    </row>
    <row r="848" spans="1:1" x14ac:dyDescent="0.35">
      <c r="A848" t="b">
        <f>"a10"="10"</f>
        <v>0</v>
      </c>
    </row>
    <row r="849" spans="1:1" x14ac:dyDescent="0.35">
      <c r="A849" t="b">
        <f>"a10"="9"</f>
        <v>0</v>
      </c>
    </row>
    <row r="850" spans="1:1" x14ac:dyDescent="0.35">
      <c r="A850" t="b">
        <f>"a10"="a1"</f>
        <v>0</v>
      </c>
    </row>
    <row r="851" spans="1:1" x14ac:dyDescent="0.35">
      <c r="A851" t="b">
        <f>"a10"="a10"</f>
        <v>1</v>
      </c>
    </row>
    <row r="852" spans="1:1" x14ac:dyDescent="0.35">
      <c r="A852" t="b">
        <f>"a10"="a2"</f>
        <v>0</v>
      </c>
    </row>
    <row r="853" spans="1:1" x14ac:dyDescent="0.35">
      <c r="A853" t="b">
        <f>"a10"="_"</f>
        <v>0</v>
      </c>
    </row>
    <row r="854" spans="1:1" x14ac:dyDescent="0.35">
      <c r="A854" t="b">
        <f>"a10"="-"</f>
        <v>0</v>
      </c>
    </row>
    <row r="855" spans="1:1" x14ac:dyDescent="0.35">
      <c r="A855" t="b">
        <f>"a10"="~"</f>
        <v>0</v>
      </c>
    </row>
    <row r="856" spans="1:1" x14ac:dyDescent="0.35">
      <c r="A856" t="b">
        <f>"a10"="z"</f>
        <v>0</v>
      </c>
    </row>
    <row r="857" spans="1:1" x14ac:dyDescent="0.35">
      <c r="A857" t="b">
        <f>"a10"="Ω"</f>
        <v>0</v>
      </c>
    </row>
    <row r="858" spans="1:1" x14ac:dyDescent="0.35">
      <c r="A858" t="b">
        <f>"a10"="ω"</f>
        <v>0</v>
      </c>
    </row>
    <row r="859" spans="1:1" x14ac:dyDescent="0.35">
      <c r="A859" t="b">
        <f>"a2"="a"</f>
        <v>0</v>
      </c>
    </row>
    <row r="860" spans="1:1" x14ac:dyDescent="0.35">
      <c r="A860" t="b">
        <f>"a2"="A"</f>
        <v>0</v>
      </c>
    </row>
    <row r="861" spans="1:1" x14ac:dyDescent="0.35">
      <c r="A861" t="b">
        <f>"a2"="b"</f>
        <v>0</v>
      </c>
    </row>
    <row r="862" spans="1:1" x14ac:dyDescent="0.35">
      <c r="A862" t="b">
        <f>"a2"="B"</f>
        <v>0</v>
      </c>
    </row>
    <row r="863" spans="1:1" x14ac:dyDescent="0.35">
      <c r="A863" t="b">
        <f>"a2"=""</f>
        <v>0</v>
      </c>
    </row>
    <row r="864" spans="1:1" x14ac:dyDescent="0.35">
      <c r="A864" t="b">
        <f>"a2"=" "</f>
        <v>0</v>
      </c>
    </row>
    <row r="865" spans="1:1" x14ac:dyDescent="0.35">
      <c r="A865" t="b">
        <f>"a2"="ab"</f>
        <v>0</v>
      </c>
    </row>
    <row r="866" spans="1:1" x14ac:dyDescent="0.35">
      <c r="A866" t="b">
        <f>"a2"="a b"</f>
        <v>0</v>
      </c>
    </row>
    <row r="867" spans="1:1" x14ac:dyDescent="0.35">
      <c r="A867" t="b">
        <f>"a2"="a-b"</f>
        <v>0</v>
      </c>
    </row>
    <row r="868" spans="1:1" x14ac:dyDescent="0.35">
      <c r="A868" t="b">
        <f>"a2"="a'b"</f>
        <v>0</v>
      </c>
    </row>
    <row r="869" spans="1:1" x14ac:dyDescent="0.35">
      <c r="A869" t="b">
        <f>"a2"="co-op"</f>
        <v>0</v>
      </c>
    </row>
    <row r="870" spans="1:1" x14ac:dyDescent="0.35">
      <c r="A870" t="b">
        <f>"a2"="coop"</f>
        <v>0</v>
      </c>
    </row>
    <row r="871" spans="1:1" x14ac:dyDescent="0.35">
      <c r="A871" t="b">
        <f>"a2"="cop"</f>
        <v>0</v>
      </c>
    </row>
    <row r="872" spans="1:1" x14ac:dyDescent="0.35">
      <c r="A872" t="b">
        <f>"a2"="ß"</f>
        <v>0</v>
      </c>
    </row>
    <row r="873" spans="1:1" x14ac:dyDescent="0.35">
      <c r="A873" t="b">
        <f>"a2"="ss"</f>
        <v>0</v>
      </c>
    </row>
    <row r="874" spans="1:1" x14ac:dyDescent="0.35">
      <c r="A874" t="b">
        <f>"a2"="æ"</f>
        <v>0</v>
      </c>
    </row>
    <row r="875" spans="1:1" x14ac:dyDescent="0.35">
      <c r="A875" t="b">
        <f>"a2"="ae"</f>
        <v>0</v>
      </c>
    </row>
    <row r="876" spans="1:1" x14ac:dyDescent="0.35">
      <c r="A876" t="b">
        <f>"a2"="é"</f>
        <v>0</v>
      </c>
    </row>
    <row r="877" spans="1:1" x14ac:dyDescent="0.35">
      <c r="A877" t="b">
        <f>"a2"="e"</f>
        <v>0</v>
      </c>
    </row>
    <row r="878" spans="1:1" x14ac:dyDescent="0.35">
      <c r="A878" t="b">
        <f>"a2"="f"</f>
        <v>0</v>
      </c>
    </row>
    <row r="879" spans="1:1" x14ac:dyDescent="0.35">
      <c r="A879" t="b">
        <f>"a2"="É"</f>
        <v>0</v>
      </c>
    </row>
    <row r="880" spans="1:1" x14ac:dyDescent="0.35">
      <c r="A880" t="b">
        <f>"a2"="1"</f>
        <v>0</v>
      </c>
    </row>
    <row r="881" spans="1:1" x14ac:dyDescent="0.35">
      <c r="A881" t="b">
        <f>"a2"="10"</f>
        <v>0</v>
      </c>
    </row>
    <row r="882" spans="1:1" x14ac:dyDescent="0.35">
      <c r="A882" t="b">
        <f>"a2"="9"</f>
        <v>0</v>
      </c>
    </row>
    <row r="883" spans="1:1" x14ac:dyDescent="0.35">
      <c r="A883" t="b">
        <f>"a2"="a1"</f>
        <v>0</v>
      </c>
    </row>
    <row r="884" spans="1:1" x14ac:dyDescent="0.35">
      <c r="A884" t="b">
        <f>"a2"="a10"</f>
        <v>0</v>
      </c>
    </row>
    <row r="885" spans="1:1" x14ac:dyDescent="0.35">
      <c r="A885" t="b">
        <f>"a2"="a2"</f>
        <v>1</v>
      </c>
    </row>
    <row r="886" spans="1:1" x14ac:dyDescent="0.35">
      <c r="A886" t="b">
        <f>"a2"="_"</f>
        <v>0</v>
      </c>
    </row>
    <row r="887" spans="1:1" x14ac:dyDescent="0.35">
      <c r="A887" t="b">
        <f>"a2"="-"</f>
        <v>0</v>
      </c>
    </row>
    <row r="888" spans="1:1" x14ac:dyDescent="0.35">
      <c r="A888" t="b">
        <f>"a2"="~"</f>
        <v>0</v>
      </c>
    </row>
    <row r="889" spans="1:1" x14ac:dyDescent="0.35">
      <c r="A889" t="b">
        <f>"a2"="z"</f>
        <v>0</v>
      </c>
    </row>
    <row r="890" spans="1:1" x14ac:dyDescent="0.35">
      <c r="A890" t="b">
        <f>"a2"="Ω"</f>
        <v>0</v>
      </c>
    </row>
    <row r="891" spans="1:1" x14ac:dyDescent="0.35">
      <c r="A891" t="b">
        <f>"a2"="ω"</f>
        <v>0</v>
      </c>
    </row>
    <row r="892" spans="1:1" x14ac:dyDescent="0.35">
      <c r="A892" t="b">
        <f>"_"="a"</f>
        <v>0</v>
      </c>
    </row>
    <row r="893" spans="1:1" x14ac:dyDescent="0.35">
      <c r="A893" t="b">
        <f>"_"="A"</f>
        <v>0</v>
      </c>
    </row>
    <row r="894" spans="1:1" x14ac:dyDescent="0.35">
      <c r="A894" t="b">
        <f>"_"="b"</f>
        <v>0</v>
      </c>
    </row>
    <row r="895" spans="1:1" x14ac:dyDescent="0.35">
      <c r="A895" t="b">
        <f>"_"="B"</f>
        <v>0</v>
      </c>
    </row>
    <row r="896" spans="1:1" x14ac:dyDescent="0.35">
      <c r="A896" t="b">
        <f>"_"=""</f>
        <v>0</v>
      </c>
    </row>
    <row r="897" spans="1:1" x14ac:dyDescent="0.35">
      <c r="A897" t="b">
        <f>"_"=" "</f>
        <v>0</v>
      </c>
    </row>
    <row r="898" spans="1:1" x14ac:dyDescent="0.35">
      <c r="A898" t="b">
        <f>"_"="ab"</f>
        <v>0</v>
      </c>
    </row>
    <row r="899" spans="1:1" x14ac:dyDescent="0.35">
      <c r="A899" t="b">
        <f>"_"="a b"</f>
        <v>0</v>
      </c>
    </row>
    <row r="900" spans="1:1" x14ac:dyDescent="0.35">
      <c r="A900" t="b">
        <f>"_"="a-b"</f>
        <v>0</v>
      </c>
    </row>
    <row r="901" spans="1:1" x14ac:dyDescent="0.35">
      <c r="A901" t="b">
        <f>"_"="a'b"</f>
        <v>0</v>
      </c>
    </row>
    <row r="902" spans="1:1" x14ac:dyDescent="0.35">
      <c r="A902" t="b">
        <f>"_"="co-op"</f>
        <v>0</v>
      </c>
    </row>
    <row r="903" spans="1:1" x14ac:dyDescent="0.35">
      <c r="A903" t="b">
        <f>"_"="coop"</f>
        <v>0</v>
      </c>
    </row>
    <row r="904" spans="1:1" x14ac:dyDescent="0.35">
      <c r="A904" t="b">
        <f>"_"="cop"</f>
        <v>0</v>
      </c>
    </row>
    <row r="905" spans="1:1" x14ac:dyDescent="0.35">
      <c r="A905" t="b">
        <f>"_"="ß"</f>
        <v>0</v>
      </c>
    </row>
    <row r="906" spans="1:1" x14ac:dyDescent="0.35">
      <c r="A906" t="b">
        <f>"_"="ss"</f>
        <v>0</v>
      </c>
    </row>
    <row r="907" spans="1:1" x14ac:dyDescent="0.35">
      <c r="A907" t="b">
        <f>"_"="æ"</f>
        <v>0</v>
      </c>
    </row>
    <row r="908" spans="1:1" x14ac:dyDescent="0.35">
      <c r="A908" t="b">
        <f>"_"="ae"</f>
        <v>0</v>
      </c>
    </row>
    <row r="909" spans="1:1" x14ac:dyDescent="0.35">
      <c r="A909" t="b">
        <f>"_"="é"</f>
        <v>0</v>
      </c>
    </row>
    <row r="910" spans="1:1" x14ac:dyDescent="0.35">
      <c r="A910" t="b">
        <f>"_"="e"</f>
        <v>0</v>
      </c>
    </row>
    <row r="911" spans="1:1" x14ac:dyDescent="0.35">
      <c r="A911" t="b">
        <f>"_"="f"</f>
        <v>0</v>
      </c>
    </row>
    <row r="912" spans="1:1" x14ac:dyDescent="0.35">
      <c r="A912" t="b">
        <f>"_"="É"</f>
        <v>0</v>
      </c>
    </row>
    <row r="913" spans="1:1" x14ac:dyDescent="0.35">
      <c r="A913" t="b">
        <f>"_"="1"</f>
        <v>0</v>
      </c>
    </row>
    <row r="914" spans="1:1" x14ac:dyDescent="0.35">
      <c r="A914" t="b">
        <f>"_"="10"</f>
        <v>0</v>
      </c>
    </row>
    <row r="915" spans="1:1" x14ac:dyDescent="0.35">
      <c r="A915" t="b">
        <f>"_"="9"</f>
        <v>0</v>
      </c>
    </row>
    <row r="916" spans="1:1" x14ac:dyDescent="0.35">
      <c r="A916" t="b">
        <f>"_"="a1"</f>
        <v>0</v>
      </c>
    </row>
    <row r="917" spans="1:1" x14ac:dyDescent="0.35">
      <c r="A917" t="b">
        <f>"_"="a10"</f>
        <v>0</v>
      </c>
    </row>
    <row r="918" spans="1:1" x14ac:dyDescent="0.35">
      <c r="A918" t="b">
        <f>"_"="a2"</f>
        <v>0</v>
      </c>
    </row>
    <row r="919" spans="1:1" x14ac:dyDescent="0.35">
      <c r="A919" t="b">
        <f>"_"="_"</f>
        <v>1</v>
      </c>
    </row>
    <row r="920" spans="1:1" x14ac:dyDescent="0.35">
      <c r="A920" t="b">
        <f>"_"="-"</f>
        <v>0</v>
      </c>
    </row>
    <row r="921" spans="1:1" x14ac:dyDescent="0.35">
      <c r="A921" t="b">
        <f>"_"="~"</f>
        <v>0</v>
      </c>
    </row>
    <row r="922" spans="1:1" x14ac:dyDescent="0.35">
      <c r="A922" t="b">
        <f>"_"="z"</f>
        <v>0</v>
      </c>
    </row>
    <row r="923" spans="1:1" x14ac:dyDescent="0.35">
      <c r="A923" t="b">
        <f>"_"="Ω"</f>
        <v>0</v>
      </c>
    </row>
    <row r="924" spans="1:1" x14ac:dyDescent="0.35">
      <c r="A924" t="b">
        <f>"_"="ω"</f>
        <v>0</v>
      </c>
    </row>
    <row r="925" spans="1:1" x14ac:dyDescent="0.35">
      <c r="A925" t="b">
        <f>"-"="a"</f>
        <v>0</v>
      </c>
    </row>
    <row r="926" spans="1:1" x14ac:dyDescent="0.35">
      <c r="A926" t="b">
        <f>"-"="A"</f>
        <v>0</v>
      </c>
    </row>
    <row r="927" spans="1:1" x14ac:dyDescent="0.35">
      <c r="A927" t="b">
        <f>"-"="b"</f>
        <v>0</v>
      </c>
    </row>
    <row r="928" spans="1:1" x14ac:dyDescent="0.35">
      <c r="A928" t="b">
        <f>"-"="B"</f>
        <v>0</v>
      </c>
    </row>
    <row r="929" spans="1:1" x14ac:dyDescent="0.35">
      <c r="A929" t="b">
        <f>"-"=""</f>
        <v>0</v>
      </c>
    </row>
    <row r="930" spans="1:1" x14ac:dyDescent="0.35">
      <c r="A930" t="b">
        <f>"-"=" "</f>
        <v>0</v>
      </c>
    </row>
    <row r="931" spans="1:1" x14ac:dyDescent="0.35">
      <c r="A931" t="b">
        <f>"-"="ab"</f>
        <v>0</v>
      </c>
    </row>
    <row r="932" spans="1:1" x14ac:dyDescent="0.35">
      <c r="A932" t="b">
        <f>"-"="a b"</f>
        <v>0</v>
      </c>
    </row>
    <row r="933" spans="1:1" x14ac:dyDescent="0.35">
      <c r="A933" t="b">
        <f>"-"="a-b"</f>
        <v>0</v>
      </c>
    </row>
    <row r="934" spans="1:1" x14ac:dyDescent="0.35">
      <c r="A934" t="b">
        <f>"-"="a'b"</f>
        <v>0</v>
      </c>
    </row>
    <row r="935" spans="1:1" x14ac:dyDescent="0.35">
      <c r="A935" t="b">
        <f>"-"="co-op"</f>
        <v>0</v>
      </c>
    </row>
    <row r="936" spans="1:1" x14ac:dyDescent="0.35">
      <c r="A936" t="b">
        <f>"-"="coop"</f>
        <v>0</v>
      </c>
    </row>
    <row r="937" spans="1:1" x14ac:dyDescent="0.35">
      <c r="A937" t="b">
        <f>"-"="cop"</f>
        <v>0</v>
      </c>
    </row>
    <row r="938" spans="1:1" x14ac:dyDescent="0.35">
      <c r="A938" t="b">
        <f>"-"="ß"</f>
        <v>0</v>
      </c>
    </row>
    <row r="939" spans="1:1" x14ac:dyDescent="0.35">
      <c r="A939" t="b">
        <f>"-"="ss"</f>
        <v>0</v>
      </c>
    </row>
    <row r="940" spans="1:1" x14ac:dyDescent="0.35">
      <c r="A940" t="b">
        <f>"-"="æ"</f>
        <v>0</v>
      </c>
    </row>
    <row r="941" spans="1:1" x14ac:dyDescent="0.35">
      <c r="A941" t="b">
        <f>"-"="ae"</f>
        <v>0</v>
      </c>
    </row>
    <row r="942" spans="1:1" x14ac:dyDescent="0.35">
      <c r="A942" t="b">
        <f>"-"="é"</f>
        <v>0</v>
      </c>
    </row>
    <row r="943" spans="1:1" x14ac:dyDescent="0.35">
      <c r="A943" t="b">
        <f>"-"="e"</f>
        <v>0</v>
      </c>
    </row>
    <row r="944" spans="1:1" x14ac:dyDescent="0.35">
      <c r="A944" t="b">
        <f>"-"="f"</f>
        <v>0</v>
      </c>
    </row>
    <row r="945" spans="1:1" x14ac:dyDescent="0.35">
      <c r="A945" t="b">
        <f>"-"="É"</f>
        <v>0</v>
      </c>
    </row>
    <row r="946" spans="1:1" x14ac:dyDescent="0.35">
      <c r="A946" t="b">
        <f>"-"="1"</f>
        <v>0</v>
      </c>
    </row>
    <row r="947" spans="1:1" x14ac:dyDescent="0.35">
      <c r="A947" t="b">
        <f>"-"="10"</f>
        <v>0</v>
      </c>
    </row>
    <row r="948" spans="1:1" x14ac:dyDescent="0.35">
      <c r="A948" t="b">
        <f>"-"="9"</f>
        <v>0</v>
      </c>
    </row>
    <row r="949" spans="1:1" x14ac:dyDescent="0.35">
      <c r="A949" t="b">
        <f>"-"="a1"</f>
        <v>0</v>
      </c>
    </row>
    <row r="950" spans="1:1" x14ac:dyDescent="0.35">
      <c r="A950" t="b">
        <f>"-"="a10"</f>
        <v>0</v>
      </c>
    </row>
    <row r="951" spans="1:1" x14ac:dyDescent="0.35">
      <c r="A951" t="b">
        <f>"-"="a2"</f>
        <v>0</v>
      </c>
    </row>
    <row r="952" spans="1:1" x14ac:dyDescent="0.35">
      <c r="A952" t="b">
        <f>"-"="_"</f>
        <v>0</v>
      </c>
    </row>
    <row r="953" spans="1:1" x14ac:dyDescent="0.35">
      <c r="A953" t="b">
        <f>"-"="-"</f>
        <v>1</v>
      </c>
    </row>
    <row r="954" spans="1:1" x14ac:dyDescent="0.35">
      <c r="A954" t="b">
        <f>"-"="~"</f>
        <v>0</v>
      </c>
    </row>
    <row r="955" spans="1:1" x14ac:dyDescent="0.35">
      <c r="A955" t="b">
        <f>"-"="z"</f>
        <v>0</v>
      </c>
    </row>
    <row r="956" spans="1:1" x14ac:dyDescent="0.35">
      <c r="A956" t="b">
        <f>"-"="Ω"</f>
        <v>0</v>
      </c>
    </row>
    <row r="957" spans="1:1" x14ac:dyDescent="0.35">
      <c r="A957" t="b">
        <f>"-"="ω"</f>
        <v>0</v>
      </c>
    </row>
    <row r="958" spans="1:1" x14ac:dyDescent="0.35">
      <c r="A958" t="b">
        <f>"~"="a"</f>
        <v>0</v>
      </c>
    </row>
    <row r="959" spans="1:1" x14ac:dyDescent="0.35">
      <c r="A959" t="b">
        <f>"~"="A"</f>
        <v>0</v>
      </c>
    </row>
    <row r="960" spans="1:1" x14ac:dyDescent="0.35">
      <c r="A960" t="b">
        <f>"~"="b"</f>
        <v>0</v>
      </c>
    </row>
    <row r="961" spans="1:1" x14ac:dyDescent="0.35">
      <c r="A961" t="b">
        <f>"~"="B"</f>
        <v>0</v>
      </c>
    </row>
    <row r="962" spans="1:1" x14ac:dyDescent="0.35">
      <c r="A962" t="b">
        <f>"~"=""</f>
        <v>0</v>
      </c>
    </row>
    <row r="963" spans="1:1" x14ac:dyDescent="0.35">
      <c r="A963" t="b">
        <f>"~"=" "</f>
        <v>0</v>
      </c>
    </row>
    <row r="964" spans="1:1" x14ac:dyDescent="0.35">
      <c r="A964" t="b">
        <f>"~"="ab"</f>
        <v>0</v>
      </c>
    </row>
    <row r="965" spans="1:1" x14ac:dyDescent="0.35">
      <c r="A965" t="b">
        <f>"~"="a b"</f>
        <v>0</v>
      </c>
    </row>
    <row r="966" spans="1:1" x14ac:dyDescent="0.35">
      <c r="A966" t="b">
        <f>"~"="a-b"</f>
        <v>0</v>
      </c>
    </row>
    <row r="967" spans="1:1" x14ac:dyDescent="0.35">
      <c r="A967" t="b">
        <f>"~"="a'b"</f>
        <v>0</v>
      </c>
    </row>
    <row r="968" spans="1:1" x14ac:dyDescent="0.35">
      <c r="A968" t="b">
        <f>"~"="co-op"</f>
        <v>0</v>
      </c>
    </row>
    <row r="969" spans="1:1" x14ac:dyDescent="0.35">
      <c r="A969" t="b">
        <f>"~"="coop"</f>
        <v>0</v>
      </c>
    </row>
    <row r="970" spans="1:1" x14ac:dyDescent="0.35">
      <c r="A970" t="b">
        <f>"~"="cop"</f>
        <v>0</v>
      </c>
    </row>
    <row r="971" spans="1:1" x14ac:dyDescent="0.35">
      <c r="A971" t="b">
        <f>"~"="ß"</f>
        <v>0</v>
      </c>
    </row>
    <row r="972" spans="1:1" x14ac:dyDescent="0.35">
      <c r="A972" t="b">
        <f>"~"="ss"</f>
        <v>0</v>
      </c>
    </row>
    <row r="973" spans="1:1" x14ac:dyDescent="0.35">
      <c r="A973" t="b">
        <f>"~"="æ"</f>
        <v>0</v>
      </c>
    </row>
    <row r="974" spans="1:1" x14ac:dyDescent="0.35">
      <c r="A974" t="b">
        <f>"~"="ae"</f>
        <v>0</v>
      </c>
    </row>
    <row r="975" spans="1:1" x14ac:dyDescent="0.35">
      <c r="A975" t="b">
        <f>"~"="é"</f>
        <v>0</v>
      </c>
    </row>
    <row r="976" spans="1:1" x14ac:dyDescent="0.35">
      <c r="A976" t="b">
        <f>"~"="e"</f>
        <v>0</v>
      </c>
    </row>
    <row r="977" spans="1:1" x14ac:dyDescent="0.35">
      <c r="A977" t="b">
        <f>"~"="f"</f>
        <v>0</v>
      </c>
    </row>
    <row r="978" spans="1:1" x14ac:dyDescent="0.35">
      <c r="A978" t="b">
        <f>"~"="É"</f>
        <v>0</v>
      </c>
    </row>
    <row r="979" spans="1:1" x14ac:dyDescent="0.35">
      <c r="A979" t="b">
        <f>"~"="1"</f>
        <v>0</v>
      </c>
    </row>
    <row r="980" spans="1:1" x14ac:dyDescent="0.35">
      <c r="A980" t="b">
        <f>"~"="10"</f>
        <v>0</v>
      </c>
    </row>
    <row r="981" spans="1:1" x14ac:dyDescent="0.35">
      <c r="A981" t="b">
        <f>"~"="9"</f>
        <v>0</v>
      </c>
    </row>
    <row r="982" spans="1:1" x14ac:dyDescent="0.35">
      <c r="A982" t="b">
        <f>"~"="a1"</f>
        <v>0</v>
      </c>
    </row>
    <row r="983" spans="1:1" x14ac:dyDescent="0.35">
      <c r="A983" t="b">
        <f>"~"="a10"</f>
        <v>0</v>
      </c>
    </row>
    <row r="984" spans="1:1" x14ac:dyDescent="0.35">
      <c r="A984" t="b">
        <f>"~"="a2"</f>
        <v>0</v>
      </c>
    </row>
    <row r="985" spans="1:1" x14ac:dyDescent="0.35">
      <c r="A985" t="b">
        <f>"~"="_"</f>
        <v>0</v>
      </c>
    </row>
    <row r="986" spans="1:1" x14ac:dyDescent="0.35">
      <c r="A986" t="b">
        <f>"~"="-"</f>
        <v>0</v>
      </c>
    </row>
    <row r="987" spans="1:1" x14ac:dyDescent="0.35">
      <c r="A987" t="b">
        <f>"~"="~"</f>
        <v>1</v>
      </c>
    </row>
    <row r="988" spans="1:1" x14ac:dyDescent="0.35">
      <c r="A988" t="b">
        <f>"~"="z"</f>
        <v>0</v>
      </c>
    </row>
    <row r="989" spans="1:1" x14ac:dyDescent="0.35">
      <c r="A989" t="b">
        <f>"~"="Ω"</f>
        <v>0</v>
      </c>
    </row>
    <row r="990" spans="1:1" x14ac:dyDescent="0.35">
      <c r="A990" t="b">
        <f>"~"="ω"</f>
        <v>0</v>
      </c>
    </row>
    <row r="991" spans="1:1" x14ac:dyDescent="0.35">
      <c r="A991" t="b">
        <f>"z"="a"</f>
        <v>0</v>
      </c>
    </row>
    <row r="992" spans="1:1" x14ac:dyDescent="0.35">
      <c r="A992" t="b">
        <f>"z"="A"</f>
        <v>0</v>
      </c>
    </row>
    <row r="993" spans="1:1" x14ac:dyDescent="0.35">
      <c r="A993" t="b">
        <f>"z"="b"</f>
        <v>0</v>
      </c>
    </row>
    <row r="994" spans="1:1" x14ac:dyDescent="0.35">
      <c r="A994" t="b">
        <f>"z"="B"</f>
        <v>0</v>
      </c>
    </row>
    <row r="995" spans="1:1" x14ac:dyDescent="0.35">
      <c r="A995" t="b">
        <f>"z"=""</f>
        <v>0</v>
      </c>
    </row>
    <row r="996" spans="1:1" x14ac:dyDescent="0.35">
      <c r="A996" t="b">
        <f>"z"=" "</f>
        <v>0</v>
      </c>
    </row>
    <row r="997" spans="1:1" x14ac:dyDescent="0.35">
      <c r="A997" t="b">
        <f>"z"="ab"</f>
        <v>0</v>
      </c>
    </row>
    <row r="998" spans="1:1" x14ac:dyDescent="0.35">
      <c r="A998" t="b">
        <f>"z"="a b"</f>
        <v>0</v>
      </c>
    </row>
    <row r="999" spans="1:1" x14ac:dyDescent="0.35">
      <c r="A999" t="b">
        <f>"z"="a-b"</f>
        <v>0</v>
      </c>
    </row>
    <row r="1000" spans="1:1" x14ac:dyDescent="0.35">
      <c r="A1000" t="b">
        <f>"z"="a'b"</f>
        <v>0</v>
      </c>
    </row>
    <row r="1001" spans="1:1" x14ac:dyDescent="0.35">
      <c r="A1001" t="b">
        <f>"z"="co-op"</f>
        <v>0</v>
      </c>
    </row>
    <row r="1002" spans="1:1" x14ac:dyDescent="0.35">
      <c r="A1002" t="b">
        <f>"z"="coop"</f>
        <v>0</v>
      </c>
    </row>
    <row r="1003" spans="1:1" x14ac:dyDescent="0.35">
      <c r="A1003" t="b">
        <f>"z"="cop"</f>
        <v>0</v>
      </c>
    </row>
    <row r="1004" spans="1:1" x14ac:dyDescent="0.35">
      <c r="A1004" t="b">
        <f>"z"="ß"</f>
        <v>0</v>
      </c>
    </row>
    <row r="1005" spans="1:1" x14ac:dyDescent="0.35">
      <c r="A1005" t="b">
        <f>"z"="ss"</f>
        <v>0</v>
      </c>
    </row>
    <row r="1006" spans="1:1" x14ac:dyDescent="0.35">
      <c r="A1006" t="b">
        <f>"z"="æ"</f>
        <v>0</v>
      </c>
    </row>
    <row r="1007" spans="1:1" x14ac:dyDescent="0.35">
      <c r="A1007" t="b">
        <f>"z"="ae"</f>
        <v>0</v>
      </c>
    </row>
    <row r="1008" spans="1:1" x14ac:dyDescent="0.35">
      <c r="A1008" t="b">
        <f>"z"="é"</f>
        <v>0</v>
      </c>
    </row>
    <row r="1009" spans="1:1" x14ac:dyDescent="0.35">
      <c r="A1009" t="b">
        <f>"z"="e"</f>
        <v>0</v>
      </c>
    </row>
    <row r="1010" spans="1:1" x14ac:dyDescent="0.35">
      <c r="A1010" t="b">
        <f>"z"="f"</f>
        <v>0</v>
      </c>
    </row>
    <row r="1011" spans="1:1" x14ac:dyDescent="0.35">
      <c r="A1011" t="b">
        <f>"z"="É"</f>
        <v>0</v>
      </c>
    </row>
    <row r="1012" spans="1:1" x14ac:dyDescent="0.35">
      <c r="A1012" t="b">
        <f>"z"="1"</f>
        <v>0</v>
      </c>
    </row>
    <row r="1013" spans="1:1" x14ac:dyDescent="0.35">
      <c r="A1013" t="b">
        <f>"z"="10"</f>
        <v>0</v>
      </c>
    </row>
    <row r="1014" spans="1:1" x14ac:dyDescent="0.35">
      <c r="A1014" t="b">
        <f>"z"="9"</f>
        <v>0</v>
      </c>
    </row>
    <row r="1015" spans="1:1" x14ac:dyDescent="0.35">
      <c r="A1015" t="b">
        <f>"z"="a1"</f>
        <v>0</v>
      </c>
    </row>
    <row r="1016" spans="1:1" x14ac:dyDescent="0.35">
      <c r="A1016" t="b">
        <f>"z"="a10"</f>
        <v>0</v>
      </c>
    </row>
    <row r="1017" spans="1:1" x14ac:dyDescent="0.35">
      <c r="A1017" t="b">
        <f>"z"="a2"</f>
        <v>0</v>
      </c>
    </row>
    <row r="1018" spans="1:1" x14ac:dyDescent="0.35">
      <c r="A1018" t="b">
        <f>"z"="_"</f>
        <v>0</v>
      </c>
    </row>
    <row r="1019" spans="1:1" x14ac:dyDescent="0.35">
      <c r="A1019" t="b">
        <f>"z"="-"</f>
        <v>0</v>
      </c>
    </row>
    <row r="1020" spans="1:1" x14ac:dyDescent="0.35">
      <c r="A1020" t="b">
        <f>"z"="~"</f>
        <v>0</v>
      </c>
    </row>
    <row r="1021" spans="1:1" x14ac:dyDescent="0.35">
      <c r="A1021" t="b">
        <f>"z"="z"</f>
        <v>1</v>
      </c>
    </row>
    <row r="1022" spans="1:1" x14ac:dyDescent="0.35">
      <c r="A1022" t="b">
        <f>"z"="Ω"</f>
        <v>0</v>
      </c>
    </row>
    <row r="1023" spans="1:1" x14ac:dyDescent="0.35">
      <c r="A1023" t="b">
        <f>"z"="ω"</f>
        <v>0</v>
      </c>
    </row>
    <row r="1024" spans="1:1" x14ac:dyDescent="0.35">
      <c r="A1024" t="b">
        <f>"Ω"="a"</f>
        <v>0</v>
      </c>
    </row>
    <row r="1025" spans="1:1" x14ac:dyDescent="0.35">
      <c r="A1025" t="b">
        <f>"Ω"="A"</f>
        <v>0</v>
      </c>
    </row>
    <row r="1026" spans="1:1" x14ac:dyDescent="0.35">
      <c r="A1026" t="b">
        <f>"Ω"="b"</f>
        <v>0</v>
      </c>
    </row>
    <row r="1027" spans="1:1" x14ac:dyDescent="0.35">
      <c r="A1027" t="b">
        <f>"Ω"="B"</f>
        <v>0</v>
      </c>
    </row>
    <row r="1028" spans="1:1" x14ac:dyDescent="0.35">
      <c r="A1028" t="b">
        <f>"Ω"=""</f>
        <v>0</v>
      </c>
    </row>
    <row r="1029" spans="1:1" x14ac:dyDescent="0.35">
      <c r="A1029" t="b">
        <f>"Ω"=" "</f>
        <v>0</v>
      </c>
    </row>
    <row r="1030" spans="1:1" x14ac:dyDescent="0.35">
      <c r="A1030" t="b">
        <f>"Ω"="ab"</f>
        <v>0</v>
      </c>
    </row>
    <row r="1031" spans="1:1" x14ac:dyDescent="0.35">
      <c r="A1031" t="b">
        <f>"Ω"="a b"</f>
        <v>0</v>
      </c>
    </row>
    <row r="1032" spans="1:1" x14ac:dyDescent="0.35">
      <c r="A1032" t="b">
        <f>"Ω"="a-b"</f>
        <v>0</v>
      </c>
    </row>
    <row r="1033" spans="1:1" x14ac:dyDescent="0.35">
      <c r="A1033" t="b">
        <f>"Ω"="a'b"</f>
        <v>0</v>
      </c>
    </row>
    <row r="1034" spans="1:1" x14ac:dyDescent="0.35">
      <c r="A1034" t="b">
        <f>"Ω"="co-op"</f>
        <v>0</v>
      </c>
    </row>
    <row r="1035" spans="1:1" x14ac:dyDescent="0.35">
      <c r="A1035" t="b">
        <f>"Ω"="coop"</f>
        <v>0</v>
      </c>
    </row>
    <row r="1036" spans="1:1" x14ac:dyDescent="0.35">
      <c r="A1036" t="b">
        <f>"Ω"="cop"</f>
        <v>0</v>
      </c>
    </row>
    <row r="1037" spans="1:1" x14ac:dyDescent="0.35">
      <c r="A1037" t="b">
        <f>"Ω"="ß"</f>
        <v>0</v>
      </c>
    </row>
    <row r="1038" spans="1:1" x14ac:dyDescent="0.35">
      <c r="A1038" t="b">
        <f>"Ω"="ss"</f>
        <v>0</v>
      </c>
    </row>
    <row r="1039" spans="1:1" x14ac:dyDescent="0.35">
      <c r="A1039" t="b">
        <f>"Ω"="æ"</f>
        <v>0</v>
      </c>
    </row>
    <row r="1040" spans="1:1" x14ac:dyDescent="0.35">
      <c r="A1040" t="b">
        <f>"Ω"="ae"</f>
        <v>0</v>
      </c>
    </row>
    <row r="1041" spans="1:1" x14ac:dyDescent="0.35">
      <c r="A1041" t="b">
        <f>"Ω"="é"</f>
        <v>0</v>
      </c>
    </row>
    <row r="1042" spans="1:1" x14ac:dyDescent="0.35">
      <c r="A1042" t="b">
        <f>"Ω"="e"</f>
        <v>0</v>
      </c>
    </row>
    <row r="1043" spans="1:1" x14ac:dyDescent="0.35">
      <c r="A1043" t="b">
        <f>"Ω"="f"</f>
        <v>0</v>
      </c>
    </row>
    <row r="1044" spans="1:1" x14ac:dyDescent="0.35">
      <c r="A1044" t="b">
        <f>"Ω"="É"</f>
        <v>0</v>
      </c>
    </row>
    <row r="1045" spans="1:1" x14ac:dyDescent="0.35">
      <c r="A1045" t="b">
        <f>"Ω"="1"</f>
        <v>0</v>
      </c>
    </row>
    <row r="1046" spans="1:1" x14ac:dyDescent="0.35">
      <c r="A1046" t="b">
        <f>"Ω"="10"</f>
        <v>0</v>
      </c>
    </row>
    <row r="1047" spans="1:1" x14ac:dyDescent="0.35">
      <c r="A1047" t="b">
        <f>"Ω"="9"</f>
        <v>0</v>
      </c>
    </row>
    <row r="1048" spans="1:1" x14ac:dyDescent="0.35">
      <c r="A1048" t="b">
        <f>"Ω"="a1"</f>
        <v>0</v>
      </c>
    </row>
    <row r="1049" spans="1:1" x14ac:dyDescent="0.35">
      <c r="A1049" t="b">
        <f>"Ω"="a10"</f>
        <v>0</v>
      </c>
    </row>
    <row r="1050" spans="1:1" x14ac:dyDescent="0.35">
      <c r="A1050" t="b">
        <f>"Ω"="a2"</f>
        <v>0</v>
      </c>
    </row>
    <row r="1051" spans="1:1" x14ac:dyDescent="0.35">
      <c r="A1051" t="b">
        <f>"Ω"="_"</f>
        <v>0</v>
      </c>
    </row>
    <row r="1052" spans="1:1" x14ac:dyDescent="0.35">
      <c r="A1052" t="b">
        <f>"Ω"="-"</f>
        <v>0</v>
      </c>
    </row>
    <row r="1053" spans="1:1" x14ac:dyDescent="0.35">
      <c r="A1053" t="b">
        <f>"Ω"="~"</f>
        <v>0</v>
      </c>
    </row>
    <row r="1054" spans="1:1" x14ac:dyDescent="0.35">
      <c r="A1054" t="b">
        <f>"Ω"="z"</f>
        <v>0</v>
      </c>
    </row>
    <row r="1055" spans="1:1" x14ac:dyDescent="0.35">
      <c r="A1055" t="b">
        <f>"Ω"="Ω"</f>
        <v>1</v>
      </c>
    </row>
    <row r="1056" spans="1:1" x14ac:dyDescent="0.35">
      <c r="A1056" t="b">
        <f>"Ω"="ω"</f>
        <v>1</v>
      </c>
    </row>
    <row r="1057" spans="1:1" x14ac:dyDescent="0.35">
      <c r="A1057" t="b">
        <f>"ω"="a"</f>
        <v>0</v>
      </c>
    </row>
    <row r="1058" spans="1:1" x14ac:dyDescent="0.35">
      <c r="A1058" t="b">
        <f>"ω"="A"</f>
        <v>0</v>
      </c>
    </row>
    <row r="1059" spans="1:1" x14ac:dyDescent="0.35">
      <c r="A1059" t="b">
        <f>"ω"="b"</f>
        <v>0</v>
      </c>
    </row>
    <row r="1060" spans="1:1" x14ac:dyDescent="0.35">
      <c r="A1060" t="b">
        <f>"ω"="B"</f>
        <v>0</v>
      </c>
    </row>
    <row r="1061" spans="1:1" x14ac:dyDescent="0.35">
      <c r="A1061" t="b">
        <f>"ω"=""</f>
        <v>0</v>
      </c>
    </row>
    <row r="1062" spans="1:1" x14ac:dyDescent="0.35">
      <c r="A1062" t="b">
        <f>"ω"=" "</f>
        <v>0</v>
      </c>
    </row>
    <row r="1063" spans="1:1" x14ac:dyDescent="0.35">
      <c r="A1063" t="b">
        <f>"ω"="ab"</f>
        <v>0</v>
      </c>
    </row>
    <row r="1064" spans="1:1" x14ac:dyDescent="0.35">
      <c r="A1064" t="b">
        <f>"ω"="a b"</f>
        <v>0</v>
      </c>
    </row>
    <row r="1065" spans="1:1" x14ac:dyDescent="0.35">
      <c r="A1065" t="b">
        <f>"ω"="a-b"</f>
        <v>0</v>
      </c>
    </row>
    <row r="1066" spans="1:1" x14ac:dyDescent="0.35">
      <c r="A1066" t="b">
        <f>"ω"="a'b"</f>
        <v>0</v>
      </c>
    </row>
    <row r="1067" spans="1:1" x14ac:dyDescent="0.35">
      <c r="A1067" t="b">
        <f>"ω"="co-op"</f>
        <v>0</v>
      </c>
    </row>
    <row r="1068" spans="1:1" x14ac:dyDescent="0.35">
      <c r="A1068" t="b">
        <f>"ω"="coop"</f>
        <v>0</v>
      </c>
    </row>
    <row r="1069" spans="1:1" x14ac:dyDescent="0.35">
      <c r="A1069" t="b">
        <f>"ω"="cop"</f>
        <v>0</v>
      </c>
    </row>
    <row r="1070" spans="1:1" x14ac:dyDescent="0.35">
      <c r="A1070" t="b">
        <f>"ω"="ß"</f>
        <v>0</v>
      </c>
    </row>
    <row r="1071" spans="1:1" x14ac:dyDescent="0.35">
      <c r="A1071" t="b">
        <f>"ω"="ss"</f>
        <v>0</v>
      </c>
    </row>
    <row r="1072" spans="1:1" x14ac:dyDescent="0.35">
      <c r="A1072" t="b">
        <f>"ω"="æ"</f>
        <v>0</v>
      </c>
    </row>
    <row r="1073" spans="1:1" x14ac:dyDescent="0.35">
      <c r="A1073" t="b">
        <f>"ω"="ae"</f>
        <v>0</v>
      </c>
    </row>
    <row r="1074" spans="1:1" x14ac:dyDescent="0.35">
      <c r="A1074" t="b">
        <f>"ω"="é"</f>
        <v>0</v>
      </c>
    </row>
    <row r="1075" spans="1:1" x14ac:dyDescent="0.35">
      <c r="A1075" t="b">
        <f>"ω"="e"</f>
        <v>0</v>
      </c>
    </row>
    <row r="1076" spans="1:1" x14ac:dyDescent="0.35">
      <c r="A1076" t="b">
        <f>"ω"="f"</f>
        <v>0</v>
      </c>
    </row>
    <row r="1077" spans="1:1" x14ac:dyDescent="0.35">
      <c r="A1077" t="b">
        <f>"ω"="É"</f>
        <v>0</v>
      </c>
    </row>
    <row r="1078" spans="1:1" x14ac:dyDescent="0.35">
      <c r="A1078" t="b">
        <f>"ω"="1"</f>
        <v>0</v>
      </c>
    </row>
    <row r="1079" spans="1:1" x14ac:dyDescent="0.35">
      <c r="A1079" t="b">
        <f>"ω"="10"</f>
        <v>0</v>
      </c>
    </row>
    <row r="1080" spans="1:1" x14ac:dyDescent="0.35">
      <c r="A1080" t="b">
        <f>"ω"="9"</f>
        <v>0</v>
      </c>
    </row>
    <row r="1081" spans="1:1" x14ac:dyDescent="0.35">
      <c r="A1081" t="b">
        <f>"ω"="a1"</f>
        <v>0</v>
      </c>
    </row>
    <row r="1082" spans="1:1" x14ac:dyDescent="0.35">
      <c r="A1082" t="b">
        <f>"ω"="a10"</f>
        <v>0</v>
      </c>
    </row>
    <row r="1083" spans="1:1" x14ac:dyDescent="0.35">
      <c r="A1083" t="b">
        <f>"ω"="a2"</f>
        <v>0</v>
      </c>
    </row>
    <row r="1084" spans="1:1" x14ac:dyDescent="0.35">
      <c r="A1084" t="b">
        <f>"ω"="_"</f>
        <v>0</v>
      </c>
    </row>
    <row r="1085" spans="1:1" x14ac:dyDescent="0.35">
      <c r="A1085" t="b">
        <f>"ω"="-"</f>
        <v>0</v>
      </c>
    </row>
    <row r="1086" spans="1:1" x14ac:dyDescent="0.35">
      <c r="A1086" t="b">
        <f>"ω"="~"</f>
        <v>0</v>
      </c>
    </row>
    <row r="1087" spans="1:1" x14ac:dyDescent="0.35">
      <c r="A1087" t="b">
        <f>"ω"="z"</f>
        <v>0</v>
      </c>
    </row>
    <row r="1088" spans="1:1" x14ac:dyDescent="0.35">
      <c r="A1088" t="b">
        <f>"ω"="Ω"</f>
        <v>1</v>
      </c>
    </row>
    <row r="1089" spans="1:1" x14ac:dyDescent="0.35">
      <c r="A1089" t="b">
        <f>"ω"="ω"</f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4C57-C387-495C-A224-1D4F4EE5D085}">
  <dimension ref="A1:A1089"/>
  <sheetViews>
    <sheetView workbookViewId="0"/>
  </sheetViews>
  <sheetFormatPr defaultRowHeight="14.5" x14ac:dyDescent="0.35"/>
  <sheetData>
    <row r="1" spans="1:1" x14ac:dyDescent="0.35">
      <c r="A1" t="b">
        <f>"a"&lt;"a"</f>
        <v>0</v>
      </c>
    </row>
    <row r="2" spans="1:1" x14ac:dyDescent="0.35">
      <c r="A2" t="b">
        <f>"a"&lt;"A"</f>
        <v>0</v>
      </c>
    </row>
    <row r="3" spans="1:1" x14ac:dyDescent="0.35">
      <c r="A3" t="b">
        <f>"a"&lt;"b"</f>
        <v>1</v>
      </c>
    </row>
    <row r="4" spans="1:1" x14ac:dyDescent="0.35">
      <c r="A4" t="b">
        <f>"a"&lt;"B"</f>
        <v>1</v>
      </c>
    </row>
    <row r="5" spans="1:1" x14ac:dyDescent="0.35">
      <c r="A5" t="b">
        <f>"a"&lt;""</f>
        <v>0</v>
      </c>
    </row>
    <row r="6" spans="1:1" x14ac:dyDescent="0.35">
      <c r="A6" t="b">
        <f>"a"&lt;" "</f>
        <v>0</v>
      </c>
    </row>
    <row r="7" spans="1:1" x14ac:dyDescent="0.35">
      <c r="A7" t="b">
        <f>"a"&lt;"ab"</f>
        <v>1</v>
      </c>
    </row>
    <row r="8" spans="1:1" x14ac:dyDescent="0.35">
      <c r="A8" t="b">
        <f>"a"&lt;"a b"</f>
        <v>1</v>
      </c>
    </row>
    <row r="9" spans="1:1" x14ac:dyDescent="0.35">
      <c r="A9" t="b">
        <f>"a"&lt;"a-b"</f>
        <v>1</v>
      </c>
    </row>
    <row r="10" spans="1:1" x14ac:dyDescent="0.35">
      <c r="A10" t="b">
        <f>"a"&lt;"a'b"</f>
        <v>1</v>
      </c>
    </row>
    <row r="11" spans="1:1" x14ac:dyDescent="0.35">
      <c r="A11" t="b">
        <f>"a"&lt;"co-op"</f>
        <v>1</v>
      </c>
    </row>
    <row r="12" spans="1:1" x14ac:dyDescent="0.35">
      <c r="A12" t="b">
        <f>"a"&lt;"coop"</f>
        <v>1</v>
      </c>
    </row>
    <row r="13" spans="1:1" x14ac:dyDescent="0.35">
      <c r="A13" t="b">
        <f>"a"&lt;"cop"</f>
        <v>1</v>
      </c>
    </row>
    <row r="14" spans="1:1" x14ac:dyDescent="0.35">
      <c r="A14" t="b">
        <f>"a"&lt;"ß"</f>
        <v>1</v>
      </c>
    </row>
    <row r="15" spans="1:1" x14ac:dyDescent="0.35">
      <c r="A15" t="b">
        <f>"a"&lt;"ss"</f>
        <v>1</v>
      </c>
    </row>
    <row r="16" spans="1:1" x14ac:dyDescent="0.35">
      <c r="A16" t="b">
        <f>"a"&lt;"æ"</f>
        <v>1</v>
      </c>
    </row>
    <row r="17" spans="1:1" x14ac:dyDescent="0.35">
      <c r="A17" t="b">
        <f>"a"&lt;"ae"</f>
        <v>1</v>
      </c>
    </row>
    <row r="18" spans="1:1" x14ac:dyDescent="0.35">
      <c r="A18" t="b">
        <f>"a"&lt;"é"</f>
        <v>1</v>
      </c>
    </row>
    <row r="19" spans="1:1" x14ac:dyDescent="0.35">
      <c r="A19" t="b">
        <f>"a"&lt;"e"</f>
        <v>1</v>
      </c>
    </row>
    <row r="20" spans="1:1" x14ac:dyDescent="0.35">
      <c r="A20" t="b">
        <f>"a"&lt;"f"</f>
        <v>1</v>
      </c>
    </row>
    <row r="21" spans="1:1" x14ac:dyDescent="0.35">
      <c r="A21" t="b">
        <f>"a"&lt;"É"</f>
        <v>1</v>
      </c>
    </row>
    <row r="22" spans="1:1" x14ac:dyDescent="0.35">
      <c r="A22" t="b">
        <f>"a"&lt;"1"</f>
        <v>0</v>
      </c>
    </row>
    <row r="23" spans="1:1" x14ac:dyDescent="0.35">
      <c r="A23" t="b">
        <f>"a"&lt;"10"</f>
        <v>0</v>
      </c>
    </row>
    <row r="24" spans="1:1" x14ac:dyDescent="0.35">
      <c r="A24" t="b">
        <f>"a"&lt;"9"</f>
        <v>0</v>
      </c>
    </row>
    <row r="25" spans="1:1" x14ac:dyDescent="0.35">
      <c r="A25" t="b">
        <f>"a"&lt;"a1"</f>
        <v>1</v>
      </c>
    </row>
    <row r="26" spans="1:1" x14ac:dyDescent="0.35">
      <c r="A26" t="b">
        <f>"a"&lt;"a10"</f>
        <v>1</v>
      </c>
    </row>
    <row r="27" spans="1:1" x14ac:dyDescent="0.35">
      <c r="A27" t="b">
        <f>"a"&lt;"a2"</f>
        <v>1</v>
      </c>
    </row>
    <row r="28" spans="1:1" x14ac:dyDescent="0.35">
      <c r="A28" t="b">
        <f>"a"&lt;"_"</f>
        <v>0</v>
      </c>
    </row>
    <row r="29" spans="1:1" x14ac:dyDescent="0.35">
      <c r="A29" t="b">
        <f>"a"&lt;"-"</f>
        <v>0</v>
      </c>
    </row>
    <row r="30" spans="1:1" x14ac:dyDescent="0.35">
      <c r="A30" t="b">
        <f>"a"&lt;"~"</f>
        <v>0</v>
      </c>
    </row>
    <row r="31" spans="1:1" x14ac:dyDescent="0.35">
      <c r="A31" t="b">
        <f>"a"&lt;"z"</f>
        <v>1</v>
      </c>
    </row>
    <row r="32" spans="1:1" x14ac:dyDescent="0.35">
      <c r="A32" t="b">
        <f>"a"&lt;"Ω"</f>
        <v>1</v>
      </c>
    </row>
    <row r="33" spans="1:1" x14ac:dyDescent="0.35">
      <c r="A33" t="b">
        <f>"a"&lt;"ω"</f>
        <v>1</v>
      </c>
    </row>
    <row r="34" spans="1:1" x14ac:dyDescent="0.35">
      <c r="A34" t="b">
        <f>"A"&lt;"a"</f>
        <v>0</v>
      </c>
    </row>
    <row r="35" spans="1:1" x14ac:dyDescent="0.35">
      <c r="A35" t="b">
        <f>"A"&lt;"A"</f>
        <v>0</v>
      </c>
    </row>
    <row r="36" spans="1:1" x14ac:dyDescent="0.35">
      <c r="A36" t="b">
        <f>"A"&lt;"b"</f>
        <v>1</v>
      </c>
    </row>
    <row r="37" spans="1:1" x14ac:dyDescent="0.35">
      <c r="A37" t="b">
        <f>"A"&lt;"B"</f>
        <v>1</v>
      </c>
    </row>
    <row r="38" spans="1:1" x14ac:dyDescent="0.35">
      <c r="A38" t="b">
        <f>"A"&lt;""</f>
        <v>0</v>
      </c>
    </row>
    <row r="39" spans="1:1" x14ac:dyDescent="0.35">
      <c r="A39" t="b">
        <f>"A"&lt;" "</f>
        <v>0</v>
      </c>
    </row>
    <row r="40" spans="1:1" x14ac:dyDescent="0.35">
      <c r="A40" t="b">
        <f>"A"&lt;"ab"</f>
        <v>1</v>
      </c>
    </row>
    <row r="41" spans="1:1" x14ac:dyDescent="0.35">
      <c r="A41" t="b">
        <f>"A"&lt;"a b"</f>
        <v>1</v>
      </c>
    </row>
    <row r="42" spans="1:1" x14ac:dyDescent="0.35">
      <c r="A42" t="b">
        <f>"A"&lt;"a-b"</f>
        <v>1</v>
      </c>
    </row>
    <row r="43" spans="1:1" x14ac:dyDescent="0.35">
      <c r="A43" t="b">
        <f>"A"&lt;"a'b"</f>
        <v>1</v>
      </c>
    </row>
    <row r="44" spans="1:1" x14ac:dyDescent="0.35">
      <c r="A44" t="b">
        <f>"A"&lt;"co-op"</f>
        <v>1</v>
      </c>
    </row>
    <row r="45" spans="1:1" x14ac:dyDescent="0.35">
      <c r="A45" t="b">
        <f>"A"&lt;"coop"</f>
        <v>1</v>
      </c>
    </row>
    <row r="46" spans="1:1" x14ac:dyDescent="0.35">
      <c r="A46" t="b">
        <f>"A"&lt;"cop"</f>
        <v>1</v>
      </c>
    </row>
    <row r="47" spans="1:1" x14ac:dyDescent="0.35">
      <c r="A47" t="b">
        <f>"A"&lt;"ß"</f>
        <v>1</v>
      </c>
    </row>
    <row r="48" spans="1:1" x14ac:dyDescent="0.35">
      <c r="A48" t="b">
        <f>"A"&lt;"ss"</f>
        <v>1</v>
      </c>
    </row>
    <row r="49" spans="1:1" x14ac:dyDescent="0.35">
      <c r="A49" t="b">
        <f>"A"&lt;"æ"</f>
        <v>1</v>
      </c>
    </row>
    <row r="50" spans="1:1" x14ac:dyDescent="0.35">
      <c r="A50" t="b">
        <f>"A"&lt;"ae"</f>
        <v>1</v>
      </c>
    </row>
    <row r="51" spans="1:1" x14ac:dyDescent="0.35">
      <c r="A51" t="b">
        <f>"A"&lt;"é"</f>
        <v>1</v>
      </c>
    </row>
    <row r="52" spans="1:1" x14ac:dyDescent="0.35">
      <c r="A52" t="b">
        <f>"A"&lt;"e"</f>
        <v>1</v>
      </c>
    </row>
    <row r="53" spans="1:1" x14ac:dyDescent="0.35">
      <c r="A53" t="b">
        <f>"A"&lt;"f"</f>
        <v>1</v>
      </c>
    </row>
    <row r="54" spans="1:1" x14ac:dyDescent="0.35">
      <c r="A54" t="b">
        <f>"A"&lt;"É"</f>
        <v>1</v>
      </c>
    </row>
    <row r="55" spans="1:1" x14ac:dyDescent="0.35">
      <c r="A55" t="b">
        <f>"A"&lt;"1"</f>
        <v>0</v>
      </c>
    </row>
    <row r="56" spans="1:1" x14ac:dyDescent="0.35">
      <c r="A56" t="b">
        <f>"A"&lt;"10"</f>
        <v>0</v>
      </c>
    </row>
    <row r="57" spans="1:1" x14ac:dyDescent="0.35">
      <c r="A57" t="b">
        <f>"A"&lt;"9"</f>
        <v>0</v>
      </c>
    </row>
    <row r="58" spans="1:1" x14ac:dyDescent="0.35">
      <c r="A58" t="b">
        <f>"A"&lt;"a1"</f>
        <v>1</v>
      </c>
    </row>
    <row r="59" spans="1:1" x14ac:dyDescent="0.35">
      <c r="A59" t="b">
        <f>"A"&lt;"a10"</f>
        <v>1</v>
      </c>
    </row>
    <row r="60" spans="1:1" x14ac:dyDescent="0.35">
      <c r="A60" t="b">
        <f>"A"&lt;"a2"</f>
        <v>1</v>
      </c>
    </row>
    <row r="61" spans="1:1" x14ac:dyDescent="0.35">
      <c r="A61" t="b">
        <f>"A"&lt;"_"</f>
        <v>0</v>
      </c>
    </row>
    <row r="62" spans="1:1" x14ac:dyDescent="0.35">
      <c r="A62" t="b">
        <f>"A"&lt;"-"</f>
        <v>0</v>
      </c>
    </row>
    <row r="63" spans="1:1" x14ac:dyDescent="0.35">
      <c r="A63" t="b">
        <f>"A"&lt;"~"</f>
        <v>0</v>
      </c>
    </row>
    <row r="64" spans="1:1" x14ac:dyDescent="0.35">
      <c r="A64" t="b">
        <f>"A"&lt;"z"</f>
        <v>1</v>
      </c>
    </row>
    <row r="65" spans="1:1" x14ac:dyDescent="0.35">
      <c r="A65" t="b">
        <f>"A"&lt;"Ω"</f>
        <v>1</v>
      </c>
    </row>
    <row r="66" spans="1:1" x14ac:dyDescent="0.35">
      <c r="A66" t="b">
        <f>"A"&lt;"ω"</f>
        <v>1</v>
      </c>
    </row>
    <row r="67" spans="1:1" x14ac:dyDescent="0.35">
      <c r="A67" t="b">
        <f>"b"&lt;"a"</f>
        <v>0</v>
      </c>
    </row>
    <row r="68" spans="1:1" x14ac:dyDescent="0.35">
      <c r="A68" t="b">
        <f>"b"&lt;"A"</f>
        <v>0</v>
      </c>
    </row>
    <row r="69" spans="1:1" x14ac:dyDescent="0.35">
      <c r="A69" t="b">
        <f>"b"&lt;"b"</f>
        <v>0</v>
      </c>
    </row>
    <row r="70" spans="1:1" x14ac:dyDescent="0.35">
      <c r="A70" t="b">
        <f>"b"&lt;"B"</f>
        <v>0</v>
      </c>
    </row>
    <row r="71" spans="1:1" x14ac:dyDescent="0.35">
      <c r="A71" t="b">
        <f>"b"&lt;""</f>
        <v>0</v>
      </c>
    </row>
    <row r="72" spans="1:1" x14ac:dyDescent="0.35">
      <c r="A72" t="b">
        <f>"b"&lt;" "</f>
        <v>0</v>
      </c>
    </row>
    <row r="73" spans="1:1" x14ac:dyDescent="0.35">
      <c r="A73" t="b">
        <f>"b"&lt;"ab"</f>
        <v>0</v>
      </c>
    </row>
    <row r="74" spans="1:1" x14ac:dyDescent="0.35">
      <c r="A74" t="b">
        <f>"b"&lt;"a b"</f>
        <v>0</v>
      </c>
    </row>
    <row r="75" spans="1:1" x14ac:dyDescent="0.35">
      <c r="A75" t="b">
        <f>"b"&lt;"a-b"</f>
        <v>0</v>
      </c>
    </row>
    <row r="76" spans="1:1" x14ac:dyDescent="0.35">
      <c r="A76" t="b">
        <f>"b"&lt;"a'b"</f>
        <v>0</v>
      </c>
    </row>
    <row r="77" spans="1:1" x14ac:dyDescent="0.35">
      <c r="A77" t="b">
        <f>"b"&lt;"co-op"</f>
        <v>1</v>
      </c>
    </row>
    <row r="78" spans="1:1" x14ac:dyDescent="0.35">
      <c r="A78" t="b">
        <f>"b"&lt;"coop"</f>
        <v>1</v>
      </c>
    </row>
    <row r="79" spans="1:1" x14ac:dyDescent="0.35">
      <c r="A79" t="b">
        <f>"b"&lt;"cop"</f>
        <v>1</v>
      </c>
    </row>
    <row r="80" spans="1:1" x14ac:dyDescent="0.35">
      <c r="A80" t="b">
        <f>"b"&lt;"ß"</f>
        <v>1</v>
      </c>
    </row>
    <row r="81" spans="1:1" x14ac:dyDescent="0.35">
      <c r="A81" t="b">
        <f>"b"&lt;"ss"</f>
        <v>1</v>
      </c>
    </row>
    <row r="82" spans="1:1" x14ac:dyDescent="0.35">
      <c r="A82" t="b">
        <f>"b"&lt;"æ"</f>
        <v>0</v>
      </c>
    </row>
    <row r="83" spans="1:1" x14ac:dyDescent="0.35">
      <c r="A83" t="b">
        <f>"b"&lt;"ae"</f>
        <v>0</v>
      </c>
    </row>
    <row r="84" spans="1:1" x14ac:dyDescent="0.35">
      <c r="A84" t="b">
        <f>"b"&lt;"é"</f>
        <v>1</v>
      </c>
    </row>
    <row r="85" spans="1:1" x14ac:dyDescent="0.35">
      <c r="A85" t="b">
        <f>"b"&lt;"e"</f>
        <v>1</v>
      </c>
    </row>
    <row r="86" spans="1:1" x14ac:dyDescent="0.35">
      <c r="A86" t="b">
        <f>"b"&lt;"f"</f>
        <v>1</v>
      </c>
    </row>
    <row r="87" spans="1:1" x14ac:dyDescent="0.35">
      <c r="A87" t="b">
        <f>"b"&lt;"É"</f>
        <v>1</v>
      </c>
    </row>
    <row r="88" spans="1:1" x14ac:dyDescent="0.35">
      <c r="A88" t="b">
        <f>"b"&lt;"1"</f>
        <v>0</v>
      </c>
    </row>
    <row r="89" spans="1:1" x14ac:dyDescent="0.35">
      <c r="A89" t="b">
        <f>"b"&lt;"10"</f>
        <v>0</v>
      </c>
    </row>
    <row r="90" spans="1:1" x14ac:dyDescent="0.35">
      <c r="A90" t="b">
        <f>"b"&lt;"9"</f>
        <v>0</v>
      </c>
    </row>
    <row r="91" spans="1:1" x14ac:dyDescent="0.35">
      <c r="A91" t="b">
        <f>"b"&lt;"a1"</f>
        <v>0</v>
      </c>
    </row>
    <row r="92" spans="1:1" x14ac:dyDescent="0.35">
      <c r="A92" t="b">
        <f>"b"&lt;"a10"</f>
        <v>0</v>
      </c>
    </row>
    <row r="93" spans="1:1" x14ac:dyDescent="0.35">
      <c r="A93" t="b">
        <f>"b"&lt;"a2"</f>
        <v>0</v>
      </c>
    </row>
    <row r="94" spans="1:1" x14ac:dyDescent="0.35">
      <c r="A94" t="b">
        <f>"b"&lt;"_"</f>
        <v>0</v>
      </c>
    </row>
    <row r="95" spans="1:1" x14ac:dyDescent="0.35">
      <c r="A95" t="b">
        <f>"b"&lt;"-"</f>
        <v>0</v>
      </c>
    </row>
    <row r="96" spans="1:1" x14ac:dyDescent="0.35">
      <c r="A96" t="b">
        <f>"b"&lt;"~"</f>
        <v>0</v>
      </c>
    </row>
    <row r="97" spans="1:1" x14ac:dyDescent="0.35">
      <c r="A97" t="b">
        <f>"b"&lt;"z"</f>
        <v>1</v>
      </c>
    </row>
    <row r="98" spans="1:1" x14ac:dyDescent="0.35">
      <c r="A98" t="b">
        <f>"b"&lt;"Ω"</f>
        <v>1</v>
      </c>
    </row>
    <row r="99" spans="1:1" x14ac:dyDescent="0.35">
      <c r="A99" t="b">
        <f>"b"&lt;"ω"</f>
        <v>1</v>
      </c>
    </row>
    <row r="100" spans="1:1" x14ac:dyDescent="0.35">
      <c r="A100" t="b">
        <f>"B"&lt;"a"</f>
        <v>0</v>
      </c>
    </row>
    <row r="101" spans="1:1" x14ac:dyDescent="0.35">
      <c r="A101" t="b">
        <f>"B"&lt;"A"</f>
        <v>0</v>
      </c>
    </row>
    <row r="102" spans="1:1" x14ac:dyDescent="0.35">
      <c r="A102" t="b">
        <f>"B"&lt;"b"</f>
        <v>0</v>
      </c>
    </row>
    <row r="103" spans="1:1" x14ac:dyDescent="0.35">
      <c r="A103" t="b">
        <f>"B"&lt;"B"</f>
        <v>0</v>
      </c>
    </row>
    <row r="104" spans="1:1" x14ac:dyDescent="0.35">
      <c r="A104" t="b">
        <f>"B"&lt;""</f>
        <v>0</v>
      </c>
    </row>
    <row r="105" spans="1:1" x14ac:dyDescent="0.35">
      <c r="A105" t="b">
        <f>"B"&lt;" "</f>
        <v>0</v>
      </c>
    </row>
    <row r="106" spans="1:1" x14ac:dyDescent="0.35">
      <c r="A106" t="b">
        <f>"B"&lt;"ab"</f>
        <v>0</v>
      </c>
    </row>
    <row r="107" spans="1:1" x14ac:dyDescent="0.35">
      <c r="A107" t="b">
        <f>"B"&lt;"a b"</f>
        <v>0</v>
      </c>
    </row>
    <row r="108" spans="1:1" x14ac:dyDescent="0.35">
      <c r="A108" t="b">
        <f>"B"&lt;"a-b"</f>
        <v>0</v>
      </c>
    </row>
    <row r="109" spans="1:1" x14ac:dyDescent="0.35">
      <c r="A109" t="b">
        <f>"B"&lt;"a'b"</f>
        <v>0</v>
      </c>
    </row>
    <row r="110" spans="1:1" x14ac:dyDescent="0.35">
      <c r="A110" t="b">
        <f>"B"&lt;"co-op"</f>
        <v>1</v>
      </c>
    </row>
    <row r="111" spans="1:1" x14ac:dyDescent="0.35">
      <c r="A111" t="b">
        <f>"B"&lt;"coop"</f>
        <v>1</v>
      </c>
    </row>
    <row r="112" spans="1:1" x14ac:dyDescent="0.35">
      <c r="A112" t="b">
        <f>"B"&lt;"cop"</f>
        <v>1</v>
      </c>
    </row>
    <row r="113" spans="1:1" x14ac:dyDescent="0.35">
      <c r="A113" t="b">
        <f>"B"&lt;"ß"</f>
        <v>1</v>
      </c>
    </row>
    <row r="114" spans="1:1" x14ac:dyDescent="0.35">
      <c r="A114" t="b">
        <f>"B"&lt;"ss"</f>
        <v>1</v>
      </c>
    </row>
    <row r="115" spans="1:1" x14ac:dyDescent="0.35">
      <c r="A115" t="b">
        <f>"B"&lt;"æ"</f>
        <v>0</v>
      </c>
    </row>
    <row r="116" spans="1:1" x14ac:dyDescent="0.35">
      <c r="A116" t="b">
        <f>"B"&lt;"ae"</f>
        <v>0</v>
      </c>
    </row>
    <row r="117" spans="1:1" x14ac:dyDescent="0.35">
      <c r="A117" t="b">
        <f>"B"&lt;"é"</f>
        <v>1</v>
      </c>
    </row>
    <row r="118" spans="1:1" x14ac:dyDescent="0.35">
      <c r="A118" t="b">
        <f>"B"&lt;"e"</f>
        <v>1</v>
      </c>
    </row>
    <row r="119" spans="1:1" x14ac:dyDescent="0.35">
      <c r="A119" t="b">
        <f>"B"&lt;"f"</f>
        <v>1</v>
      </c>
    </row>
    <row r="120" spans="1:1" x14ac:dyDescent="0.35">
      <c r="A120" t="b">
        <f>"B"&lt;"É"</f>
        <v>1</v>
      </c>
    </row>
    <row r="121" spans="1:1" x14ac:dyDescent="0.35">
      <c r="A121" t="b">
        <f>"B"&lt;"1"</f>
        <v>0</v>
      </c>
    </row>
    <row r="122" spans="1:1" x14ac:dyDescent="0.35">
      <c r="A122" t="b">
        <f>"B"&lt;"10"</f>
        <v>0</v>
      </c>
    </row>
    <row r="123" spans="1:1" x14ac:dyDescent="0.35">
      <c r="A123" t="b">
        <f>"B"&lt;"9"</f>
        <v>0</v>
      </c>
    </row>
    <row r="124" spans="1:1" x14ac:dyDescent="0.35">
      <c r="A124" t="b">
        <f>"B"&lt;"a1"</f>
        <v>0</v>
      </c>
    </row>
    <row r="125" spans="1:1" x14ac:dyDescent="0.35">
      <c r="A125" t="b">
        <f>"B"&lt;"a10"</f>
        <v>0</v>
      </c>
    </row>
    <row r="126" spans="1:1" x14ac:dyDescent="0.35">
      <c r="A126" t="b">
        <f>"B"&lt;"a2"</f>
        <v>0</v>
      </c>
    </row>
    <row r="127" spans="1:1" x14ac:dyDescent="0.35">
      <c r="A127" t="b">
        <f>"B"&lt;"_"</f>
        <v>0</v>
      </c>
    </row>
    <row r="128" spans="1:1" x14ac:dyDescent="0.35">
      <c r="A128" t="b">
        <f>"B"&lt;"-"</f>
        <v>0</v>
      </c>
    </row>
    <row r="129" spans="1:1" x14ac:dyDescent="0.35">
      <c r="A129" t="b">
        <f>"B"&lt;"~"</f>
        <v>0</v>
      </c>
    </row>
    <row r="130" spans="1:1" x14ac:dyDescent="0.35">
      <c r="A130" t="b">
        <f>"B"&lt;"z"</f>
        <v>1</v>
      </c>
    </row>
    <row r="131" spans="1:1" x14ac:dyDescent="0.35">
      <c r="A131" t="b">
        <f>"B"&lt;"Ω"</f>
        <v>1</v>
      </c>
    </row>
    <row r="132" spans="1:1" x14ac:dyDescent="0.35">
      <c r="A132" t="b">
        <f>"B"&lt;"ω"</f>
        <v>1</v>
      </c>
    </row>
    <row r="133" spans="1:1" x14ac:dyDescent="0.35">
      <c r="A133" t="b">
        <f>""&lt;"a"</f>
        <v>1</v>
      </c>
    </row>
    <row r="134" spans="1:1" x14ac:dyDescent="0.35">
      <c r="A134" t="b">
        <f>""&lt;"A"</f>
        <v>1</v>
      </c>
    </row>
    <row r="135" spans="1:1" x14ac:dyDescent="0.35">
      <c r="A135" t="b">
        <f>""&lt;"b"</f>
        <v>1</v>
      </c>
    </row>
    <row r="136" spans="1:1" x14ac:dyDescent="0.35">
      <c r="A136" t="b">
        <f>""&lt;"B"</f>
        <v>1</v>
      </c>
    </row>
    <row r="137" spans="1:1" x14ac:dyDescent="0.35">
      <c r="A137" t="b">
        <f>""&lt;""</f>
        <v>0</v>
      </c>
    </row>
    <row r="138" spans="1:1" x14ac:dyDescent="0.35">
      <c r="A138" t="b">
        <f>""&lt;" "</f>
        <v>1</v>
      </c>
    </row>
    <row r="139" spans="1:1" x14ac:dyDescent="0.35">
      <c r="A139" t="b">
        <f>""&lt;"ab"</f>
        <v>1</v>
      </c>
    </row>
    <row r="140" spans="1:1" x14ac:dyDescent="0.35">
      <c r="A140" t="b">
        <f>""&lt;"a b"</f>
        <v>1</v>
      </c>
    </row>
    <row r="141" spans="1:1" x14ac:dyDescent="0.35">
      <c r="A141" t="b">
        <f>""&lt;"a-b"</f>
        <v>1</v>
      </c>
    </row>
    <row r="142" spans="1:1" x14ac:dyDescent="0.35">
      <c r="A142" t="b">
        <f>""&lt;"a'b"</f>
        <v>1</v>
      </c>
    </row>
    <row r="143" spans="1:1" x14ac:dyDescent="0.35">
      <c r="A143" t="b">
        <f>""&lt;"co-op"</f>
        <v>1</v>
      </c>
    </row>
    <row r="144" spans="1:1" x14ac:dyDescent="0.35">
      <c r="A144" t="b">
        <f>""&lt;"coop"</f>
        <v>1</v>
      </c>
    </row>
    <row r="145" spans="1:1" x14ac:dyDescent="0.35">
      <c r="A145" t="b">
        <f>""&lt;"cop"</f>
        <v>1</v>
      </c>
    </row>
    <row r="146" spans="1:1" x14ac:dyDescent="0.35">
      <c r="A146" t="b">
        <f>""&lt;"ß"</f>
        <v>1</v>
      </c>
    </row>
    <row r="147" spans="1:1" x14ac:dyDescent="0.35">
      <c r="A147" t="b">
        <f>""&lt;"ss"</f>
        <v>1</v>
      </c>
    </row>
    <row r="148" spans="1:1" x14ac:dyDescent="0.35">
      <c r="A148" t="b">
        <f>""&lt;"æ"</f>
        <v>1</v>
      </c>
    </row>
    <row r="149" spans="1:1" x14ac:dyDescent="0.35">
      <c r="A149" t="b">
        <f>""&lt;"ae"</f>
        <v>1</v>
      </c>
    </row>
    <row r="150" spans="1:1" x14ac:dyDescent="0.35">
      <c r="A150" t="b">
        <f>""&lt;"é"</f>
        <v>1</v>
      </c>
    </row>
    <row r="151" spans="1:1" x14ac:dyDescent="0.35">
      <c r="A151" t="b">
        <f>""&lt;"e"</f>
        <v>1</v>
      </c>
    </row>
    <row r="152" spans="1:1" x14ac:dyDescent="0.35">
      <c r="A152" t="b">
        <f>""&lt;"f"</f>
        <v>1</v>
      </c>
    </row>
    <row r="153" spans="1:1" x14ac:dyDescent="0.35">
      <c r="A153" t="b">
        <f>""&lt;"É"</f>
        <v>1</v>
      </c>
    </row>
    <row r="154" spans="1:1" x14ac:dyDescent="0.35">
      <c r="A154" t="b">
        <f>""&lt;"1"</f>
        <v>1</v>
      </c>
    </row>
    <row r="155" spans="1:1" x14ac:dyDescent="0.35">
      <c r="A155" t="b">
        <f>""&lt;"10"</f>
        <v>1</v>
      </c>
    </row>
    <row r="156" spans="1:1" x14ac:dyDescent="0.35">
      <c r="A156" t="b">
        <f>""&lt;"9"</f>
        <v>1</v>
      </c>
    </row>
    <row r="157" spans="1:1" x14ac:dyDescent="0.35">
      <c r="A157" t="b">
        <f>""&lt;"a1"</f>
        <v>1</v>
      </c>
    </row>
    <row r="158" spans="1:1" x14ac:dyDescent="0.35">
      <c r="A158" t="b">
        <f>""&lt;"a10"</f>
        <v>1</v>
      </c>
    </row>
    <row r="159" spans="1:1" x14ac:dyDescent="0.35">
      <c r="A159" t="b">
        <f>""&lt;"a2"</f>
        <v>1</v>
      </c>
    </row>
    <row r="160" spans="1:1" x14ac:dyDescent="0.35">
      <c r="A160" t="b">
        <f>""&lt;"_"</f>
        <v>1</v>
      </c>
    </row>
    <row r="161" spans="1:1" x14ac:dyDescent="0.35">
      <c r="A161" t="b">
        <f>""&lt;"-"</f>
        <v>1</v>
      </c>
    </row>
    <row r="162" spans="1:1" x14ac:dyDescent="0.35">
      <c r="A162" t="b">
        <f>""&lt;"~"</f>
        <v>1</v>
      </c>
    </row>
    <row r="163" spans="1:1" x14ac:dyDescent="0.35">
      <c r="A163" t="b">
        <f>""&lt;"z"</f>
        <v>1</v>
      </c>
    </row>
    <row r="164" spans="1:1" x14ac:dyDescent="0.35">
      <c r="A164" t="b">
        <f>""&lt;"Ω"</f>
        <v>1</v>
      </c>
    </row>
    <row r="165" spans="1:1" x14ac:dyDescent="0.35">
      <c r="A165" t="b">
        <f>""&lt;"ω"</f>
        <v>1</v>
      </c>
    </row>
    <row r="166" spans="1:1" x14ac:dyDescent="0.35">
      <c r="A166" t="b">
        <f>" "&lt;"a"</f>
        <v>1</v>
      </c>
    </row>
    <row r="167" spans="1:1" x14ac:dyDescent="0.35">
      <c r="A167" t="b">
        <f>" "&lt;"A"</f>
        <v>1</v>
      </c>
    </row>
    <row r="168" spans="1:1" x14ac:dyDescent="0.35">
      <c r="A168" t="b">
        <f>" "&lt;"b"</f>
        <v>1</v>
      </c>
    </row>
    <row r="169" spans="1:1" x14ac:dyDescent="0.35">
      <c r="A169" t="b">
        <f>" "&lt;"B"</f>
        <v>1</v>
      </c>
    </row>
    <row r="170" spans="1:1" x14ac:dyDescent="0.35">
      <c r="A170" t="b">
        <f>" "&lt;""</f>
        <v>0</v>
      </c>
    </row>
    <row r="171" spans="1:1" x14ac:dyDescent="0.35">
      <c r="A171" t="b">
        <f>" "&lt;" "</f>
        <v>0</v>
      </c>
    </row>
    <row r="172" spans="1:1" x14ac:dyDescent="0.35">
      <c r="A172" t="b">
        <f>" "&lt;"ab"</f>
        <v>1</v>
      </c>
    </row>
    <row r="173" spans="1:1" x14ac:dyDescent="0.35">
      <c r="A173" t="b">
        <f>" "&lt;"a b"</f>
        <v>1</v>
      </c>
    </row>
    <row r="174" spans="1:1" x14ac:dyDescent="0.35">
      <c r="A174" t="b">
        <f>" "&lt;"a-b"</f>
        <v>1</v>
      </c>
    </row>
    <row r="175" spans="1:1" x14ac:dyDescent="0.35">
      <c r="A175" t="b">
        <f>" "&lt;"a'b"</f>
        <v>1</v>
      </c>
    </row>
    <row r="176" spans="1:1" x14ac:dyDescent="0.35">
      <c r="A176" t="b">
        <f>" "&lt;"co-op"</f>
        <v>1</v>
      </c>
    </row>
    <row r="177" spans="1:1" x14ac:dyDescent="0.35">
      <c r="A177" t="b">
        <f>" "&lt;"coop"</f>
        <v>1</v>
      </c>
    </row>
    <row r="178" spans="1:1" x14ac:dyDescent="0.35">
      <c r="A178" t="b">
        <f>" "&lt;"cop"</f>
        <v>1</v>
      </c>
    </row>
    <row r="179" spans="1:1" x14ac:dyDescent="0.35">
      <c r="A179" t="b">
        <f>" "&lt;"ß"</f>
        <v>1</v>
      </c>
    </row>
    <row r="180" spans="1:1" x14ac:dyDescent="0.35">
      <c r="A180" t="b">
        <f>" "&lt;"ss"</f>
        <v>1</v>
      </c>
    </row>
    <row r="181" spans="1:1" x14ac:dyDescent="0.35">
      <c r="A181" t="b">
        <f>" "&lt;"æ"</f>
        <v>1</v>
      </c>
    </row>
    <row r="182" spans="1:1" x14ac:dyDescent="0.35">
      <c r="A182" t="b">
        <f>" "&lt;"ae"</f>
        <v>1</v>
      </c>
    </row>
    <row r="183" spans="1:1" x14ac:dyDescent="0.35">
      <c r="A183" t="b">
        <f>" "&lt;"é"</f>
        <v>1</v>
      </c>
    </row>
    <row r="184" spans="1:1" x14ac:dyDescent="0.35">
      <c r="A184" t="b">
        <f>" "&lt;"e"</f>
        <v>1</v>
      </c>
    </row>
    <row r="185" spans="1:1" x14ac:dyDescent="0.35">
      <c r="A185" t="b">
        <f>" "&lt;"f"</f>
        <v>1</v>
      </c>
    </row>
    <row r="186" spans="1:1" x14ac:dyDescent="0.35">
      <c r="A186" t="b">
        <f>" "&lt;"É"</f>
        <v>1</v>
      </c>
    </row>
    <row r="187" spans="1:1" x14ac:dyDescent="0.35">
      <c r="A187" t="b">
        <f>" "&lt;"1"</f>
        <v>1</v>
      </c>
    </row>
    <row r="188" spans="1:1" x14ac:dyDescent="0.35">
      <c r="A188" t="b">
        <f>" "&lt;"10"</f>
        <v>1</v>
      </c>
    </row>
    <row r="189" spans="1:1" x14ac:dyDescent="0.35">
      <c r="A189" t="b">
        <f>" "&lt;"9"</f>
        <v>1</v>
      </c>
    </row>
    <row r="190" spans="1:1" x14ac:dyDescent="0.35">
      <c r="A190" t="b">
        <f>" "&lt;"a1"</f>
        <v>1</v>
      </c>
    </row>
    <row r="191" spans="1:1" x14ac:dyDescent="0.35">
      <c r="A191" t="b">
        <f>" "&lt;"a10"</f>
        <v>1</v>
      </c>
    </row>
    <row r="192" spans="1:1" x14ac:dyDescent="0.35">
      <c r="A192" t="b">
        <f>" "&lt;"a2"</f>
        <v>1</v>
      </c>
    </row>
    <row r="193" spans="1:1" x14ac:dyDescent="0.35">
      <c r="A193" t="b">
        <f>" "&lt;"_"</f>
        <v>1</v>
      </c>
    </row>
    <row r="194" spans="1:1" x14ac:dyDescent="0.35">
      <c r="A194" t="b">
        <f>" "&lt;"-"</f>
        <v>0</v>
      </c>
    </row>
    <row r="195" spans="1:1" x14ac:dyDescent="0.35">
      <c r="A195" t="b">
        <f>" "&lt;"~"</f>
        <v>1</v>
      </c>
    </row>
    <row r="196" spans="1:1" x14ac:dyDescent="0.35">
      <c r="A196" t="b">
        <f>" "&lt;"z"</f>
        <v>1</v>
      </c>
    </row>
    <row r="197" spans="1:1" x14ac:dyDescent="0.35">
      <c r="A197" t="b">
        <f>" "&lt;"Ω"</f>
        <v>1</v>
      </c>
    </row>
    <row r="198" spans="1:1" x14ac:dyDescent="0.35">
      <c r="A198" t="b">
        <f>" "&lt;"ω"</f>
        <v>1</v>
      </c>
    </row>
    <row r="199" spans="1:1" x14ac:dyDescent="0.35">
      <c r="A199" t="b">
        <f>"ab"&lt;"a"</f>
        <v>0</v>
      </c>
    </row>
    <row r="200" spans="1:1" x14ac:dyDescent="0.35">
      <c r="A200" t="b">
        <f>"ab"&lt;"A"</f>
        <v>0</v>
      </c>
    </row>
    <row r="201" spans="1:1" x14ac:dyDescent="0.35">
      <c r="A201" t="b">
        <f>"ab"&lt;"b"</f>
        <v>1</v>
      </c>
    </row>
    <row r="202" spans="1:1" x14ac:dyDescent="0.35">
      <c r="A202" t="b">
        <f>"ab"&lt;"B"</f>
        <v>1</v>
      </c>
    </row>
    <row r="203" spans="1:1" x14ac:dyDescent="0.35">
      <c r="A203" t="b">
        <f>"ab"&lt;""</f>
        <v>0</v>
      </c>
    </row>
    <row r="204" spans="1:1" x14ac:dyDescent="0.35">
      <c r="A204" t="b">
        <f>"ab"&lt;" "</f>
        <v>0</v>
      </c>
    </row>
    <row r="205" spans="1:1" x14ac:dyDescent="0.35">
      <c r="A205" t="b">
        <f>"ab"&lt;"ab"</f>
        <v>0</v>
      </c>
    </row>
    <row r="206" spans="1:1" x14ac:dyDescent="0.35">
      <c r="A206" t="b">
        <f>"ab"&lt;"a b"</f>
        <v>0</v>
      </c>
    </row>
    <row r="207" spans="1:1" x14ac:dyDescent="0.35">
      <c r="A207" t="b">
        <f>"ab"&lt;"a-b"</f>
        <v>1</v>
      </c>
    </row>
    <row r="208" spans="1:1" x14ac:dyDescent="0.35">
      <c r="A208" t="b">
        <f>"ab"&lt;"a'b"</f>
        <v>1</v>
      </c>
    </row>
    <row r="209" spans="1:1" x14ac:dyDescent="0.35">
      <c r="A209" t="b">
        <f>"ab"&lt;"co-op"</f>
        <v>1</v>
      </c>
    </row>
    <row r="210" spans="1:1" x14ac:dyDescent="0.35">
      <c r="A210" t="b">
        <f>"ab"&lt;"coop"</f>
        <v>1</v>
      </c>
    </row>
    <row r="211" spans="1:1" x14ac:dyDescent="0.35">
      <c r="A211" t="b">
        <f>"ab"&lt;"cop"</f>
        <v>1</v>
      </c>
    </row>
    <row r="212" spans="1:1" x14ac:dyDescent="0.35">
      <c r="A212" t="b">
        <f>"ab"&lt;"ß"</f>
        <v>1</v>
      </c>
    </row>
    <row r="213" spans="1:1" x14ac:dyDescent="0.35">
      <c r="A213" t="b">
        <f>"ab"&lt;"ss"</f>
        <v>1</v>
      </c>
    </row>
    <row r="214" spans="1:1" x14ac:dyDescent="0.35">
      <c r="A214" t="b">
        <f>"ab"&lt;"æ"</f>
        <v>1</v>
      </c>
    </row>
    <row r="215" spans="1:1" x14ac:dyDescent="0.35">
      <c r="A215" t="b">
        <f>"ab"&lt;"ae"</f>
        <v>1</v>
      </c>
    </row>
    <row r="216" spans="1:1" x14ac:dyDescent="0.35">
      <c r="A216" t="b">
        <f>"ab"&lt;"é"</f>
        <v>1</v>
      </c>
    </row>
    <row r="217" spans="1:1" x14ac:dyDescent="0.35">
      <c r="A217" t="b">
        <f>"ab"&lt;"e"</f>
        <v>1</v>
      </c>
    </row>
    <row r="218" spans="1:1" x14ac:dyDescent="0.35">
      <c r="A218" t="b">
        <f>"ab"&lt;"f"</f>
        <v>1</v>
      </c>
    </row>
    <row r="219" spans="1:1" x14ac:dyDescent="0.35">
      <c r="A219" t="b">
        <f>"ab"&lt;"É"</f>
        <v>1</v>
      </c>
    </row>
    <row r="220" spans="1:1" x14ac:dyDescent="0.35">
      <c r="A220" t="b">
        <f>"ab"&lt;"1"</f>
        <v>0</v>
      </c>
    </row>
    <row r="221" spans="1:1" x14ac:dyDescent="0.35">
      <c r="A221" t="b">
        <f>"ab"&lt;"10"</f>
        <v>0</v>
      </c>
    </row>
    <row r="222" spans="1:1" x14ac:dyDescent="0.35">
      <c r="A222" t="b">
        <f>"ab"&lt;"9"</f>
        <v>0</v>
      </c>
    </row>
    <row r="223" spans="1:1" x14ac:dyDescent="0.35">
      <c r="A223" t="b">
        <f>"ab"&lt;"a1"</f>
        <v>0</v>
      </c>
    </row>
    <row r="224" spans="1:1" x14ac:dyDescent="0.35">
      <c r="A224" t="b">
        <f>"ab"&lt;"a10"</f>
        <v>0</v>
      </c>
    </row>
    <row r="225" spans="1:1" x14ac:dyDescent="0.35">
      <c r="A225" t="b">
        <f>"ab"&lt;"a2"</f>
        <v>0</v>
      </c>
    </row>
    <row r="226" spans="1:1" x14ac:dyDescent="0.35">
      <c r="A226" t="b">
        <f>"ab"&lt;"_"</f>
        <v>0</v>
      </c>
    </row>
    <row r="227" spans="1:1" x14ac:dyDescent="0.35">
      <c r="A227" t="b">
        <f>"ab"&lt;"-"</f>
        <v>0</v>
      </c>
    </row>
    <row r="228" spans="1:1" x14ac:dyDescent="0.35">
      <c r="A228" t="b">
        <f>"ab"&lt;"~"</f>
        <v>0</v>
      </c>
    </row>
    <row r="229" spans="1:1" x14ac:dyDescent="0.35">
      <c r="A229" t="b">
        <f>"ab"&lt;"z"</f>
        <v>1</v>
      </c>
    </row>
    <row r="230" spans="1:1" x14ac:dyDescent="0.35">
      <c r="A230" t="b">
        <f>"ab"&lt;"Ω"</f>
        <v>1</v>
      </c>
    </row>
    <row r="231" spans="1:1" x14ac:dyDescent="0.35">
      <c r="A231" t="b">
        <f>"ab"&lt;"ω"</f>
        <v>1</v>
      </c>
    </row>
    <row r="232" spans="1:1" x14ac:dyDescent="0.35">
      <c r="A232" t="b">
        <f>"a b"&lt;"a"</f>
        <v>0</v>
      </c>
    </row>
    <row r="233" spans="1:1" x14ac:dyDescent="0.35">
      <c r="A233" t="b">
        <f>"a b"&lt;"A"</f>
        <v>0</v>
      </c>
    </row>
    <row r="234" spans="1:1" x14ac:dyDescent="0.35">
      <c r="A234" t="b">
        <f>"a b"&lt;"b"</f>
        <v>1</v>
      </c>
    </row>
    <row r="235" spans="1:1" x14ac:dyDescent="0.35">
      <c r="A235" t="b">
        <f>"a b"&lt;"B"</f>
        <v>1</v>
      </c>
    </row>
    <row r="236" spans="1:1" x14ac:dyDescent="0.35">
      <c r="A236" t="b">
        <f>"a b"&lt;""</f>
        <v>0</v>
      </c>
    </row>
    <row r="237" spans="1:1" x14ac:dyDescent="0.35">
      <c r="A237" t="b">
        <f>"a b"&lt;" "</f>
        <v>0</v>
      </c>
    </row>
    <row r="238" spans="1:1" x14ac:dyDescent="0.35">
      <c r="A238" t="b">
        <f>"a b"&lt;"ab"</f>
        <v>1</v>
      </c>
    </row>
    <row r="239" spans="1:1" x14ac:dyDescent="0.35">
      <c r="A239" t="b">
        <f>"a b"&lt;"a b"</f>
        <v>0</v>
      </c>
    </row>
    <row r="240" spans="1:1" x14ac:dyDescent="0.35">
      <c r="A240" t="b">
        <f>"a b"&lt;"a-b"</f>
        <v>1</v>
      </c>
    </row>
    <row r="241" spans="1:1" x14ac:dyDescent="0.35">
      <c r="A241" t="b">
        <f>"a b"&lt;"a'b"</f>
        <v>1</v>
      </c>
    </row>
    <row r="242" spans="1:1" x14ac:dyDescent="0.35">
      <c r="A242" t="b">
        <f>"a b"&lt;"co-op"</f>
        <v>1</v>
      </c>
    </row>
    <row r="243" spans="1:1" x14ac:dyDescent="0.35">
      <c r="A243" t="b">
        <f>"a b"&lt;"coop"</f>
        <v>1</v>
      </c>
    </row>
    <row r="244" spans="1:1" x14ac:dyDescent="0.35">
      <c r="A244" t="b">
        <f>"a b"&lt;"cop"</f>
        <v>1</v>
      </c>
    </row>
    <row r="245" spans="1:1" x14ac:dyDescent="0.35">
      <c r="A245" t="b">
        <f>"a b"&lt;"ß"</f>
        <v>1</v>
      </c>
    </row>
    <row r="246" spans="1:1" x14ac:dyDescent="0.35">
      <c r="A246" t="b">
        <f>"a b"&lt;"ss"</f>
        <v>1</v>
      </c>
    </row>
    <row r="247" spans="1:1" x14ac:dyDescent="0.35">
      <c r="A247" t="b">
        <f>"a b"&lt;"æ"</f>
        <v>1</v>
      </c>
    </row>
    <row r="248" spans="1:1" x14ac:dyDescent="0.35">
      <c r="A248" t="b">
        <f>"a b"&lt;"ae"</f>
        <v>1</v>
      </c>
    </row>
    <row r="249" spans="1:1" x14ac:dyDescent="0.35">
      <c r="A249" t="b">
        <f>"a b"&lt;"é"</f>
        <v>1</v>
      </c>
    </row>
    <row r="250" spans="1:1" x14ac:dyDescent="0.35">
      <c r="A250" t="b">
        <f>"a b"&lt;"e"</f>
        <v>1</v>
      </c>
    </row>
    <row r="251" spans="1:1" x14ac:dyDescent="0.35">
      <c r="A251" t="b">
        <f>"a b"&lt;"f"</f>
        <v>1</v>
      </c>
    </row>
    <row r="252" spans="1:1" x14ac:dyDescent="0.35">
      <c r="A252" t="b">
        <f>"a b"&lt;"É"</f>
        <v>1</v>
      </c>
    </row>
    <row r="253" spans="1:1" x14ac:dyDescent="0.35">
      <c r="A253" t="b">
        <f>"a b"&lt;"1"</f>
        <v>0</v>
      </c>
    </row>
    <row r="254" spans="1:1" x14ac:dyDescent="0.35">
      <c r="A254" t="b">
        <f>"a b"&lt;"10"</f>
        <v>0</v>
      </c>
    </row>
    <row r="255" spans="1:1" x14ac:dyDescent="0.35">
      <c r="A255" t="b">
        <f>"a b"&lt;"9"</f>
        <v>0</v>
      </c>
    </row>
    <row r="256" spans="1:1" x14ac:dyDescent="0.35">
      <c r="A256" t="b">
        <f>"a b"&lt;"a1"</f>
        <v>1</v>
      </c>
    </row>
    <row r="257" spans="1:1" x14ac:dyDescent="0.35">
      <c r="A257" t="b">
        <f>"a b"&lt;"a10"</f>
        <v>1</v>
      </c>
    </row>
    <row r="258" spans="1:1" x14ac:dyDescent="0.35">
      <c r="A258" t="b">
        <f>"a b"&lt;"a2"</f>
        <v>1</v>
      </c>
    </row>
    <row r="259" spans="1:1" x14ac:dyDescent="0.35">
      <c r="A259" t="b">
        <f>"a b"&lt;"_"</f>
        <v>0</v>
      </c>
    </row>
    <row r="260" spans="1:1" x14ac:dyDescent="0.35">
      <c r="A260" t="b">
        <f>"a b"&lt;"-"</f>
        <v>0</v>
      </c>
    </row>
    <row r="261" spans="1:1" x14ac:dyDescent="0.35">
      <c r="A261" t="b">
        <f>"a b"&lt;"~"</f>
        <v>0</v>
      </c>
    </row>
    <row r="262" spans="1:1" x14ac:dyDescent="0.35">
      <c r="A262" t="b">
        <f>"a b"&lt;"z"</f>
        <v>1</v>
      </c>
    </row>
    <row r="263" spans="1:1" x14ac:dyDescent="0.35">
      <c r="A263" t="b">
        <f>"a b"&lt;"Ω"</f>
        <v>1</v>
      </c>
    </row>
    <row r="264" spans="1:1" x14ac:dyDescent="0.35">
      <c r="A264" t="b">
        <f>"a b"&lt;"ω"</f>
        <v>1</v>
      </c>
    </row>
    <row r="265" spans="1:1" x14ac:dyDescent="0.35">
      <c r="A265" t="b">
        <f>"a-b"&lt;"a"</f>
        <v>0</v>
      </c>
    </row>
    <row r="266" spans="1:1" x14ac:dyDescent="0.35">
      <c r="A266" t="b">
        <f>"a-b"&lt;"A"</f>
        <v>0</v>
      </c>
    </row>
    <row r="267" spans="1:1" x14ac:dyDescent="0.35">
      <c r="A267" t="b">
        <f>"a-b"&lt;"b"</f>
        <v>1</v>
      </c>
    </row>
    <row r="268" spans="1:1" x14ac:dyDescent="0.35">
      <c r="A268" t="b">
        <f>"a-b"&lt;"B"</f>
        <v>1</v>
      </c>
    </row>
    <row r="269" spans="1:1" x14ac:dyDescent="0.35">
      <c r="A269" t="b">
        <f>"a-b"&lt;""</f>
        <v>0</v>
      </c>
    </row>
    <row r="270" spans="1:1" x14ac:dyDescent="0.35">
      <c r="A270" t="b">
        <f>"a-b"&lt;" "</f>
        <v>0</v>
      </c>
    </row>
    <row r="271" spans="1:1" x14ac:dyDescent="0.35">
      <c r="A271" t="b">
        <f>"a-b"&lt;"ab"</f>
        <v>0</v>
      </c>
    </row>
    <row r="272" spans="1:1" x14ac:dyDescent="0.35">
      <c r="A272" t="b">
        <f>"a-b"&lt;"a b"</f>
        <v>0</v>
      </c>
    </row>
    <row r="273" spans="1:1" x14ac:dyDescent="0.35">
      <c r="A273" t="b">
        <f>"a-b"&lt;"a-b"</f>
        <v>0</v>
      </c>
    </row>
    <row r="274" spans="1:1" x14ac:dyDescent="0.35">
      <c r="A274" t="b">
        <f>"a-b"&lt;"a'b"</f>
        <v>0</v>
      </c>
    </row>
    <row r="275" spans="1:1" x14ac:dyDescent="0.35">
      <c r="A275" t="b">
        <f>"a-b"&lt;"co-op"</f>
        <v>1</v>
      </c>
    </row>
    <row r="276" spans="1:1" x14ac:dyDescent="0.35">
      <c r="A276" t="b">
        <f>"a-b"&lt;"coop"</f>
        <v>1</v>
      </c>
    </row>
    <row r="277" spans="1:1" x14ac:dyDescent="0.35">
      <c r="A277" t="b">
        <f>"a-b"&lt;"cop"</f>
        <v>1</v>
      </c>
    </row>
    <row r="278" spans="1:1" x14ac:dyDescent="0.35">
      <c r="A278" t="b">
        <f>"a-b"&lt;"ß"</f>
        <v>1</v>
      </c>
    </row>
    <row r="279" spans="1:1" x14ac:dyDescent="0.35">
      <c r="A279" t="b">
        <f>"a-b"&lt;"ss"</f>
        <v>1</v>
      </c>
    </row>
    <row r="280" spans="1:1" x14ac:dyDescent="0.35">
      <c r="A280" t="b">
        <f>"a-b"&lt;"æ"</f>
        <v>1</v>
      </c>
    </row>
    <row r="281" spans="1:1" x14ac:dyDescent="0.35">
      <c r="A281" t="b">
        <f>"a-b"&lt;"ae"</f>
        <v>1</v>
      </c>
    </row>
    <row r="282" spans="1:1" x14ac:dyDescent="0.35">
      <c r="A282" t="b">
        <f>"a-b"&lt;"é"</f>
        <v>1</v>
      </c>
    </row>
    <row r="283" spans="1:1" x14ac:dyDescent="0.35">
      <c r="A283" t="b">
        <f>"a-b"&lt;"e"</f>
        <v>1</v>
      </c>
    </row>
    <row r="284" spans="1:1" x14ac:dyDescent="0.35">
      <c r="A284" t="b">
        <f>"a-b"&lt;"f"</f>
        <v>1</v>
      </c>
    </row>
    <row r="285" spans="1:1" x14ac:dyDescent="0.35">
      <c r="A285" t="b">
        <f>"a-b"&lt;"É"</f>
        <v>1</v>
      </c>
    </row>
    <row r="286" spans="1:1" x14ac:dyDescent="0.35">
      <c r="A286" t="b">
        <f>"a-b"&lt;"1"</f>
        <v>0</v>
      </c>
    </row>
    <row r="287" spans="1:1" x14ac:dyDescent="0.35">
      <c r="A287" t="b">
        <f>"a-b"&lt;"10"</f>
        <v>0</v>
      </c>
    </row>
    <row r="288" spans="1:1" x14ac:dyDescent="0.35">
      <c r="A288" t="b">
        <f>"a-b"&lt;"9"</f>
        <v>0</v>
      </c>
    </row>
    <row r="289" spans="1:1" x14ac:dyDescent="0.35">
      <c r="A289" t="b">
        <f>"a-b"&lt;"a1"</f>
        <v>0</v>
      </c>
    </row>
    <row r="290" spans="1:1" x14ac:dyDescent="0.35">
      <c r="A290" t="b">
        <f>"a-b"&lt;"a10"</f>
        <v>0</v>
      </c>
    </row>
    <row r="291" spans="1:1" x14ac:dyDescent="0.35">
      <c r="A291" t="b">
        <f>"a-b"&lt;"a2"</f>
        <v>0</v>
      </c>
    </row>
    <row r="292" spans="1:1" x14ac:dyDescent="0.35">
      <c r="A292" t="b">
        <f>"a-b"&lt;"_"</f>
        <v>0</v>
      </c>
    </row>
    <row r="293" spans="1:1" x14ac:dyDescent="0.35">
      <c r="A293" t="b">
        <f>"a-b"&lt;"-"</f>
        <v>0</v>
      </c>
    </row>
    <row r="294" spans="1:1" x14ac:dyDescent="0.35">
      <c r="A294" t="b">
        <f>"a-b"&lt;"~"</f>
        <v>0</v>
      </c>
    </row>
    <row r="295" spans="1:1" x14ac:dyDescent="0.35">
      <c r="A295" t="b">
        <f>"a-b"&lt;"z"</f>
        <v>1</v>
      </c>
    </row>
    <row r="296" spans="1:1" x14ac:dyDescent="0.35">
      <c r="A296" t="b">
        <f>"a-b"&lt;"Ω"</f>
        <v>1</v>
      </c>
    </row>
    <row r="297" spans="1:1" x14ac:dyDescent="0.35">
      <c r="A297" t="b">
        <f>"a-b"&lt;"ω"</f>
        <v>1</v>
      </c>
    </row>
    <row r="298" spans="1:1" x14ac:dyDescent="0.35">
      <c r="A298" t="b">
        <f>"a'b"&lt;"a"</f>
        <v>0</v>
      </c>
    </row>
    <row r="299" spans="1:1" x14ac:dyDescent="0.35">
      <c r="A299" t="b">
        <f>"a'b"&lt;"A"</f>
        <v>0</v>
      </c>
    </row>
    <row r="300" spans="1:1" x14ac:dyDescent="0.35">
      <c r="A300" t="b">
        <f>"a'b"&lt;"b"</f>
        <v>1</v>
      </c>
    </row>
    <row r="301" spans="1:1" x14ac:dyDescent="0.35">
      <c r="A301" t="b">
        <f>"a'b"&lt;"B"</f>
        <v>1</v>
      </c>
    </row>
    <row r="302" spans="1:1" x14ac:dyDescent="0.35">
      <c r="A302" t="b">
        <f>"a'b"&lt;""</f>
        <v>0</v>
      </c>
    </row>
    <row r="303" spans="1:1" x14ac:dyDescent="0.35">
      <c r="A303" t="b">
        <f>"a'b"&lt;" "</f>
        <v>0</v>
      </c>
    </row>
    <row r="304" spans="1:1" x14ac:dyDescent="0.35">
      <c r="A304" t="b">
        <f>"a'b"&lt;"ab"</f>
        <v>0</v>
      </c>
    </row>
    <row r="305" spans="1:1" x14ac:dyDescent="0.35">
      <c r="A305" t="b">
        <f>"a'b"&lt;"a b"</f>
        <v>0</v>
      </c>
    </row>
    <row r="306" spans="1:1" x14ac:dyDescent="0.35">
      <c r="A306" t="b">
        <f>"a'b"&lt;"a-b"</f>
        <v>1</v>
      </c>
    </row>
    <row r="307" spans="1:1" x14ac:dyDescent="0.35">
      <c r="A307" t="b">
        <f>"a'b"&lt;"a'b"</f>
        <v>0</v>
      </c>
    </row>
    <row r="308" spans="1:1" x14ac:dyDescent="0.35">
      <c r="A308" t="b">
        <f>"a'b"&lt;"co-op"</f>
        <v>1</v>
      </c>
    </row>
    <row r="309" spans="1:1" x14ac:dyDescent="0.35">
      <c r="A309" t="b">
        <f>"a'b"&lt;"coop"</f>
        <v>1</v>
      </c>
    </row>
    <row r="310" spans="1:1" x14ac:dyDescent="0.35">
      <c r="A310" t="b">
        <f>"a'b"&lt;"cop"</f>
        <v>1</v>
      </c>
    </row>
    <row r="311" spans="1:1" x14ac:dyDescent="0.35">
      <c r="A311" t="b">
        <f>"a'b"&lt;"ß"</f>
        <v>1</v>
      </c>
    </row>
    <row r="312" spans="1:1" x14ac:dyDescent="0.35">
      <c r="A312" t="b">
        <f>"a'b"&lt;"ss"</f>
        <v>1</v>
      </c>
    </row>
    <row r="313" spans="1:1" x14ac:dyDescent="0.35">
      <c r="A313" t="b">
        <f>"a'b"&lt;"æ"</f>
        <v>1</v>
      </c>
    </row>
    <row r="314" spans="1:1" x14ac:dyDescent="0.35">
      <c r="A314" t="b">
        <f>"a'b"&lt;"ae"</f>
        <v>1</v>
      </c>
    </row>
    <row r="315" spans="1:1" x14ac:dyDescent="0.35">
      <c r="A315" t="b">
        <f>"a'b"&lt;"é"</f>
        <v>1</v>
      </c>
    </row>
    <row r="316" spans="1:1" x14ac:dyDescent="0.35">
      <c r="A316" t="b">
        <f>"a'b"&lt;"e"</f>
        <v>1</v>
      </c>
    </row>
    <row r="317" spans="1:1" x14ac:dyDescent="0.35">
      <c r="A317" t="b">
        <f>"a'b"&lt;"f"</f>
        <v>1</v>
      </c>
    </row>
    <row r="318" spans="1:1" x14ac:dyDescent="0.35">
      <c r="A318" t="b">
        <f>"a'b"&lt;"É"</f>
        <v>1</v>
      </c>
    </row>
    <row r="319" spans="1:1" x14ac:dyDescent="0.35">
      <c r="A319" t="b">
        <f>"a'b"&lt;"1"</f>
        <v>0</v>
      </c>
    </row>
    <row r="320" spans="1:1" x14ac:dyDescent="0.35">
      <c r="A320" t="b">
        <f>"a'b"&lt;"10"</f>
        <v>0</v>
      </c>
    </row>
    <row r="321" spans="1:1" x14ac:dyDescent="0.35">
      <c r="A321" t="b">
        <f>"a'b"&lt;"9"</f>
        <v>0</v>
      </c>
    </row>
    <row r="322" spans="1:1" x14ac:dyDescent="0.35">
      <c r="A322" t="b">
        <f>"a'b"&lt;"a1"</f>
        <v>0</v>
      </c>
    </row>
    <row r="323" spans="1:1" x14ac:dyDescent="0.35">
      <c r="A323" t="b">
        <f>"a'b"&lt;"a10"</f>
        <v>0</v>
      </c>
    </row>
    <row r="324" spans="1:1" x14ac:dyDescent="0.35">
      <c r="A324" t="b">
        <f>"a'b"&lt;"a2"</f>
        <v>0</v>
      </c>
    </row>
    <row r="325" spans="1:1" x14ac:dyDescent="0.35">
      <c r="A325" t="b">
        <f>"a'b"&lt;"_"</f>
        <v>0</v>
      </c>
    </row>
    <row r="326" spans="1:1" x14ac:dyDescent="0.35">
      <c r="A326" t="b">
        <f>"a'b"&lt;"-"</f>
        <v>0</v>
      </c>
    </row>
    <row r="327" spans="1:1" x14ac:dyDescent="0.35">
      <c r="A327" t="b">
        <f>"a'b"&lt;"~"</f>
        <v>0</v>
      </c>
    </row>
    <row r="328" spans="1:1" x14ac:dyDescent="0.35">
      <c r="A328" t="b">
        <f>"a'b"&lt;"z"</f>
        <v>1</v>
      </c>
    </row>
    <row r="329" spans="1:1" x14ac:dyDescent="0.35">
      <c r="A329" t="b">
        <f>"a'b"&lt;"Ω"</f>
        <v>1</v>
      </c>
    </row>
    <row r="330" spans="1:1" x14ac:dyDescent="0.35">
      <c r="A330" t="b">
        <f>"a'b"&lt;"ω"</f>
        <v>1</v>
      </c>
    </row>
    <row r="331" spans="1:1" x14ac:dyDescent="0.35">
      <c r="A331" t="b">
        <f>"co-op"&lt;"a"</f>
        <v>0</v>
      </c>
    </row>
    <row r="332" spans="1:1" x14ac:dyDescent="0.35">
      <c r="A332" t="b">
        <f>"co-op"&lt;"A"</f>
        <v>0</v>
      </c>
    </row>
    <row r="333" spans="1:1" x14ac:dyDescent="0.35">
      <c r="A333" t="b">
        <f>"co-op"&lt;"b"</f>
        <v>0</v>
      </c>
    </row>
    <row r="334" spans="1:1" x14ac:dyDescent="0.35">
      <c r="A334" t="b">
        <f>"co-op"&lt;"B"</f>
        <v>0</v>
      </c>
    </row>
    <row r="335" spans="1:1" x14ac:dyDescent="0.35">
      <c r="A335" t="b">
        <f>"co-op"&lt;""</f>
        <v>0</v>
      </c>
    </row>
    <row r="336" spans="1:1" x14ac:dyDescent="0.35">
      <c r="A336" t="b">
        <f>"co-op"&lt;" "</f>
        <v>0</v>
      </c>
    </row>
    <row r="337" spans="1:1" x14ac:dyDescent="0.35">
      <c r="A337" t="b">
        <f>"co-op"&lt;"ab"</f>
        <v>0</v>
      </c>
    </row>
    <row r="338" spans="1:1" x14ac:dyDescent="0.35">
      <c r="A338" t="b">
        <f>"co-op"&lt;"a b"</f>
        <v>0</v>
      </c>
    </row>
    <row r="339" spans="1:1" x14ac:dyDescent="0.35">
      <c r="A339" t="b">
        <f>"co-op"&lt;"a-b"</f>
        <v>0</v>
      </c>
    </row>
    <row r="340" spans="1:1" x14ac:dyDescent="0.35">
      <c r="A340" t="b">
        <f>"co-op"&lt;"a'b"</f>
        <v>0</v>
      </c>
    </row>
    <row r="341" spans="1:1" x14ac:dyDescent="0.35">
      <c r="A341" t="b">
        <f>"co-op"&lt;"co-op"</f>
        <v>0</v>
      </c>
    </row>
    <row r="342" spans="1:1" x14ac:dyDescent="0.35">
      <c r="A342" t="b">
        <f>"co-op"&lt;"coop"</f>
        <v>0</v>
      </c>
    </row>
    <row r="343" spans="1:1" x14ac:dyDescent="0.35">
      <c r="A343" t="b">
        <f>"co-op"&lt;"cop"</f>
        <v>1</v>
      </c>
    </row>
    <row r="344" spans="1:1" x14ac:dyDescent="0.35">
      <c r="A344" t="b">
        <f>"co-op"&lt;"ß"</f>
        <v>1</v>
      </c>
    </row>
    <row r="345" spans="1:1" x14ac:dyDescent="0.35">
      <c r="A345" t="b">
        <f>"co-op"&lt;"ss"</f>
        <v>1</v>
      </c>
    </row>
    <row r="346" spans="1:1" x14ac:dyDescent="0.35">
      <c r="A346" t="b">
        <f>"co-op"&lt;"æ"</f>
        <v>0</v>
      </c>
    </row>
    <row r="347" spans="1:1" x14ac:dyDescent="0.35">
      <c r="A347" t="b">
        <f>"co-op"&lt;"ae"</f>
        <v>0</v>
      </c>
    </row>
    <row r="348" spans="1:1" x14ac:dyDescent="0.35">
      <c r="A348" t="b">
        <f>"co-op"&lt;"é"</f>
        <v>1</v>
      </c>
    </row>
    <row r="349" spans="1:1" x14ac:dyDescent="0.35">
      <c r="A349" t="b">
        <f>"co-op"&lt;"e"</f>
        <v>1</v>
      </c>
    </row>
    <row r="350" spans="1:1" x14ac:dyDescent="0.35">
      <c r="A350" t="b">
        <f>"co-op"&lt;"f"</f>
        <v>1</v>
      </c>
    </row>
    <row r="351" spans="1:1" x14ac:dyDescent="0.35">
      <c r="A351" t="b">
        <f>"co-op"&lt;"É"</f>
        <v>1</v>
      </c>
    </row>
    <row r="352" spans="1:1" x14ac:dyDescent="0.35">
      <c r="A352" t="b">
        <f>"co-op"&lt;"1"</f>
        <v>0</v>
      </c>
    </row>
    <row r="353" spans="1:1" x14ac:dyDescent="0.35">
      <c r="A353" t="b">
        <f>"co-op"&lt;"10"</f>
        <v>0</v>
      </c>
    </row>
    <row r="354" spans="1:1" x14ac:dyDescent="0.35">
      <c r="A354" t="b">
        <f>"co-op"&lt;"9"</f>
        <v>0</v>
      </c>
    </row>
    <row r="355" spans="1:1" x14ac:dyDescent="0.35">
      <c r="A355" t="b">
        <f>"co-op"&lt;"a1"</f>
        <v>0</v>
      </c>
    </row>
    <row r="356" spans="1:1" x14ac:dyDescent="0.35">
      <c r="A356" t="b">
        <f>"co-op"&lt;"a10"</f>
        <v>0</v>
      </c>
    </row>
    <row r="357" spans="1:1" x14ac:dyDescent="0.35">
      <c r="A357" t="b">
        <f>"co-op"&lt;"a2"</f>
        <v>0</v>
      </c>
    </row>
    <row r="358" spans="1:1" x14ac:dyDescent="0.35">
      <c r="A358" t="b">
        <f>"co-op"&lt;"_"</f>
        <v>0</v>
      </c>
    </row>
    <row r="359" spans="1:1" x14ac:dyDescent="0.35">
      <c r="A359" t="b">
        <f>"co-op"&lt;"-"</f>
        <v>0</v>
      </c>
    </row>
    <row r="360" spans="1:1" x14ac:dyDescent="0.35">
      <c r="A360" t="b">
        <f>"co-op"&lt;"~"</f>
        <v>0</v>
      </c>
    </row>
    <row r="361" spans="1:1" x14ac:dyDescent="0.35">
      <c r="A361" t="b">
        <f>"co-op"&lt;"z"</f>
        <v>1</v>
      </c>
    </row>
    <row r="362" spans="1:1" x14ac:dyDescent="0.35">
      <c r="A362" t="b">
        <f>"co-op"&lt;"Ω"</f>
        <v>1</v>
      </c>
    </row>
    <row r="363" spans="1:1" x14ac:dyDescent="0.35">
      <c r="A363" t="b">
        <f>"co-op"&lt;"ω"</f>
        <v>1</v>
      </c>
    </row>
    <row r="364" spans="1:1" x14ac:dyDescent="0.35">
      <c r="A364" t="b">
        <f>"coop"&lt;"a"</f>
        <v>0</v>
      </c>
    </row>
    <row r="365" spans="1:1" x14ac:dyDescent="0.35">
      <c r="A365" t="b">
        <f>"coop"&lt;"A"</f>
        <v>0</v>
      </c>
    </row>
    <row r="366" spans="1:1" x14ac:dyDescent="0.35">
      <c r="A366" t="b">
        <f>"coop"&lt;"b"</f>
        <v>0</v>
      </c>
    </row>
    <row r="367" spans="1:1" x14ac:dyDescent="0.35">
      <c r="A367" t="b">
        <f>"coop"&lt;"B"</f>
        <v>0</v>
      </c>
    </row>
    <row r="368" spans="1:1" x14ac:dyDescent="0.35">
      <c r="A368" t="b">
        <f>"coop"&lt;""</f>
        <v>0</v>
      </c>
    </row>
    <row r="369" spans="1:1" x14ac:dyDescent="0.35">
      <c r="A369" t="b">
        <f>"coop"&lt;" "</f>
        <v>0</v>
      </c>
    </row>
    <row r="370" spans="1:1" x14ac:dyDescent="0.35">
      <c r="A370" t="b">
        <f>"coop"&lt;"ab"</f>
        <v>0</v>
      </c>
    </row>
    <row r="371" spans="1:1" x14ac:dyDescent="0.35">
      <c r="A371" t="b">
        <f>"coop"&lt;"a b"</f>
        <v>0</v>
      </c>
    </row>
    <row r="372" spans="1:1" x14ac:dyDescent="0.35">
      <c r="A372" t="b">
        <f>"coop"&lt;"a-b"</f>
        <v>0</v>
      </c>
    </row>
    <row r="373" spans="1:1" x14ac:dyDescent="0.35">
      <c r="A373" t="b">
        <f>"coop"&lt;"a'b"</f>
        <v>0</v>
      </c>
    </row>
    <row r="374" spans="1:1" x14ac:dyDescent="0.35">
      <c r="A374" t="b">
        <f>"coop"&lt;"co-op"</f>
        <v>1</v>
      </c>
    </row>
    <row r="375" spans="1:1" x14ac:dyDescent="0.35">
      <c r="A375" t="b">
        <f>"coop"&lt;"coop"</f>
        <v>0</v>
      </c>
    </row>
    <row r="376" spans="1:1" x14ac:dyDescent="0.35">
      <c r="A376" t="b">
        <f>"coop"&lt;"cop"</f>
        <v>1</v>
      </c>
    </row>
    <row r="377" spans="1:1" x14ac:dyDescent="0.35">
      <c r="A377" t="b">
        <f>"coop"&lt;"ß"</f>
        <v>1</v>
      </c>
    </row>
    <row r="378" spans="1:1" x14ac:dyDescent="0.35">
      <c r="A378" t="b">
        <f>"coop"&lt;"ss"</f>
        <v>1</v>
      </c>
    </row>
    <row r="379" spans="1:1" x14ac:dyDescent="0.35">
      <c r="A379" t="b">
        <f>"coop"&lt;"æ"</f>
        <v>0</v>
      </c>
    </row>
    <row r="380" spans="1:1" x14ac:dyDescent="0.35">
      <c r="A380" t="b">
        <f>"coop"&lt;"ae"</f>
        <v>0</v>
      </c>
    </row>
    <row r="381" spans="1:1" x14ac:dyDescent="0.35">
      <c r="A381" t="b">
        <f>"coop"&lt;"é"</f>
        <v>1</v>
      </c>
    </row>
    <row r="382" spans="1:1" x14ac:dyDescent="0.35">
      <c r="A382" t="b">
        <f>"coop"&lt;"e"</f>
        <v>1</v>
      </c>
    </row>
    <row r="383" spans="1:1" x14ac:dyDescent="0.35">
      <c r="A383" t="b">
        <f>"coop"&lt;"f"</f>
        <v>1</v>
      </c>
    </row>
    <row r="384" spans="1:1" x14ac:dyDescent="0.35">
      <c r="A384" t="b">
        <f>"coop"&lt;"É"</f>
        <v>1</v>
      </c>
    </row>
    <row r="385" spans="1:1" x14ac:dyDescent="0.35">
      <c r="A385" t="b">
        <f>"coop"&lt;"1"</f>
        <v>0</v>
      </c>
    </row>
    <row r="386" spans="1:1" x14ac:dyDescent="0.35">
      <c r="A386" t="b">
        <f>"coop"&lt;"10"</f>
        <v>0</v>
      </c>
    </row>
    <row r="387" spans="1:1" x14ac:dyDescent="0.35">
      <c r="A387" t="b">
        <f>"coop"&lt;"9"</f>
        <v>0</v>
      </c>
    </row>
    <row r="388" spans="1:1" x14ac:dyDescent="0.35">
      <c r="A388" t="b">
        <f>"coop"&lt;"a1"</f>
        <v>0</v>
      </c>
    </row>
    <row r="389" spans="1:1" x14ac:dyDescent="0.35">
      <c r="A389" t="b">
        <f>"coop"&lt;"a10"</f>
        <v>0</v>
      </c>
    </row>
    <row r="390" spans="1:1" x14ac:dyDescent="0.35">
      <c r="A390" t="b">
        <f>"coop"&lt;"a2"</f>
        <v>0</v>
      </c>
    </row>
    <row r="391" spans="1:1" x14ac:dyDescent="0.35">
      <c r="A391" t="b">
        <f>"coop"&lt;"_"</f>
        <v>0</v>
      </c>
    </row>
    <row r="392" spans="1:1" x14ac:dyDescent="0.35">
      <c r="A392" t="b">
        <f>"coop"&lt;"-"</f>
        <v>0</v>
      </c>
    </row>
    <row r="393" spans="1:1" x14ac:dyDescent="0.35">
      <c r="A393" t="b">
        <f>"coop"&lt;"~"</f>
        <v>0</v>
      </c>
    </row>
    <row r="394" spans="1:1" x14ac:dyDescent="0.35">
      <c r="A394" t="b">
        <f>"coop"&lt;"z"</f>
        <v>1</v>
      </c>
    </row>
    <row r="395" spans="1:1" x14ac:dyDescent="0.35">
      <c r="A395" t="b">
        <f>"coop"&lt;"Ω"</f>
        <v>1</v>
      </c>
    </row>
    <row r="396" spans="1:1" x14ac:dyDescent="0.35">
      <c r="A396" t="b">
        <f>"coop"&lt;"ω"</f>
        <v>1</v>
      </c>
    </row>
    <row r="397" spans="1:1" x14ac:dyDescent="0.35">
      <c r="A397" t="b">
        <f>"cop"&lt;"a"</f>
        <v>0</v>
      </c>
    </row>
    <row r="398" spans="1:1" x14ac:dyDescent="0.35">
      <c r="A398" t="b">
        <f>"cop"&lt;"A"</f>
        <v>0</v>
      </c>
    </row>
    <row r="399" spans="1:1" x14ac:dyDescent="0.35">
      <c r="A399" t="b">
        <f>"cop"&lt;"b"</f>
        <v>0</v>
      </c>
    </row>
    <row r="400" spans="1:1" x14ac:dyDescent="0.35">
      <c r="A400" t="b">
        <f>"cop"&lt;"B"</f>
        <v>0</v>
      </c>
    </row>
    <row r="401" spans="1:1" x14ac:dyDescent="0.35">
      <c r="A401" t="b">
        <f>"cop"&lt;""</f>
        <v>0</v>
      </c>
    </row>
    <row r="402" spans="1:1" x14ac:dyDescent="0.35">
      <c r="A402" t="b">
        <f>"cop"&lt;" "</f>
        <v>0</v>
      </c>
    </row>
    <row r="403" spans="1:1" x14ac:dyDescent="0.35">
      <c r="A403" t="b">
        <f>"cop"&lt;"ab"</f>
        <v>0</v>
      </c>
    </row>
    <row r="404" spans="1:1" x14ac:dyDescent="0.35">
      <c r="A404" t="b">
        <f>"cop"&lt;"a b"</f>
        <v>0</v>
      </c>
    </row>
    <row r="405" spans="1:1" x14ac:dyDescent="0.35">
      <c r="A405" t="b">
        <f>"cop"&lt;"a-b"</f>
        <v>0</v>
      </c>
    </row>
    <row r="406" spans="1:1" x14ac:dyDescent="0.35">
      <c r="A406" t="b">
        <f>"cop"&lt;"a'b"</f>
        <v>0</v>
      </c>
    </row>
    <row r="407" spans="1:1" x14ac:dyDescent="0.35">
      <c r="A407" t="b">
        <f>"cop"&lt;"co-op"</f>
        <v>0</v>
      </c>
    </row>
    <row r="408" spans="1:1" x14ac:dyDescent="0.35">
      <c r="A408" t="b">
        <f>"cop"&lt;"coop"</f>
        <v>0</v>
      </c>
    </row>
    <row r="409" spans="1:1" x14ac:dyDescent="0.35">
      <c r="A409" t="b">
        <f>"cop"&lt;"cop"</f>
        <v>0</v>
      </c>
    </row>
    <row r="410" spans="1:1" x14ac:dyDescent="0.35">
      <c r="A410" t="b">
        <f>"cop"&lt;"ß"</f>
        <v>1</v>
      </c>
    </row>
    <row r="411" spans="1:1" x14ac:dyDescent="0.35">
      <c r="A411" t="b">
        <f>"cop"&lt;"ss"</f>
        <v>1</v>
      </c>
    </row>
    <row r="412" spans="1:1" x14ac:dyDescent="0.35">
      <c r="A412" t="b">
        <f>"cop"&lt;"æ"</f>
        <v>0</v>
      </c>
    </row>
    <row r="413" spans="1:1" x14ac:dyDescent="0.35">
      <c r="A413" t="b">
        <f>"cop"&lt;"ae"</f>
        <v>0</v>
      </c>
    </row>
    <row r="414" spans="1:1" x14ac:dyDescent="0.35">
      <c r="A414" t="b">
        <f>"cop"&lt;"é"</f>
        <v>1</v>
      </c>
    </row>
    <row r="415" spans="1:1" x14ac:dyDescent="0.35">
      <c r="A415" t="b">
        <f>"cop"&lt;"e"</f>
        <v>1</v>
      </c>
    </row>
    <row r="416" spans="1:1" x14ac:dyDescent="0.35">
      <c r="A416" t="b">
        <f>"cop"&lt;"f"</f>
        <v>1</v>
      </c>
    </row>
    <row r="417" spans="1:1" x14ac:dyDescent="0.35">
      <c r="A417" t="b">
        <f>"cop"&lt;"É"</f>
        <v>1</v>
      </c>
    </row>
    <row r="418" spans="1:1" x14ac:dyDescent="0.35">
      <c r="A418" t="b">
        <f>"cop"&lt;"1"</f>
        <v>0</v>
      </c>
    </row>
    <row r="419" spans="1:1" x14ac:dyDescent="0.35">
      <c r="A419" t="b">
        <f>"cop"&lt;"10"</f>
        <v>0</v>
      </c>
    </row>
    <row r="420" spans="1:1" x14ac:dyDescent="0.35">
      <c r="A420" t="b">
        <f>"cop"&lt;"9"</f>
        <v>0</v>
      </c>
    </row>
    <row r="421" spans="1:1" x14ac:dyDescent="0.35">
      <c r="A421" t="b">
        <f>"cop"&lt;"a1"</f>
        <v>0</v>
      </c>
    </row>
    <row r="422" spans="1:1" x14ac:dyDescent="0.35">
      <c r="A422" t="b">
        <f>"cop"&lt;"a10"</f>
        <v>0</v>
      </c>
    </row>
    <row r="423" spans="1:1" x14ac:dyDescent="0.35">
      <c r="A423" t="b">
        <f>"cop"&lt;"a2"</f>
        <v>0</v>
      </c>
    </row>
    <row r="424" spans="1:1" x14ac:dyDescent="0.35">
      <c r="A424" t="b">
        <f>"cop"&lt;"_"</f>
        <v>0</v>
      </c>
    </row>
    <row r="425" spans="1:1" x14ac:dyDescent="0.35">
      <c r="A425" t="b">
        <f>"cop"&lt;"-"</f>
        <v>0</v>
      </c>
    </row>
    <row r="426" spans="1:1" x14ac:dyDescent="0.35">
      <c r="A426" t="b">
        <f>"cop"&lt;"~"</f>
        <v>0</v>
      </c>
    </row>
    <row r="427" spans="1:1" x14ac:dyDescent="0.35">
      <c r="A427" t="b">
        <f>"cop"&lt;"z"</f>
        <v>1</v>
      </c>
    </row>
    <row r="428" spans="1:1" x14ac:dyDescent="0.35">
      <c r="A428" t="b">
        <f>"cop"&lt;"Ω"</f>
        <v>1</v>
      </c>
    </row>
    <row r="429" spans="1:1" x14ac:dyDescent="0.35">
      <c r="A429" t="b">
        <f>"cop"&lt;"ω"</f>
        <v>1</v>
      </c>
    </row>
    <row r="430" spans="1:1" x14ac:dyDescent="0.35">
      <c r="A430" t="b">
        <f>"ß"&lt;"a"</f>
        <v>0</v>
      </c>
    </row>
    <row r="431" spans="1:1" x14ac:dyDescent="0.35">
      <c r="A431" t="b">
        <f>"ß"&lt;"A"</f>
        <v>0</v>
      </c>
    </row>
    <row r="432" spans="1:1" x14ac:dyDescent="0.35">
      <c r="A432" t="b">
        <f>"ß"&lt;"b"</f>
        <v>0</v>
      </c>
    </row>
    <row r="433" spans="1:1" x14ac:dyDescent="0.35">
      <c r="A433" t="b">
        <f>"ß"&lt;"B"</f>
        <v>0</v>
      </c>
    </row>
    <row r="434" spans="1:1" x14ac:dyDescent="0.35">
      <c r="A434" t="b">
        <f>"ß"&lt;""</f>
        <v>0</v>
      </c>
    </row>
    <row r="435" spans="1:1" x14ac:dyDescent="0.35">
      <c r="A435" t="b">
        <f>"ß"&lt;" "</f>
        <v>0</v>
      </c>
    </row>
    <row r="436" spans="1:1" x14ac:dyDescent="0.35">
      <c r="A436" t="b">
        <f>"ß"&lt;"ab"</f>
        <v>0</v>
      </c>
    </row>
    <row r="437" spans="1:1" x14ac:dyDescent="0.35">
      <c r="A437" t="b">
        <f>"ß"&lt;"a b"</f>
        <v>0</v>
      </c>
    </row>
    <row r="438" spans="1:1" x14ac:dyDescent="0.35">
      <c r="A438" t="b">
        <f>"ß"&lt;"a-b"</f>
        <v>0</v>
      </c>
    </row>
    <row r="439" spans="1:1" x14ac:dyDescent="0.35">
      <c r="A439" t="b">
        <f>"ß"&lt;"a'b"</f>
        <v>0</v>
      </c>
    </row>
    <row r="440" spans="1:1" x14ac:dyDescent="0.35">
      <c r="A440" t="b">
        <f>"ß"&lt;"co-op"</f>
        <v>0</v>
      </c>
    </row>
    <row r="441" spans="1:1" x14ac:dyDescent="0.35">
      <c r="A441" t="b">
        <f>"ß"&lt;"coop"</f>
        <v>0</v>
      </c>
    </row>
    <row r="442" spans="1:1" x14ac:dyDescent="0.35">
      <c r="A442" t="b">
        <f>"ß"&lt;"cop"</f>
        <v>0</v>
      </c>
    </row>
    <row r="443" spans="1:1" x14ac:dyDescent="0.35">
      <c r="A443" t="b">
        <f>"ß"&lt;"ß"</f>
        <v>0</v>
      </c>
    </row>
    <row r="444" spans="1:1" x14ac:dyDescent="0.35">
      <c r="A444" t="b">
        <f>"ß"&lt;"ss"</f>
        <v>0</v>
      </c>
    </row>
    <row r="445" spans="1:1" x14ac:dyDescent="0.35">
      <c r="A445" t="b">
        <f>"ß"&lt;"æ"</f>
        <v>0</v>
      </c>
    </row>
    <row r="446" spans="1:1" x14ac:dyDescent="0.35">
      <c r="A446" t="b">
        <f>"ß"&lt;"ae"</f>
        <v>0</v>
      </c>
    </row>
    <row r="447" spans="1:1" x14ac:dyDescent="0.35">
      <c r="A447" t="b">
        <f>"ß"&lt;"é"</f>
        <v>0</v>
      </c>
    </row>
    <row r="448" spans="1:1" x14ac:dyDescent="0.35">
      <c r="A448" t="b">
        <f>"ß"&lt;"e"</f>
        <v>0</v>
      </c>
    </row>
    <row r="449" spans="1:1" x14ac:dyDescent="0.35">
      <c r="A449" t="b">
        <f>"ß"&lt;"f"</f>
        <v>0</v>
      </c>
    </row>
    <row r="450" spans="1:1" x14ac:dyDescent="0.35">
      <c r="A450" t="b">
        <f>"ß"&lt;"É"</f>
        <v>0</v>
      </c>
    </row>
    <row r="451" spans="1:1" x14ac:dyDescent="0.35">
      <c r="A451" t="b">
        <f>"ß"&lt;"1"</f>
        <v>0</v>
      </c>
    </row>
    <row r="452" spans="1:1" x14ac:dyDescent="0.35">
      <c r="A452" t="b">
        <f>"ß"&lt;"10"</f>
        <v>0</v>
      </c>
    </row>
    <row r="453" spans="1:1" x14ac:dyDescent="0.35">
      <c r="A453" t="b">
        <f>"ß"&lt;"9"</f>
        <v>0</v>
      </c>
    </row>
    <row r="454" spans="1:1" x14ac:dyDescent="0.35">
      <c r="A454" t="b">
        <f>"ß"&lt;"a1"</f>
        <v>0</v>
      </c>
    </row>
    <row r="455" spans="1:1" x14ac:dyDescent="0.35">
      <c r="A455" t="b">
        <f>"ß"&lt;"a10"</f>
        <v>0</v>
      </c>
    </row>
    <row r="456" spans="1:1" x14ac:dyDescent="0.35">
      <c r="A456" t="b">
        <f>"ß"&lt;"a2"</f>
        <v>0</v>
      </c>
    </row>
    <row r="457" spans="1:1" x14ac:dyDescent="0.35">
      <c r="A457" t="b">
        <f>"ß"&lt;"_"</f>
        <v>0</v>
      </c>
    </row>
    <row r="458" spans="1:1" x14ac:dyDescent="0.35">
      <c r="A458" t="b">
        <f>"ß"&lt;"-"</f>
        <v>0</v>
      </c>
    </row>
    <row r="459" spans="1:1" x14ac:dyDescent="0.35">
      <c r="A459" t="b">
        <f>"ß"&lt;"~"</f>
        <v>0</v>
      </c>
    </row>
    <row r="460" spans="1:1" x14ac:dyDescent="0.35">
      <c r="A460" t="b">
        <f>"ß"&lt;"z"</f>
        <v>1</v>
      </c>
    </row>
    <row r="461" spans="1:1" x14ac:dyDescent="0.35">
      <c r="A461" t="b">
        <f>"ß"&lt;"Ω"</f>
        <v>1</v>
      </c>
    </row>
    <row r="462" spans="1:1" x14ac:dyDescent="0.35">
      <c r="A462" t="b">
        <f>"ß"&lt;"ω"</f>
        <v>1</v>
      </c>
    </row>
    <row r="463" spans="1:1" x14ac:dyDescent="0.35">
      <c r="A463" t="b">
        <f>"ss"&lt;"a"</f>
        <v>0</v>
      </c>
    </row>
    <row r="464" spans="1:1" x14ac:dyDescent="0.35">
      <c r="A464" t="b">
        <f>"ss"&lt;"A"</f>
        <v>0</v>
      </c>
    </row>
    <row r="465" spans="1:1" x14ac:dyDescent="0.35">
      <c r="A465" t="b">
        <f>"ss"&lt;"b"</f>
        <v>0</v>
      </c>
    </row>
    <row r="466" spans="1:1" x14ac:dyDescent="0.35">
      <c r="A466" t="b">
        <f>"ss"&lt;"B"</f>
        <v>0</v>
      </c>
    </row>
    <row r="467" spans="1:1" x14ac:dyDescent="0.35">
      <c r="A467" t="b">
        <f>"ss"&lt;""</f>
        <v>0</v>
      </c>
    </row>
    <row r="468" spans="1:1" x14ac:dyDescent="0.35">
      <c r="A468" t="b">
        <f>"ss"&lt;" "</f>
        <v>0</v>
      </c>
    </row>
    <row r="469" spans="1:1" x14ac:dyDescent="0.35">
      <c r="A469" t="b">
        <f>"ss"&lt;"ab"</f>
        <v>0</v>
      </c>
    </row>
    <row r="470" spans="1:1" x14ac:dyDescent="0.35">
      <c r="A470" t="b">
        <f>"ss"&lt;"a b"</f>
        <v>0</v>
      </c>
    </row>
    <row r="471" spans="1:1" x14ac:dyDescent="0.35">
      <c r="A471" t="b">
        <f>"ss"&lt;"a-b"</f>
        <v>0</v>
      </c>
    </row>
    <row r="472" spans="1:1" x14ac:dyDescent="0.35">
      <c r="A472" t="b">
        <f>"ss"&lt;"a'b"</f>
        <v>0</v>
      </c>
    </row>
    <row r="473" spans="1:1" x14ac:dyDescent="0.35">
      <c r="A473" t="b">
        <f>"ss"&lt;"co-op"</f>
        <v>0</v>
      </c>
    </row>
    <row r="474" spans="1:1" x14ac:dyDescent="0.35">
      <c r="A474" t="b">
        <f>"ss"&lt;"coop"</f>
        <v>0</v>
      </c>
    </row>
    <row r="475" spans="1:1" x14ac:dyDescent="0.35">
      <c r="A475" t="b">
        <f>"ss"&lt;"cop"</f>
        <v>0</v>
      </c>
    </row>
    <row r="476" spans="1:1" x14ac:dyDescent="0.35">
      <c r="A476" t="b">
        <f>"ss"&lt;"ß"</f>
        <v>0</v>
      </c>
    </row>
    <row r="477" spans="1:1" x14ac:dyDescent="0.35">
      <c r="A477" t="b">
        <f>"ss"&lt;"ss"</f>
        <v>0</v>
      </c>
    </row>
    <row r="478" spans="1:1" x14ac:dyDescent="0.35">
      <c r="A478" t="b">
        <f>"ss"&lt;"æ"</f>
        <v>0</v>
      </c>
    </row>
    <row r="479" spans="1:1" x14ac:dyDescent="0.35">
      <c r="A479" t="b">
        <f>"ss"&lt;"ae"</f>
        <v>0</v>
      </c>
    </row>
    <row r="480" spans="1:1" x14ac:dyDescent="0.35">
      <c r="A480" t="b">
        <f>"ss"&lt;"é"</f>
        <v>0</v>
      </c>
    </row>
    <row r="481" spans="1:1" x14ac:dyDescent="0.35">
      <c r="A481" t="b">
        <f>"ss"&lt;"e"</f>
        <v>0</v>
      </c>
    </row>
    <row r="482" spans="1:1" x14ac:dyDescent="0.35">
      <c r="A482" t="b">
        <f>"ss"&lt;"f"</f>
        <v>0</v>
      </c>
    </row>
    <row r="483" spans="1:1" x14ac:dyDescent="0.35">
      <c r="A483" t="b">
        <f>"ss"&lt;"É"</f>
        <v>0</v>
      </c>
    </row>
    <row r="484" spans="1:1" x14ac:dyDescent="0.35">
      <c r="A484" t="b">
        <f>"ss"&lt;"1"</f>
        <v>0</v>
      </c>
    </row>
    <row r="485" spans="1:1" x14ac:dyDescent="0.35">
      <c r="A485" t="b">
        <f>"ss"&lt;"10"</f>
        <v>0</v>
      </c>
    </row>
    <row r="486" spans="1:1" x14ac:dyDescent="0.35">
      <c r="A486" t="b">
        <f>"ss"&lt;"9"</f>
        <v>0</v>
      </c>
    </row>
    <row r="487" spans="1:1" x14ac:dyDescent="0.35">
      <c r="A487" t="b">
        <f>"ss"&lt;"a1"</f>
        <v>0</v>
      </c>
    </row>
    <row r="488" spans="1:1" x14ac:dyDescent="0.35">
      <c r="A488" t="b">
        <f>"ss"&lt;"a10"</f>
        <v>0</v>
      </c>
    </row>
    <row r="489" spans="1:1" x14ac:dyDescent="0.35">
      <c r="A489" t="b">
        <f>"ss"&lt;"a2"</f>
        <v>0</v>
      </c>
    </row>
    <row r="490" spans="1:1" x14ac:dyDescent="0.35">
      <c r="A490" t="b">
        <f>"ss"&lt;"_"</f>
        <v>0</v>
      </c>
    </row>
    <row r="491" spans="1:1" x14ac:dyDescent="0.35">
      <c r="A491" t="b">
        <f>"ss"&lt;"-"</f>
        <v>0</v>
      </c>
    </row>
    <row r="492" spans="1:1" x14ac:dyDescent="0.35">
      <c r="A492" t="b">
        <f>"ss"&lt;"~"</f>
        <v>0</v>
      </c>
    </row>
    <row r="493" spans="1:1" x14ac:dyDescent="0.35">
      <c r="A493" t="b">
        <f>"ss"&lt;"z"</f>
        <v>1</v>
      </c>
    </row>
    <row r="494" spans="1:1" x14ac:dyDescent="0.35">
      <c r="A494" t="b">
        <f>"ss"&lt;"Ω"</f>
        <v>1</v>
      </c>
    </row>
    <row r="495" spans="1:1" x14ac:dyDescent="0.35">
      <c r="A495" t="b">
        <f>"ss"&lt;"ω"</f>
        <v>1</v>
      </c>
    </row>
    <row r="496" spans="1:1" x14ac:dyDescent="0.35">
      <c r="A496" t="b">
        <f>"æ"&lt;"a"</f>
        <v>0</v>
      </c>
    </row>
    <row r="497" spans="1:1" x14ac:dyDescent="0.35">
      <c r="A497" t="b">
        <f>"æ"&lt;"A"</f>
        <v>0</v>
      </c>
    </row>
    <row r="498" spans="1:1" x14ac:dyDescent="0.35">
      <c r="A498" t="b">
        <f>"æ"&lt;"b"</f>
        <v>1</v>
      </c>
    </row>
    <row r="499" spans="1:1" x14ac:dyDescent="0.35">
      <c r="A499" t="b">
        <f>"æ"&lt;"B"</f>
        <v>1</v>
      </c>
    </row>
    <row r="500" spans="1:1" x14ac:dyDescent="0.35">
      <c r="A500" t="b">
        <f>"æ"&lt;""</f>
        <v>0</v>
      </c>
    </row>
    <row r="501" spans="1:1" x14ac:dyDescent="0.35">
      <c r="A501" t="b">
        <f>"æ"&lt;" "</f>
        <v>0</v>
      </c>
    </row>
    <row r="502" spans="1:1" x14ac:dyDescent="0.35">
      <c r="A502" t="b">
        <f>"æ"&lt;"ab"</f>
        <v>0</v>
      </c>
    </row>
    <row r="503" spans="1:1" x14ac:dyDescent="0.35">
      <c r="A503" t="b">
        <f>"æ"&lt;"a b"</f>
        <v>0</v>
      </c>
    </row>
    <row r="504" spans="1:1" x14ac:dyDescent="0.35">
      <c r="A504" t="b">
        <f>"æ"&lt;"a-b"</f>
        <v>0</v>
      </c>
    </row>
    <row r="505" spans="1:1" x14ac:dyDescent="0.35">
      <c r="A505" t="b">
        <f>"æ"&lt;"a'b"</f>
        <v>0</v>
      </c>
    </row>
    <row r="506" spans="1:1" x14ac:dyDescent="0.35">
      <c r="A506" t="b">
        <f>"æ"&lt;"co-op"</f>
        <v>1</v>
      </c>
    </row>
    <row r="507" spans="1:1" x14ac:dyDescent="0.35">
      <c r="A507" t="b">
        <f>"æ"&lt;"coop"</f>
        <v>1</v>
      </c>
    </row>
    <row r="508" spans="1:1" x14ac:dyDescent="0.35">
      <c r="A508" t="b">
        <f>"æ"&lt;"cop"</f>
        <v>1</v>
      </c>
    </row>
    <row r="509" spans="1:1" x14ac:dyDescent="0.35">
      <c r="A509" t="b">
        <f>"æ"&lt;"ß"</f>
        <v>1</v>
      </c>
    </row>
    <row r="510" spans="1:1" x14ac:dyDescent="0.35">
      <c r="A510" t="b">
        <f>"æ"&lt;"ss"</f>
        <v>1</v>
      </c>
    </row>
    <row r="511" spans="1:1" x14ac:dyDescent="0.35">
      <c r="A511" t="b">
        <f>"æ"&lt;"æ"</f>
        <v>0</v>
      </c>
    </row>
    <row r="512" spans="1:1" x14ac:dyDescent="0.35">
      <c r="A512" t="b">
        <f>"æ"&lt;"ae"</f>
        <v>0</v>
      </c>
    </row>
    <row r="513" spans="1:1" x14ac:dyDescent="0.35">
      <c r="A513" t="b">
        <f>"æ"&lt;"é"</f>
        <v>1</v>
      </c>
    </row>
    <row r="514" spans="1:1" x14ac:dyDescent="0.35">
      <c r="A514" t="b">
        <f>"æ"&lt;"e"</f>
        <v>1</v>
      </c>
    </row>
    <row r="515" spans="1:1" x14ac:dyDescent="0.35">
      <c r="A515" t="b">
        <f>"æ"&lt;"f"</f>
        <v>1</v>
      </c>
    </row>
    <row r="516" spans="1:1" x14ac:dyDescent="0.35">
      <c r="A516" t="b">
        <f>"æ"&lt;"É"</f>
        <v>1</v>
      </c>
    </row>
    <row r="517" spans="1:1" x14ac:dyDescent="0.35">
      <c r="A517" t="b">
        <f>"æ"&lt;"1"</f>
        <v>0</v>
      </c>
    </row>
    <row r="518" spans="1:1" x14ac:dyDescent="0.35">
      <c r="A518" t="b">
        <f>"æ"&lt;"10"</f>
        <v>0</v>
      </c>
    </row>
    <row r="519" spans="1:1" x14ac:dyDescent="0.35">
      <c r="A519" t="b">
        <f>"æ"&lt;"9"</f>
        <v>0</v>
      </c>
    </row>
    <row r="520" spans="1:1" x14ac:dyDescent="0.35">
      <c r="A520" t="b">
        <f>"æ"&lt;"a1"</f>
        <v>0</v>
      </c>
    </row>
    <row r="521" spans="1:1" x14ac:dyDescent="0.35">
      <c r="A521" t="b">
        <f>"æ"&lt;"a10"</f>
        <v>0</v>
      </c>
    </row>
    <row r="522" spans="1:1" x14ac:dyDescent="0.35">
      <c r="A522" t="b">
        <f>"æ"&lt;"a2"</f>
        <v>0</v>
      </c>
    </row>
    <row r="523" spans="1:1" x14ac:dyDescent="0.35">
      <c r="A523" t="b">
        <f>"æ"&lt;"_"</f>
        <v>0</v>
      </c>
    </row>
    <row r="524" spans="1:1" x14ac:dyDescent="0.35">
      <c r="A524" t="b">
        <f>"æ"&lt;"-"</f>
        <v>0</v>
      </c>
    </row>
    <row r="525" spans="1:1" x14ac:dyDescent="0.35">
      <c r="A525" t="b">
        <f>"æ"&lt;"~"</f>
        <v>0</v>
      </c>
    </row>
    <row r="526" spans="1:1" x14ac:dyDescent="0.35">
      <c r="A526" t="b">
        <f>"æ"&lt;"z"</f>
        <v>1</v>
      </c>
    </row>
    <row r="527" spans="1:1" x14ac:dyDescent="0.35">
      <c r="A527" t="b">
        <f>"æ"&lt;"Ω"</f>
        <v>1</v>
      </c>
    </row>
    <row r="528" spans="1:1" x14ac:dyDescent="0.35">
      <c r="A528" t="b">
        <f>"æ"&lt;"ω"</f>
        <v>1</v>
      </c>
    </row>
    <row r="529" spans="1:1" x14ac:dyDescent="0.35">
      <c r="A529" t="b">
        <f>"ae"&lt;"a"</f>
        <v>0</v>
      </c>
    </row>
    <row r="530" spans="1:1" x14ac:dyDescent="0.35">
      <c r="A530" t="b">
        <f>"ae"&lt;"A"</f>
        <v>0</v>
      </c>
    </row>
    <row r="531" spans="1:1" x14ac:dyDescent="0.35">
      <c r="A531" t="b">
        <f>"ae"&lt;"b"</f>
        <v>1</v>
      </c>
    </row>
    <row r="532" spans="1:1" x14ac:dyDescent="0.35">
      <c r="A532" t="b">
        <f>"ae"&lt;"B"</f>
        <v>1</v>
      </c>
    </row>
    <row r="533" spans="1:1" x14ac:dyDescent="0.35">
      <c r="A533" t="b">
        <f>"ae"&lt;""</f>
        <v>0</v>
      </c>
    </row>
    <row r="534" spans="1:1" x14ac:dyDescent="0.35">
      <c r="A534" t="b">
        <f>"ae"&lt;" "</f>
        <v>0</v>
      </c>
    </row>
    <row r="535" spans="1:1" x14ac:dyDescent="0.35">
      <c r="A535" t="b">
        <f>"ae"&lt;"ab"</f>
        <v>0</v>
      </c>
    </row>
    <row r="536" spans="1:1" x14ac:dyDescent="0.35">
      <c r="A536" t="b">
        <f>"ae"&lt;"a b"</f>
        <v>0</v>
      </c>
    </row>
    <row r="537" spans="1:1" x14ac:dyDescent="0.35">
      <c r="A537" t="b">
        <f>"ae"&lt;"a-b"</f>
        <v>0</v>
      </c>
    </row>
    <row r="538" spans="1:1" x14ac:dyDescent="0.35">
      <c r="A538" t="b">
        <f>"ae"&lt;"a'b"</f>
        <v>0</v>
      </c>
    </row>
    <row r="539" spans="1:1" x14ac:dyDescent="0.35">
      <c r="A539" t="b">
        <f>"ae"&lt;"co-op"</f>
        <v>1</v>
      </c>
    </row>
    <row r="540" spans="1:1" x14ac:dyDescent="0.35">
      <c r="A540" t="b">
        <f>"ae"&lt;"coop"</f>
        <v>1</v>
      </c>
    </row>
    <row r="541" spans="1:1" x14ac:dyDescent="0.35">
      <c r="A541" t="b">
        <f>"ae"&lt;"cop"</f>
        <v>1</v>
      </c>
    </row>
    <row r="542" spans="1:1" x14ac:dyDescent="0.35">
      <c r="A542" t="b">
        <f>"ae"&lt;"ß"</f>
        <v>1</v>
      </c>
    </row>
    <row r="543" spans="1:1" x14ac:dyDescent="0.35">
      <c r="A543" t="b">
        <f>"ae"&lt;"ss"</f>
        <v>1</v>
      </c>
    </row>
    <row r="544" spans="1:1" x14ac:dyDescent="0.35">
      <c r="A544" t="b">
        <f>"ae"&lt;"æ"</f>
        <v>0</v>
      </c>
    </row>
    <row r="545" spans="1:1" x14ac:dyDescent="0.35">
      <c r="A545" t="b">
        <f>"ae"&lt;"ae"</f>
        <v>0</v>
      </c>
    </row>
    <row r="546" spans="1:1" x14ac:dyDescent="0.35">
      <c r="A546" t="b">
        <f>"ae"&lt;"é"</f>
        <v>1</v>
      </c>
    </row>
    <row r="547" spans="1:1" x14ac:dyDescent="0.35">
      <c r="A547" t="b">
        <f>"ae"&lt;"e"</f>
        <v>1</v>
      </c>
    </row>
    <row r="548" spans="1:1" x14ac:dyDescent="0.35">
      <c r="A548" t="b">
        <f>"ae"&lt;"f"</f>
        <v>1</v>
      </c>
    </row>
    <row r="549" spans="1:1" x14ac:dyDescent="0.35">
      <c r="A549" t="b">
        <f>"ae"&lt;"É"</f>
        <v>1</v>
      </c>
    </row>
    <row r="550" spans="1:1" x14ac:dyDescent="0.35">
      <c r="A550" t="b">
        <f>"ae"&lt;"1"</f>
        <v>0</v>
      </c>
    </row>
    <row r="551" spans="1:1" x14ac:dyDescent="0.35">
      <c r="A551" t="b">
        <f>"ae"&lt;"10"</f>
        <v>0</v>
      </c>
    </row>
    <row r="552" spans="1:1" x14ac:dyDescent="0.35">
      <c r="A552" t="b">
        <f>"ae"&lt;"9"</f>
        <v>0</v>
      </c>
    </row>
    <row r="553" spans="1:1" x14ac:dyDescent="0.35">
      <c r="A553" t="b">
        <f>"ae"&lt;"a1"</f>
        <v>0</v>
      </c>
    </row>
    <row r="554" spans="1:1" x14ac:dyDescent="0.35">
      <c r="A554" t="b">
        <f>"ae"&lt;"a10"</f>
        <v>0</v>
      </c>
    </row>
    <row r="555" spans="1:1" x14ac:dyDescent="0.35">
      <c r="A555" t="b">
        <f>"ae"&lt;"a2"</f>
        <v>0</v>
      </c>
    </row>
    <row r="556" spans="1:1" x14ac:dyDescent="0.35">
      <c r="A556" t="b">
        <f>"ae"&lt;"_"</f>
        <v>0</v>
      </c>
    </row>
    <row r="557" spans="1:1" x14ac:dyDescent="0.35">
      <c r="A557" t="b">
        <f>"ae"&lt;"-"</f>
        <v>0</v>
      </c>
    </row>
    <row r="558" spans="1:1" x14ac:dyDescent="0.35">
      <c r="A558" t="b">
        <f>"ae"&lt;"~"</f>
        <v>0</v>
      </c>
    </row>
    <row r="559" spans="1:1" x14ac:dyDescent="0.35">
      <c r="A559" t="b">
        <f>"ae"&lt;"z"</f>
        <v>1</v>
      </c>
    </row>
    <row r="560" spans="1:1" x14ac:dyDescent="0.35">
      <c r="A560" t="b">
        <f>"ae"&lt;"Ω"</f>
        <v>1</v>
      </c>
    </row>
    <row r="561" spans="1:1" x14ac:dyDescent="0.35">
      <c r="A561" t="b">
        <f>"ae"&lt;"ω"</f>
        <v>1</v>
      </c>
    </row>
    <row r="562" spans="1:1" x14ac:dyDescent="0.35">
      <c r="A562" t="b">
        <f>"é"&lt;"a"</f>
        <v>0</v>
      </c>
    </row>
    <row r="563" spans="1:1" x14ac:dyDescent="0.35">
      <c r="A563" t="b">
        <f>"é"&lt;"A"</f>
        <v>0</v>
      </c>
    </row>
    <row r="564" spans="1:1" x14ac:dyDescent="0.35">
      <c r="A564" t="b">
        <f>"é"&lt;"b"</f>
        <v>0</v>
      </c>
    </row>
    <row r="565" spans="1:1" x14ac:dyDescent="0.35">
      <c r="A565" t="b">
        <f>"é"&lt;"B"</f>
        <v>0</v>
      </c>
    </row>
    <row r="566" spans="1:1" x14ac:dyDescent="0.35">
      <c r="A566" t="b">
        <f>"é"&lt;""</f>
        <v>0</v>
      </c>
    </row>
    <row r="567" spans="1:1" x14ac:dyDescent="0.35">
      <c r="A567" t="b">
        <f>"é"&lt;" "</f>
        <v>0</v>
      </c>
    </row>
    <row r="568" spans="1:1" x14ac:dyDescent="0.35">
      <c r="A568" t="b">
        <f>"é"&lt;"ab"</f>
        <v>0</v>
      </c>
    </row>
    <row r="569" spans="1:1" x14ac:dyDescent="0.35">
      <c r="A569" t="b">
        <f>"é"&lt;"a b"</f>
        <v>0</v>
      </c>
    </row>
    <row r="570" spans="1:1" x14ac:dyDescent="0.35">
      <c r="A570" t="b">
        <f>"é"&lt;"a-b"</f>
        <v>0</v>
      </c>
    </row>
    <row r="571" spans="1:1" x14ac:dyDescent="0.35">
      <c r="A571" t="b">
        <f>"é"&lt;"a'b"</f>
        <v>0</v>
      </c>
    </row>
    <row r="572" spans="1:1" x14ac:dyDescent="0.35">
      <c r="A572" t="b">
        <f>"é"&lt;"co-op"</f>
        <v>0</v>
      </c>
    </row>
    <row r="573" spans="1:1" x14ac:dyDescent="0.35">
      <c r="A573" t="b">
        <f>"é"&lt;"coop"</f>
        <v>0</v>
      </c>
    </row>
    <row r="574" spans="1:1" x14ac:dyDescent="0.35">
      <c r="A574" t="b">
        <f>"é"&lt;"cop"</f>
        <v>0</v>
      </c>
    </row>
    <row r="575" spans="1:1" x14ac:dyDescent="0.35">
      <c r="A575" t="b">
        <f>"é"&lt;"ß"</f>
        <v>1</v>
      </c>
    </row>
    <row r="576" spans="1:1" x14ac:dyDescent="0.35">
      <c r="A576" t="b">
        <f>"é"&lt;"ss"</f>
        <v>1</v>
      </c>
    </row>
    <row r="577" spans="1:1" x14ac:dyDescent="0.35">
      <c r="A577" t="b">
        <f>"é"&lt;"æ"</f>
        <v>0</v>
      </c>
    </row>
    <row r="578" spans="1:1" x14ac:dyDescent="0.35">
      <c r="A578" t="b">
        <f>"é"&lt;"ae"</f>
        <v>0</v>
      </c>
    </row>
    <row r="579" spans="1:1" x14ac:dyDescent="0.35">
      <c r="A579" t="b">
        <f>"é"&lt;"é"</f>
        <v>0</v>
      </c>
    </row>
    <row r="580" spans="1:1" x14ac:dyDescent="0.35">
      <c r="A580" t="b">
        <f>"é"&lt;"e"</f>
        <v>0</v>
      </c>
    </row>
    <row r="581" spans="1:1" x14ac:dyDescent="0.35">
      <c r="A581" t="b">
        <f>"é"&lt;"f"</f>
        <v>1</v>
      </c>
    </row>
    <row r="582" spans="1:1" x14ac:dyDescent="0.35">
      <c r="A582" t="b">
        <f>"é"&lt;"É"</f>
        <v>0</v>
      </c>
    </row>
    <row r="583" spans="1:1" x14ac:dyDescent="0.35">
      <c r="A583" t="b">
        <f>"é"&lt;"1"</f>
        <v>0</v>
      </c>
    </row>
    <row r="584" spans="1:1" x14ac:dyDescent="0.35">
      <c r="A584" t="b">
        <f>"é"&lt;"10"</f>
        <v>0</v>
      </c>
    </row>
    <row r="585" spans="1:1" x14ac:dyDescent="0.35">
      <c r="A585" t="b">
        <f>"é"&lt;"9"</f>
        <v>0</v>
      </c>
    </row>
    <row r="586" spans="1:1" x14ac:dyDescent="0.35">
      <c r="A586" t="b">
        <f>"é"&lt;"a1"</f>
        <v>0</v>
      </c>
    </row>
    <row r="587" spans="1:1" x14ac:dyDescent="0.35">
      <c r="A587" t="b">
        <f>"é"&lt;"a10"</f>
        <v>0</v>
      </c>
    </row>
    <row r="588" spans="1:1" x14ac:dyDescent="0.35">
      <c r="A588" t="b">
        <f>"é"&lt;"a2"</f>
        <v>0</v>
      </c>
    </row>
    <row r="589" spans="1:1" x14ac:dyDescent="0.35">
      <c r="A589" t="b">
        <f>"é"&lt;"_"</f>
        <v>0</v>
      </c>
    </row>
    <row r="590" spans="1:1" x14ac:dyDescent="0.35">
      <c r="A590" t="b">
        <f>"é"&lt;"-"</f>
        <v>0</v>
      </c>
    </row>
    <row r="591" spans="1:1" x14ac:dyDescent="0.35">
      <c r="A591" t="b">
        <f>"é"&lt;"~"</f>
        <v>0</v>
      </c>
    </row>
    <row r="592" spans="1:1" x14ac:dyDescent="0.35">
      <c r="A592" t="b">
        <f>"é"&lt;"z"</f>
        <v>1</v>
      </c>
    </row>
    <row r="593" spans="1:1" x14ac:dyDescent="0.35">
      <c r="A593" t="b">
        <f>"é"&lt;"Ω"</f>
        <v>1</v>
      </c>
    </row>
    <row r="594" spans="1:1" x14ac:dyDescent="0.35">
      <c r="A594" t="b">
        <f>"é"&lt;"ω"</f>
        <v>1</v>
      </c>
    </row>
    <row r="595" spans="1:1" x14ac:dyDescent="0.35">
      <c r="A595" t="b">
        <f>"e"&lt;"a"</f>
        <v>0</v>
      </c>
    </row>
    <row r="596" spans="1:1" x14ac:dyDescent="0.35">
      <c r="A596" t="b">
        <f>"e"&lt;"A"</f>
        <v>0</v>
      </c>
    </row>
    <row r="597" spans="1:1" x14ac:dyDescent="0.35">
      <c r="A597" t="b">
        <f>"e"&lt;"b"</f>
        <v>0</v>
      </c>
    </row>
    <row r="598" spans="1:1" x14ac:dyDescent="0.35">
      <c r="A598" t="b">
        <f>"e"&lt;"B"</f>
        <v>0</v>
      </c>
    </row>
    <row r="599" spans="1:1" x14ac:dyDescent="0.35">
      <c r="A599" t="b">
        <f>"e"&lt;""</f>
        <v>0</v>
      </c>
    </row>
    <row r="600" spans="1:1" x14ac:dyDescent="0.35">
      <c r="A600" t="b">
        <f>"e"&lt;" "</f>
        <v>0</v>
      </c>
    </row>
    <row r="601" spans="1:1" x14ac:dyDescent="0.35">
      <c r="A601" t="b">
        <f>"e"&lt;"ab"</f>
        <v>0</v>
      </c>
    </row>
    <row r="602" spans="1:1" x14ac:dyDescent="0.35">
      <c r="A602" t="b">
        <f>"e"&lt;"a b"</f>
        <v>0</v>
      </c>
    </row>
    <row r="603" spans="1:1" x14ac:dyDescent="0.35">
      <c r="A603" t="b">
        <f>"e"&lt;"a-b"</f>
        <v>0</v>
      </c>
    </row>
    <row r="604" spans="1:1" x14ac:dyDescent="0.35">
      <c r="A604" t="b">
        <f>"e"&lt;"a'b"</f>
        <v>0</v>
      </c>
    </row>
    <row r="605" spans="1:1" x14ac:dyDescent="0.35">
      <c r="A605" t="b">
        <f>"e"&lt;"co-op"</f>
        <v>0</v>
      </c>
    </row>
    <row r="606" spans="1:1" x14ac:dyDescent="0.35">
      <c r="A606" t="b">
        <f>"e"&lt;"coop"</f>
        <v>0</v>
      </c>
    </row>
    <row r="607" spans="1:1" x14ac:dyDescent="0.35">
      <c r="A607" t="b">
        <f>"e"&lt;"cop"</f>
        <v>0</v>
      </c>
    </row>
    <row r="608" spans="1:1" x14ac:dyDescent="0.35">
      <c r="A608" t="b">
        <f>"e"&lt;"ß"</f>
        <v>1</v>
      </c>
    </row>
    <row r="609" spans="1:1" x14ac:dyDescent="0.35">
      <c r="A609" t="b">
        <f>"e"&lt;"ss"</f>
        <v>1</v>
      </c>
    </row>
    <row r="610" spans="1:1" x14ac:dyDescent="0.35">
      <c r="A610" t="b">
        <f>"e"&lt;"æ"</f>
        <v>0</v>
      </c>
    </row>
    <row r="611" spans="1:1" x14ac:dyDescent="0.35">
      <c r="A611" t="b">
        <f>"e"&lt;"ae"</f>
        <v>0</v>
      </c>
    </row>
    <row r="612" spans="1:1" x14ac:dyDescent="0.35">
      <c r="A612" t="b">
        <f>"e"&lt;"é"</f>
        <v>1</v>
      </c>
    </row>
    <row r="613" spans="1:1" x14ac:dyDescent="0.35">
      <c r="A613" t="b">
        <f>"e"&lt;"e"</f>
        <v>0</v>
      </c>
    </row>
    <row r="614" spans="1:1" x14ac:dyDescent="0.35">
      <c r="A614" t="b">
        <f>"e"&lt;"f"</f>
        <v>1</v>
      </c>
    </row>
    <row r="615" spans="1:1" x14ac:dyDescent="0.35">
      <c r="A615" t="b">
        <f>"e"&lt;"É"</f>
        <v>1</v>
      </c>
    </row>
    <row r="616" spans="1:1" x14ac:dyDescent="0.35">
      <c r="A616" t="b">
        <f>"e"&lt;"1"</f>
        <v>0</v>
      </c>
    </row>
    <row r="617" spans="1:1" x14ac:dyDescent="0.35">
      <c r="A617" t="b">
        <f>"e"&lt;"10"</f>
        <v>0</v>
      </c>
    </row>
    <row r="618" spans="1:1" x14ac:dyDescent="0.35">
      <c r="A618" t="b">
        <f>"e"&lt;"9"</f>
        <v>0</v>
      </c>
    </row>
    <row r="619" spans="1:1" x14ac:dyDescent="0.35">
      <c r="A619" t="b">
        <f>"e"&lt;"a1"</f>
        <v>0</v>
      </c>
    </row>
    <row r="620" spans="1:1" x14ac:dyDescent="0.35">
      <c r="A620" t="b">
        <f>"e"&lt;"a10"</f>
        <v>0</v>
      </c>
    </row>
    <row r="621" spans="1:1" x14ac:dyDescent="0.35">
      <c r="A621" t="b">
        <f>"e"&lt;"a2"</f>
        <v>0</v>
      </c>
    </row>
    <row r="622" spans="1:1" x14ac:dyDescent="0.35">
      <c r="A622" t="b">
        <f>"e"&lt;"_"</f>
        <v>0</v>
      </c>
    </row>
    <row r="623" spans="1:1" x14ac:dyDescent="0.35">
      <c r="A623" t="b">
        <f>"e"&lt;"-"</f>
        <v>0</v>
      </c>
    </row>
    <row r="624" spans="1:1" x14ac:dyDescent="0.35">
      <c r="A624" t="b">
        <f>"e"&lt;"~"</f>
        <v>0</v>
      </c>
    </row>
    <row r="625" spans="1:1" x14ac:dyDescent="0.35">
      <c r="A625" t="b">
        <f>"e"&lt;"z"</f>
        <v>1</v>
      </c>
    </row>
    <row r="626" spans="1:1" x14ac:dyDescent="0.35">
      <c r="A626" t="b">
        <f>"e"&lt;"Ω"</f>
        <v>1</v>
      </c>
    </row>
    <row r="627" spans="1:1" x14ac:dyDescent="0.35">
      <c r="A627" t="b">
        <f>"e"&lt;"ω"</f>
        <v>1</v>
      </c>
    </row>
    <row r="628" spans="1:1" x14ac:dyDescent="0.35">
      <c r="A628" t="b">
        <f>"f"&lt;"a"</f>
        <v>0</v>
      </c>
    </row>
    <row r="629" spans="1:1" x14ac:dyDescent="0.35">
      <c r="A629" t="b">
        <f>"f"&lt;"A"</f>
        <v>0</v>
      </c>
    </row>
    <row r="630" spans="1:1" x14ac:dyDescent="0.35">
      <c r="A630" t="b">
        <f>"f"&lt;"b"</f>
        <v>0</v>
      </c>
    </row>
    <row r="631" spans="1:1" x14ac:dyDescent="0.35">
      <c r="A631" t="b">
        <f>"f"&lt;"B"</f>
        <v>0</v>
      </c>
    </row>
    <row r="632" spans="1:1" x14ac:dyDescent="0.35">
      <c r="A632" t="b">
        <f>"f"&lt;""</f>
        <v>0</v>
      </c>
    </row>
    <row r="633" spans="1:1" x14ac:dyDescent="0.35">
      <c r="A633" t="b">
        <f>"f"&lt;" "</f>
        <v>0</v>
      </c>
    </row>
    <row r="634" spans="1:1" x14ac:dyDescent="0.35">
      <c r="A634" t="b">
        <f>"f"&lt;"ab"</f>
        <v>0</v>
      </c>
    </row>
    <row r="635" spans="1:1" x14ac:dyDescent="0.35">
      <c r="A635" t="b">
        <f>"f"&lt;"a b"</f>
        <v>0</v>
      </c>
    </row>
    <row r="636" spans="1:1" x14ac:dyDescent="0.35">
      <c r="A636" t="b">
        <f>"f"&lt;"a-b"</f>
        <v>0</v>
      </c>
    </row>
    <row r="637" spans="1:1" x14ac:dyDescent="0.35">
      <c r="A637" t="b">
        <f>"f"&lt;"a'b"</f>
        <v>0</v>
      </c>
    </row>
    <row r="638" spans="1:1" x14ac:dyDescent="0.35">
      <c r="A638" t="b">
        <f>"f"&lt;"co-op"</f>
        <v>0</v>
      </c>
    </row>
    <row r="639" spans="1:1" x14ac:dyDescent="0.35">
      <c r="A639" t="b">
        <f>"f"&lt;"coop"</f>
        <v>0</v>
      </c>
    </row>
    <row r="640" spans="1:1" x14ac:dyDescent="0.35">
      <c r="A640" t="b">
        <f>"f"&lt;"cop"</f>
        <v>0</v>
      </c>
    </row>
    <row r="641" spans="1:1" x14ac:dyDescent="0.35">
      <c r="A641" t="b">
        <f>"f"&lt;"ß"</f>
        <v>1</v>
      </c>
    </row>
    <row r="642" spans="1:1" x14ac:dyDescent="0.35">
      <c r="A642" t="b">
        <f>"f"&lt;"ss"</f>
        <v>1</v>
      </c>
    </row>
    <row r="643" spans="1:1" x14ac:dyDescent="0.35">
      <c r="A643" t="b">
        <f>"f"&lt;"æ"</f>
        <v>0</v>
      </c>
    </row>
    <row r="644" spans="1:1" x14ac:dyDescent="0.35">
      <c r="A644" t="b">
        <f>"f"&lt;"ae"</f>
        <v>0</v>
      </c>
    </row>
    <row r="645" spans="1:1" x14ac:dyDescent="0.35">
      <c r="A645" t="b">
        <f>"f"&lt;"é"</f>
        <v>0</v>
      </c>
    </row>
    <row r="646" spans="1:1" x14ac:dyDescent="0.35">
      <c r="A646" t="b">
        <f>"f"&lt;"e"</f>
        <v>0</v>
      </c>
    </row>
    <row r="647" spans="1:1" x14ac:dyDescent="0.35">
      <c r="A647" t="b">
        <f>"f"&lt;"f"</f>
        <v>0</v>
      </c>
    </row>
    <row r="648" spans="1:1" x14ac:dyDescent="0.35">
      <c r="A648" t="b">
        <f>"f"&lt;"É"</f>
        <v>0</v>
      </c>
    </row>
    <row r="649" spans="1:1" x14ac:dyDescent="0.35">
      <c r="A649" t="b">
        <f>"f"&lt;"1"</f>
        <v>0</v>
      </c>
    </row>
    <row r="650" spans="1:1" x14ac:dyDescent="0.35">
      <c r="A650" t="b">
        <f>"f"&lt;"10"</f>
        <v>0</v>
      </c>
    </row>
    <row r="651" spans="1:1" x14ac:dyDescent="0.35">
      <c r="A651" t="b">
        <f>"f"&lt;"9"</f>
        <v>0</v>
      </c>
    </row>
    <row r="652" spans="1:1" x14ac:dyDescent="0.35">
      <c r="A652" t="b">
        <f>"f"&lt;"a1"</f>
        <v>0</v>
      </c>
    </row>
    <row r="653" spans="1:1" x14ac:dyDescent="0.35">
      <c r="A653" t="b">
        <f>"f"&lt;"a10"</f>
        <v>0</v>
      </c>
    </row>
    <row r="654" spans="1:1" x14ac:dyDescent="0.35">
      <c r="A654" t="b">
        <f>"f"&lt;"a2"</f>
        <v>0</v>
      </c>
    </row>
    <row r="655" spans="1:1" x14ac:dyDescent="0.35">
      <c r="A655" t="b">
        <f>"f"&lt;"_"</f>
        <v>0</v>
      </c>
    </row>
    <row r="656" spans="1:1" x14ac:dyDescent="0.35">
      <c r="A656" t="b">
        <f>"f"&lt;"-"</f>
        <v>0</v>
      </c>
    </row>
    <row r="657" spans="1:1" x14ac:dyDescent="0.35">
      <c r="A657" t="b">
        <f>"f"&lt;"~"</f>
        <v>0</v>
      </c>
    </row>
    <row r="658" spans="1:1" x14ac:dyDescent="0.35">
      <c r="A658" t="b">
        <f>"f"&lt;"z"</f>
        <v>1</v>
      </c>
    </row>
    <row r="659" spans="1:1" x14ac:dyDescent="0.35">
      <c r="A659" t="b">
        <f>"f"&lt;"Ω"</f>
        <v>1</v>
      </c>
    </row>
    <row r="660" spans="1:1" x14ac:dyDescent="0.35">
      <c r="A660" t="b">
        <f>"f"&lt;"ω"</f>
        <v>1</v>
      </c>
    </row>
    <row r="661" spans="1:1" x14ac:dyDescent="0.35">
      <c r="A661" t="b">
        <f>"É"&lt;"a"</f>
        <v>0</v>
      </c>
    </row>
    <row r="662" spans="1:1" x14ac:dyDescent="0.35">
      <c r="A662" t="b">
        <f>"É"&lt;"A"</f>
        <v>0</v>
      </c>
    </row>
    <row r="663" spans="1:1" x14ac:dyDescent="0.35">
      <c r="A663" t="b">
        <f>"É"&lt;"b"</f>
        <v>0</v>
      </c>
    </row>
    <row r="664" spans="1:1" x14ac:dyDescent="0.35">
      <c r="A664" t="b">
        <f>"É"&lt;"B"</f>
        <v>0</v>
      </c>
    </row>
    <row r="665" spans="1:1" x14ac:dyDescent="0.35">
      <c r="A665" t="b">
        <f>"É"&lt;""</f>
        <v>0</v>
      </c>
    </row>
    <row r="666" spans="1:1" x14ac:dyDescent="0.35">
      <c r="A666" t="b">
        <f>"É"&lt;" "</f>
        <v>0</v>
      </c>
    </row>
    <row r="667" spans="1:1" x14ac:dyDescent="0.35">
      <c r="A667" t="b">
        <f>"É"&lt;"ab"</f>
        <v>0</v>
      </c>
    </row>
    <row r="668" spans="1:1" x14ac:dyDescent="0.35">
      <c r="A668" t="b">
        <f>"É"&lt;"a b"</f>
        <v>0</v>
      </c>
    </row>
    <row r="669" spans="1:1" x14ac:dyDescent="0.35">
      <c r="A669" t="b">
        <f>"É"&lt;"a-b"</f>
        <v>0</v>
      </c>
    </row>
    <row r="670" spans="1:1" x14ac:dyDescent="0.35">
      <c r="A670" t="b">
        <f>"É"&lt;"a'b"</f>
        <v>0</v>
      </c>
    </row>
    <row r="671" spans="1:1" x14ac:dyDescent="0.35">
      <c r="A671" t="b">
        <f>"É"&lt;"co-op"</f>
        <v>0</v>
      </c>
    </row>
    <row r="672" spans="1:1" x14ac:dyDescent="0.35">
      <c r="A672" t="b">
        <f>"É"&lt;"coop"</f>
        <v>0</v>
      </c>
    </row>
    <row r="673" spans="1:1" x14ac:dyDescent="0.35">
      <c r="A673" t="b">
        <f>"É"&lt;"cop"</f>
        <v>0</v>
      </c>
    </row>
    <row r="674" spans="1:1" x14ac:dyDescent="0.35">
      <c r="A674" t="b">
        <f>"É"&lt;"ß"</f>
        <v>1</v>
      </c>
    </row>
    <row r="675" spans="1:1" x14ac:dyDescent="0.35">
      <c r="A675" t="b">
        <f>"É"&lt;"ss"</f>
        <v>1</v>
      </c>
    </row>
    <row r="676" spans="1:1" x14ac:dyDescent="0.35">
      <c r="A676" t="b">
        <f>"É"&lt;"æ"</f>
        <v>0</v>
      </c>
    </row>
    <row r="677" spans="1:1" x14ac:dyDescent="0.35">
      <c r="A677" t="b">
        <f>"É"&lt;"ae"</f>
        <v>0</v>
      </c>
    </row>
    <row r="678" spans="1:1" x14ac:dyDescent="0.35">
      <c r="A678" t="b">
        <f>"É"&lt;"é"</f>
        <v>0</v>
      </c>
    </row>
    <row r="679" spans="1:1" x14ac:dyDescent="0.35">
      <c r="A679" t="b">
        <f>"É"&lt;"e"</f>
        <v>0</v>
      </c>
    </row>
    <row r="680" spans="1:1" x14ac:dyDescent="0.35">
      <c r="A680" t="b">
        <f>"É"&lt;"f"</f>
        <v>1</v>
      </c>
    </row>
    <row r="681" spans="1:1" x14ac:dyDescent="0.35">
      <c r="A681" t="b">
        <f>"É"&lt;"É"</f>
        <v>0</v>
      </c>
    </row>
    <row r="682" spans="1:1" x14ac:dyDescent="0.35">
      <c r="A682" t="b">
        <f>"É"&lt;"1"</f>
        <v>0</v>
      </c>
    </row>
    <row r="683" spans="1:1" x14ac:dyDescent="0.35">
      <c r="A683" t="b">
        <f>"É"&lt;"10"</f>
        <v>0</v>
      </c>
    </row>
    <row r="684" spans="1:1" x14ac:dyDescent="0.35">
      <c r="A684" t="b">
        <f>"É"&lt;"9"</f>
        <v>0</v>
      </c>
    </row>
    <row r="685" spans="1:1" x14ac:dyDescent="0.35">
      <c r="A685" t="b">
        <f>"É"&lt;"a1"</f>
        <v>0</v>
      </c>
    </row>
    <row r="686" spans="1:1" x14ac:dyDescent="0.35">
      <c r="A686" t="b">
        <f>"É"&lt;"a10"</f>
        <v>0</v>
      </c>
    </row>
    <row r="687" spans="1:1" x14ac:dyDescent="0.35">
      <c r="A687" t="b">
        <f>"É"&lt;"a2"</f>
        <v>0</v>
      </c>
    </row>
    <row r="688" spans="1:1" x14ac:dyDescent="0.35">
      <c r="A688" t="b">
        <f>"É"&lt;"_"</f>
        <v>0</v>
      </c>
    </row>
    <row r="689" spans="1:1" x14ac:dyDescent="0.35">
      <c r="A689" t="b">
        <f>"É"&lt;"-"</f>
        <v>0</v>
      </c>
    </row>
    <row r="690" spans="1:1" x14ac:dyDescent="0.35">
      <c r="A690" t="b">
        <f>"É"&lt;"~"</f>
        <v>0</v>
      </c>
    </row>
    <row r="691" spans="1:1" x14ac:dyDescent="0.35">
      <c r="A691" t="b">
        <f>"É"&lt;"z"</f>
        <v>1</v>
      </c>
    </row>
    <row r="692" spans="1:1" x14ac:dyDescent="0.35">
      <c r="A692" t="b">
        <f>"É"&lt;"Ω"</f>
        <v>1</v>
      </c>
    </row>
    <row r="693" spans="1:1" x14ac:dyDescent="0.35">
      <c r="A693" t="b">
        <f>"É"&lt;"ω"</f>
        <v>1</v>
      </c>
    </row>
    <row r="694" spans="1:1" x14ac:dyDescent="0.35">
      <c r="A694" t="b">
        <f>"1"&lt;"a"</f>
        <v>1</v>
      </c>
    </row>
    <row r="695" spans="1:1" x14ac:dyDescent="0.35">
      <c r="A695" t="b">
        <f>"1"&lt;"A"</f>
        <v>1</v>
      </c>
    </row>
    <row r="696" spans="1:1" x14ac:dyDescent="0.35">
      <c r="A696" t="b">
        <f>"1"&lt;"b"</f>
        <v>1</v>
      </c>
    </row>
    <row r="697" spans="1:1" x14ac:dyDescent="0.35">
      <c r="A697" t="b">
        <f>"1"&lt;"B"</f>
        <v>1</v>
      </c>
    </row>
    <row r="698" spans="1:1" x14ac:dyDescent="0.35">
      <c r="A698" t="b">
        <f>"1"&lt;""</f>
        <v>0</v>
      </c>
    </row>
    <row r="699" spans="1:1" x14ac:dyDescent="0.35">
      <c r="A699" t="b">
        <f>"1"&lt;" "</f>
        <v>0</v>
      </c>
    </row>
    <row r="700" spans="1:1" x14ac:dyDescent="0.35">
      <c r="A700" t="b">
        <f>"1"&lt;"ab"</f>
        <v>1</v>
      </c>
    </row>
    <row r="701" spans="1:1" x14ac:dyDescent="0.35">
      <c r="A701" t="b">
        <f>"1"&lt;"a b"</f>
        <v>1</v>
      </c>
    </row>
    <row r="702" spans="1:1" x14ac:dyDescent="0.35">
      <c r="A702" t="b">
        <f>"1"&lt;"a-b"</f>
        <v>1</v>
      </c>
    </row>
    <row r="703" spans="1:1" x14ac:dyDescent="0.35">
      <c r="A703" t="b">
        <f>"1"&lt;"a'b"</f>
        <v>1</v>
      </c>
    </row>
    <row r="704" spans="1:1" x14ac:dyDescent="0.35">
      <c r="A704" t="b">
        <f>"1"&lt;"co-op"</f>
        <v>1</v>
      </c>
    </row>
    <row r="705" spans="1:1" x14ac:dyDescent="0.35">
      <c r="A705" t="b">
        <f>"1"&lt;"coop"</f>
        <v>1</v>
      </c>
    </row>
    <row r="706" spans="1:1" x14ac:dyDescent="0.35">
      <c r="A706" t="b">
        <f>"1"&lt;"cop"</f>
        <v>1</v>
      </c>
    </row>
    <row r="707" spans="1:1" x14ac:dyDescent="0.35">
      <c r="A707" t="b">
        <f>"1"&lt;"ß"</f>
        <v>1</v>
      </c>
    </row>
    <row r="708" spans="1:1" x14ac:dyDescent="0.35">
      <c r="A708" t="b">
        <f>"1"&lt;"ss"</f>
        <v>1</v>
      </c>
    </row>
    <row r="709" spans="1:1" x14ac:dyDescent="0.35">
      <c r="A709" t="b">
        <f>"1"&lt;"æ"</f>
        <v>1</v>
      </c>
    </row>
    <row r="710" spans="1:1" x14ac:dyDescent="0.35">
      <c r="A710" t="b">
        <f>"1"&lt;"ae"</f>
        <v>1</v>
      </c>
    </row>
    <row r="711" spans="1:1" x14ac:dyDescent="0.35">
      <c r="A711" t="b">
        <f>"1"&lt;"é"</f>
        <v>1</v>
      </c>
    </row>
    <row r="712" spans="1:1" x14ac:dyDescent="0.35">
      <c r="A712" t="b">
        <f>"1"&lt;"e"</f>
        <v>1</v>
      </c>
    </row>
    <row r="713" spans="1:1" x14ac:dyDescent="0.35">
      <c r="A713" t="b">
        <f>"1"&lt;"f"</f>
        <v>1</v>
      </c>
    </row>
    <row r="714" spans="1:1" x14ac:dyDescent="0.35">
      <c r="A714" t="b">
        <f>"1"&lt;"É"</f>
        <v>1</v>
      </c>
    </row>
    <row r="715" spans="1:1" x14ac:dyDescent="0.35">
      <c r="A715" t="b">
        <f>"1"&lt;"1"</f>
        <v>0</v>
      </c>
    </row>
    <row r="716" spans="1:1" x14ac:dyDescent="0.35">
      <c r="A716" t="b">
        <f>"1"&lt;"10"</f>
        <v>1</v>
      </c>
    </row>
    <row r="717" spans="1:1" x14ac:dyDescent="0.35">
      <c r="A717" t="b">
        <f>"1"&lt;"9"</f>
        <v>1</v>
      </c>
    </row>
    <row r="718" spans="1:1" x14ac:dyDescent="0.35">
      <c r="A718" t="b">
        <f>"1"&lt;"a1"</f>
        <v>1</v>
      </c>
    </row>
    <row r="719" spans="1:1" x14ac:dyDescent="0.35">
      <c r="A719" t="b">
        <f>"1"&lt;"a10"</f>
        <v>1</v>
      </c>
    </row>
    <row r="720" spans="1:1" x14ac:dyDescent="0.35">
      <c r="A720" t="b">
        <f>"1"&lt;"a2"</f>
        <v>1</v>
      </c>
    </row>
    <row r="721" spans="1:1" x14ac:dyDescent="0.35">
      <c r="A721" t="b">
        <f>"1"&lt;"_"</f>
        <v>0</v>
      </c>
    </row>
    <row r="722" spans="1:1" x14ac:dyDescent="0.35">
      <c r="A722" t="b">
        <f>"1"&lt;"-"</f>
        <v>0</v>
      </c>
    </row>
    <row r="723" spans="1:1" x14ac:dyDescent="0.35">
      <c r="A723" t="b">
        <f>"1"&lt;"~"</f>
        <v>0</v>
      </c>
    </row>
    <row r="724" spans="1:1" x14ac:dyDescent="0.35">
      <c r="A724" t="b">
        <f>"1"&lt;"z"</f>
        <v>1</v>
      </c>
    </row>
    <row r="725" spans="1:1" x14ac:dyDescent="0.35">
      <c r="A725" t="b">
        <f>"1"&lt;"Ω"</f>
        <v>1</v>
      </c>
    </row>
    <row r="726" spans="1:1" x14ac:dyDescent="0.35">
      <c r="A726" t="b">
        <f>"1"&lt;"ω"</f>
        <v>1</v>
      </c>
    </row>
    <row r="727" spans="1:1" x14ac:dyDescent="0.35">
      <c r="A727" t="b">
        <f>"10"&lt;"a"</f>
        <v>1</v>
      </c>
    </row>
    <row r="728" spans="1:1" x14ac:dyDescent="0.35">
      <c r="A728" t="b">
        <f>"10"&lt;"A"</f>
        <v>1</v>
      </c>
    </row>
    <row r="729" spans="1:1" x14ac:dyDescent="0.35">
      <c r="A729" t="b">
        <f>"10"&lt;"b"</f>
        <v>1</v>
      </c>
    </row>
    <row r="730" spans="1:1" x14ac:dyDescent="0.35">
      <c r="A730" t="b">
        <f>"10"&lt;"B"</f>
        <v>1</v>
      </c>
    </row>
    <row r="731" spans="1:1" x14ac:dyDescent="0.35">
      <c r="A731" t="b">
        <f>"10"&lt;""</f>
        <v>0</v>
      </c>
    </row>
    <row r="732" spans="1:1" x14ac:dyDescent="0.35">
      <c r="A732" t="b">
        <f>"10"&lt;" "</f>
        <v>0</v>
      </c>
    </row>
    <row r="733" spans="1:1" x14ac:dyDescent="0.35">
      <c r="A733" t="b">
        <f>"10"&lt;"ab"</f>
        <v>1</v>
      </c>
    </row>
    <row r="734" spans="1:1" x14ac:dyDescent="0.35">
      <c r="A734" t="b">
        <f>"10"&lt;"a b"</f>
        <v>1</v>
      </c>
    </row>
    <row r="735" spans="1:1" x14ac:dyDescent="0.35">
      <c r="A735" t="b">
        <f>"10"&lt;"a-b"</f>
        <v>1</v>
      </c>
    </row>
    <row r="736" spans="1:1" x14ac:dyDescent="0.35">
      <c r="A736" t="b">
        <f>"10"&lt;"a'b"</f>
        <v>1</v>
      </c>
    </row>
    <row r="737" spans="1:1" x14ac:dyDescent="0.35">
      <c r="A737" t="b">
        <f>"10"&lt;"co-op"</f>
        <v>1</v>
      </c>
    </row>
    <row r="738" spans="1:1" x14ac:dyDescent="0.35">
      <c r="A738" t="b">
        <f>"10"&lt;"coop"</f>
        <v>1</v>
      </c>
    </row>
    <row r="739" spans="1:1" x14ac:dyDescent="0.35">
      <c r="A739" t="b">
        <f>"10"&lt;"cop"</f>
        <v>1</v>
      </c>
    </row>
    <row r="740" spans="1:1" x14ac:dyDescent="0.35">
      <c r="A740" t="b">
        <f>"10"&lt;"ß"</f>
        <v>1</v>
      </c>
    </row>
    <row r="741" spans="1:1" x14ac:dyDescent="0.35">
      <c r="A741" t="b">
        <f>"10"&lt;"ss"</f>
        <v>1</v>
      </c>
    </row>
    <row r="742" spans="1:1" x14ac:dyDescent="0.35">
      <c r="A742" t="b">
        <f>"10"&lt;"æ"</f>
        <v>1</v>
      </c>
    </row>
    <row r="743" spans="1:1" x14ac:dyDescent="0.35">
      <c r="A743" t="b">
        <f>"10"&lt;"ae"</f>
        <v>1</v>
      </c>
    </row>
    <row r="744" spans="1:1" x14ac:dyDescent="0.35">
      <c r="A744" t="b">
        <f>"10"&lt;"é"</f>
        <v>1</v>
      </c>
    </row>
    <row r="745" spans="1:1" x14ac:dyDescent="0.35">
      <c r="A745" t="b">
        <f>"10"&lt;"e"</f>
        <v>1</v>
      </c>
    </row>
    <row r="746" spans="1:1" x14ac:dyDescent="0.35">
      <c r="A746" t="b">
        <f>"10"&lt;"f"</f>
        <v>1</v>
      </c>
    </row>
    <row r="747" spans="1:1" x14ac:dyDescent="0.35">
      <c r="A747" t="b">
        <f>"10"&lt;"É"</f>
        <v>1</v>
      </c>
    </row>
    <row r="748" spans="1:1" x14ac:dyDescent="0.35">
      <c r="A748" t="b">
        <f>"10"&lt;"1"</f>
        <v>0</v>
      </c>
    </row>
    <row r="749" spans="1:1" x14ac:dyDescent="0.35">
      <c r="A749" t="b">
        <f>"10"&lt;"10"</f>
        <v>0</v>
      </c>
    </row>
    <row r="750" spans="1:1" x14ac:dyDescent="0.35">
      <c r="A750" t="b">
        <f>"10"&lt;"9"</f>
        <v>1</v>
      </c>
    </row>
    <row r="751" spans="1:1" x14ac:dyDescent="0.35">
      <c r="A751" t="b">
        <f>"10"&lt;"a1"</f>
        <v>1</v>
      </c>
    </row>
    <row r="752" spans="1:1" x14ac:dyDescent="0.35">
      <c r="A752" t="b">
        <f>"10"&lt;"a10"</f>
        <v>1</v>
      </c>
    </row>
    <row r="753" spans="1:1" x14ac:dyDescent="0.35">
      <c r="A753" t="b">
        <f>"10"&lt;"a2"</f>
        <v>1</v>
      </c>
    </row>
    <row r="754" spans="1:1" x14ac:dyDescent="0.35">
      <c r="A754" t="b">
        <f>"10"&lt;"_"</f>
        <v>0</v>
      </c>
    </row>
    <row r="755" spans="1:1" x14ac:dyDescent="0.35">
      <c r="A755" t="b">
        <f>"10"&lt;"-"</f>
        <v>0</v>
      </c>
    </row>
    <row r="756" spans="1:1" x14ac:dyDescent="0.35">
      <c r="A756" t="b">
        <f>"10"&lt;"~"</f>
        <v>0</v>
      </c>
    </row>
    <row r="757" spans="1:1" x14ac:dyDescent="0.35">
      <c r="A757" t="b">
        <f>"10"&lt;"z"</f>
        <v>1</v>
      </c>
    </row>
    <row r="758" spans="1:1" x14ac:dyDescent="0.35">
      <c r="A758" t="b">
        <f>"10"&lt;"Ω"</f>
        <v>1</v>
      </c>
    </row>
    <row r="759" spans="1:1" x14ac:dyDescent="0.35">
      <c r="A759" t="b">
        <f>"10"&lt;"ω"</f>
        <v>1</v>
      </c>
    </row>
    <row r="760" spans="1:1" x14ac:dyDescent="0.35">
      <c r="A760" t="b">
        <f>"9"&lt;"a"</f>
        <v>1</v>
      </c>
    </row>
    <row r="761" spans="1:1" x14ac:dyDescent="0.35">
      <c r="A761" t="b">
        <f>"9"&lt;"A"</f>
        <v>1</v>
      </c>
    </row>
    <row r="762" spans="1:1" x14ac:dyDescent="0.35">
      <c r="A762" t="b">
        <f>"9"&lt;"b"</f>
        <v>1</v>
      </c>
    </row>
    <row r="763" spans="1:1" x14ac:dyDescent="0.35">
      <c r="A763" t="b">
        <f>"9"&lt;"B"</f>
        <v>1</v>
      </c>
    </row>
    <row r="764" spans="1:1" x14ac:dyDescent="0.35">
      <c r="A764" t="b">
        <f>"9"&lt;""</f>
        <v>0</v>
      </c>
    </row>
    <row r="765" spans="1:1" x14ac:dyDescent="0.35">
      <c r="A765" t="b">
        <f>"9"&lt;" "</f>
        <v>0</v>
      </c>
    </row>
    <row r="766" spans="1:1" x14ac:dyDescent="0.35">
      <c r="A766" t="b">
        <f>"9"&lt;"ab"</f>
        <v>1</v>
      </c>
    </row>
    <row r="767" spans="1:1" x14ac:dyDescent="0.35">
      <c r="A767" t="b">
        <f>"9"&lt;"a b"</f>
        <v>1</v>
      </c>
    </row>
    <row r="768" spans="1:1" x14ac:dyDescent="0.35">
      <c r="A768" t="b">
        <f>"9"&lt;"a-b"</f>
        <v>1</v>
      </c>
    </row>
    <row r="769" spans="1:1" x14ac:dyDescent="0.35">
      <c r="A769" t="b">
        <f>"9"&lt;"a'b"</f>
        <v>1</v>
      </c>
    </row>
    <row r="770" spans="1:1" x14ac:dyDescent="0.35">
      <c r="A770" t="b">
        <f>"9"&lt;"co-op"</f>
        <v>1</v>
      </c>
    </row>
    <row r="771" spans="1:1" x14ac:dyDescent="0.35">
      <c r="A771" t="b">
        <f>"9"&lt;"coop"</f>
        <v>1</v>
      </c>
    </row>
    <row r="772" spans="1:1" x14ac:dyDescent="0.35">
      <c r="A772" t="b">
        <f>"9"&lt;"cop"</f>
        <v>1</v>
      </c>
    </row>
    <row r="773" spans="1:1" x14ac:dyDescent="0.35">
      <c r="A773" t="b">
        <f>"9"&lt;"ß"</f>
        <v>1</v>
      </c>
    </row>
    <row r="774" spans="1:1" x14ac:dyDescent="0.35">
      <c r="A774" t="b">
        <f>"9"&lt;"ss"</f>
        <v>1</v>
      </c>
    </row>
    <row r="775" spans="1:1" x14ac:dyDescent="0.35">
      <c r="A775" t="b">
        <f>"9"&lt;"æ"</f>
        <v>1</v>
      </c>
    </row>
    <row r="776" spans="1:1" x14ac:dyDescent="0.35">
      <c r="A776" t="b">
        <f>"9"&lt;"ae"</f>
        <v>1</v>
      </c>
    </row>
    <row r="777" spans="1:1" x14ac:dyDescent="0.35">
      <c r="A777" t="b">
        <f>"9"&lt;"é"</f>
        <v>1</v>
      </c>
    </row>
    <row r="778" spans="1:1" x14ac:dyDescent="0.35">
      <c r="A778" t="b">
        <f>"9"&lt;"e"</f>
        <v>1</v>
      </c>
    </row>
    <row r="779" spans="1:1" x14ac:dyDescent="0.35">
      <c r="A779" t="b">
        <f>"9"&lt;"f"</f>
        <v>1</v>
      </c>
    </row>
    <row r="780" spans="1:1" x14ac:dyDescent="0.35">
      <c r="A780" t="b">
        <f>"9"&lt;"É"</f>
        <v>1</v>
      </c>
    </row>
    <row r="781" spans="1:1" x14ac:dyDescent="0.35">
      <c r="A781" t="b">
        <f>"9"&lt;"1"</f>
        <v>0</v>
      </c>
    </row>
    <row r="782" spans="1:1" x14ac:dyDescent="0.35">
      <c r="A782" t="b">
        <f>"9"&lt;"10"</f>
        <v>0</v>
      </c>
    </row>
    <row r="783" spans="1:1" x14ac:dyDescent="0.35">
      <c r="A783" t="b">
        <f>"9"&lt;"9"</f>
        <v>0</v>
      </c>
    </row>
    <row r="784" spans="1:1" x14ac:dyDescent="0.35">
      <c r="A784" t="b">
        <f>"9"&lt;"a1"</f>
        <v>1</v>
      </c>
    </row>
    <row r="785" spans="1:1" x14ac:dyDescent="0.35">
      <c r="A785" t="b">
        <f>"9"&lt;"a10"</f>
        <v>1</v>
      </c>
    </row>
    <row r="786" spans="1:1" x14ac:dyDescent="0.35">
      <c r="A786" t="b">
        <f>"9"&lt;"a2"</f>
        <v>1</v>
      </c>
    </row>
    <row r="787" spans="1:1" x14ac:dyDescent="0.35">
      <c r="A787" t="b">
        <f>"9"&lt;"_"</f>
        <v>0</v>
      </c>
    </row>
    <row r="788" spans="1:1" x14ac:dyDescent="0.35">
      <c r="A788" t="b">
        <f>"9"&lt;"-"</f>
        <v>0</v>
      </c>
    </row>
    <row r="789" spans="1:1" x14ac:dyDescent="0.35">
      <c r="A789" t="b">
        <f>"9"&lt;"~"</f>
        <v>0</v>
      </c>
    </row>
    <row r="790" spans="1:1" x14ac:dyDescent="0.35">
      <c r="A790" t="b">
        <f>"9"&lt;"z"</f>
        <v>1</v>
      </c>
    </row>
    <row r="791" spans="1:1" x14ac:dyDescent="0.35">
      <c r="A791" t="b">
        <f>"9"&lt;"Ω"</f>
        <v>1</v>
      </c>
    </row>
    <row r="792" spans="1:1" x14ac:dyDescent="0.35">
      <c r="A792" t="b">
        <f>"9"&lt;"ω"</f>
        <v>1</v>
      </c>
    </row>
    <row r="793" spans="1:1" x14ac:dyDescent="0.35">
      <c r="A793" t="b">
        <f>"a1"&lt;"a"</f>
        <v>0</v>
      </c>
    </row>
    <row r="794" spans="1:1" x14ac:dyDescent="0.35">
      <c r="A794" t="b">
        <f>"a1"&lt;"A"</f>
        <v>0</v>
      </c>
    </row>
    <row r="795" spans="1:1" x14ac:dyDescent="0.35">
      <c r="A795" t="b">
        <f>"a1"&lt;"b"</f>
        <v>1</v>
      </c>
    </row>
    <row r="796" spans="1:1" x14ac:dyDescent="0.35">
      <c r="A796" t="b">
        <f>"a1"&lt;"B"</f>
        <v>1</v>
      </c>
    </row>
    <row r="797" spans="1:1" x14ac:dyDescent="0.35">
      <c r="A797" t="b">
        <f>"a1"&lt;""</f>
        <v>0</v>
      </c>
    </row>
    <row r="798" spans="1:1" x14ac:dyDescent="0.35">
      <c r="A798" t="b">
        <f>"a1"&lt;" "</f>
        <v>0</v>
      </c>
    </row>
    <row r="799" spans="1:1" x14ac:dyDescent="0.35">
      <c r="A799" t="b">
        <f>"a1"&lt;"ab"</f>
        <v>1</v>
      </c>
    </row>
    <row r="800" spans="1:1" x14ac:dyDescent="0.35">
      <c r="A800" t="b">
        <f>"a1"&lt;"a b"</f>
        <v>0</v>
      </c>
    </row>
    <row r="801" spans="1:1" x14ac:dyDescent="0.35">
      <c r="A801" t="b">
        <f>"a1"&lt;"a-b"</f>
        <v>1</v>
      </c>
    </row>
    <row r="802" spans="1:1" x14ac:dyDescent="0.35">
      <c r="A802" t="b">
        <f>"a1"&lt;"a'b"</f>
        <v>1</v>
      </c>
    </row>
    <row r="803" spans="1:1" x14ac:dyDescent="0.35">
      <c r="A803" t="b">
        <f>"a1"&lt;"co-op"</f>
        <v>1</v>
      </c>
    </row>
    <row r="804" spans="1:1" x14ac:dyDescent="0.35">
      <c r="A804" t="b">
        <f>"a1"&lt;"coop"</f>
        <v>1</v>
      </c>
    </row>
    <row r="805" spans="1:1" x14ac:dyDescent="0.35">
      <c r="A805" t="b">
        <f>"a1"&lt;"cop"</f>
        <v>1</v>
      </c>
    </row>
    <row r="806" spans="1:1" x14ac:dyDescent="0.35">
      <c r="A806" t="b">
        <f>"a1"&lt;"ß"</f>
        <v>1</v>
      </c>
    </row>
    <row r="807" spans="1:1" x14ac:dyDescent="0.35">
      <c r="A807" t="b">
        <f>"a1"&lt;"ss"</f>
        <v>1</v>
      </c>
    </row>
    <row r="808" spans="1:1" x14ac:dyDescent="0.35">
      <c r="A808" t="b">
        <f>"a1"&lt;"æ"</f>
        <v>1</v>
      </c>
    </row>
    <row r="809" spans="1:1" x14ac:dyDescent="0.35">
      <c r="A809" t="b">
        <f>"a1"&lt;"ae"</f>
        <v>1</v>
      </c>
    </row>
    <row r="810" spans="1:1" x14ac:dyDescent="0.35">
      <c r="A810" t="b">
        <f>"a1"&lt;"é"</f>
        <v>1</v>
      </c>
    </row>
    <row r="811" spans="1:1" x14ac:dyDescent="0.35">
      <c r="A811" t="b">
        <f>"a1"&lt;"e"</f>
        <v>1</v>
      </c>
    </row>
    <row r="812" spans="1:1" x14ac:dyDescent="0.35">
      <c r="A812" t="b">
        <f>"a1"&lt;"f"</f>
        <v>1</v>
      </c>
    </row>
    <row r="813" spans="1:1" x14ac:dyDescent="0.35">
      <c r="A813" t="b">
        <f>"a1"&lt;"É"</f>
        <v>1</v>
      </c>
    </row>
    <row r="814" spans="1:1" x14ac:dyDescent="0.35">
      <c r="A814" t="b">
        <f>"a1"&lt;"1"</f>
        <v>0</v>
      </c>
    </row>
    <row r="815" spans="1:1" x14ac:dyDescent="0.35">
      <c r="A815" t="b">
        <f>"a1"&lt;"10"</f>
        <v>0</v>
      </c>
    </row>
    <row r="816" spans="1:1" x14ac:dyDescent="0.35">
      <c r="A816" t="b">
        <f>"a1"&lt;"9"</f>
        <v>0</v>
      </c>
    </row>
    <row r="817" spans="1:1" x14ac:dyDescent="0.35">
      <c r="A817" t="b">
        <f>"a1"&lt;"a1"</f>
        <v>0</v>
      </c>
    </row>
    <row r="818" spans="1:1" x14ac:dyDescent="0.35">
      <c r="A818" t="b">
        <f>"a1"&lt;"a10"</f>
        <v>1</v>
      </c>
    </row>
    <row r="819" spans="1:1" x14ac:dyDescent="0.35">
      <c r="A819" t="b">
        <f>"a1"&lt;"a2"</f>
        <v>1</v>
      </c>
    </row>
    <row r="820" spans="1:1" x14ac:dyDescent="0.35">
      <c r="A820" t="b">
        <f>"a1"&lt;"_"</f>
        <v>0</v>
      </c>
    </row>
    <row r="821" spans="1:1" x14ac:dyDescent="0.35">
      <c r="A821" t="b">
        <f>"a1"&lt;"-"</f>
        <v>0</v>
      </c>
    </row>
    <row r="822" spans="1:1" x14ac:dyDescent="0.35">
      <c r="A822" t="b">
        <f>"a1"&lt;"~"</f>
        <v>0</v>
      </c>
    </row>
    <row r="823" spans="1:1" x14ac:dyDescent="0.35">
      <c r="A823" t="b">
        <f>"a1"&lt;"z"</f>
        <v>1</v>
      </c>
    </row>
    <row r="824" spans="1:1" x14ac:dyDescent="0.35">
      <c r="A824" t="b">
        <f>"a1"&lt;"Ω"</f>
        <v>1</v>
      </c>
    </row>
    <row r="825" spans="1:1" x14ac:dyDescent="0.35">
      <c r="A825" t="b">
        <f>"a1"&lt;"ω"</f>
        <v>1</v>
      </c>
    </row>
    <row r="826" spans="1:1" x14ac:dyDescent="0.35">
      <c r="A826" t="b">
        <f>"a10"&lt;"a"</f>
        <v>0</v>
      </c>
    </row>
    <row r="827" spans="1:1" x14ac:dyDescent="0.35">
      <c r="A827" t="b">
        <f>"a10"&lt;"A"</f>
        <v>0</v>
      </c>
    </row>
    <row r="828" spans="1:1" x14ac:dyDescent="0.35">
      <c r="A828" t="b">
        <f>"a10"&lt;"b"</f>
        <v>1</v>
      </c>
    </row>
    <row r="829" spans="1:1" x14ac:dyDescent="0.35">
      <c r="A829" t="b">
        <f>"a10"&lt;"B"</f>
        <v>1</v>
      </c>
    </row>
    <row r="830" spans="1:1" x14ac:dyDescent="0.35">
      <c r="A830" t="b">
        <f>"a10"&lt;""</f>
        <v>0</v>
      </c>
    </row>
    <row r="831" spans="1:1" x14ac:dyDescent="0.35">
      <c r="A831" t="b">
        <f>"a10"&lt;" "</f>
        <v>0</v>
      </c>
    </row>
    <row r="832" spans="1:1" x14ac:dyDescent="0.35">
      <c r="A832" t="b">
        <f>"a10"&lt;"ab"</f>
        <v>1</v>
      </c>
    </row>
    <row r="833" spans="1:1" x14ac:dyDescent="0.35">
      <c r="A833" t="b">
        <f>"a10"&lt;"a b"</f>
        <v>0</v>
      </c>
    </row>
    <row r="834" spans="1:1" x14ac:dyDescent="0.35">
      <c r="A834" t="b">
        <f>"a10"&lt;"a-b"</f>
        <v>1</v>
      </c>
    </row>
    <row r="835" spans="1:1" x14ac:dyDescent="0.35">
      <c r="A835" t="b">
        <f>"a10"&lt;"a'b"</f>
        <v>1</v>
      </c>
    </row>
    <row r="836" spans="1:1" x14ac:dyDescent="0.35">
      <c r="A836" t="b">
        <f>"a10"&lt;"co-op"</f>
        <v>1</v>
      </c>
    </row>
    <row r="837" spans="1:1" x14ac:dyDescent="0.35">
      <c r="A837" t="b">
        <f>"a10"&lt;"coop"</f>
        <v>1</v>
      </c>
    </row>
    <row r="838" spans="1:1" x14ac:dyDescent="0.35">
      <c r="A838" t="b">
        <f>"a10"&lt;"cop"</f>
        <v>1</v>
      </c>
    </row>
    <row r="839" spans="1:1" x14ac:dyDescent="0.35">
      <c r="A839" t="b">
        <f>"a10"&lt;"ß"</f>
        <v>1</v>
      </c>
    </row>
    <row r="840" spans="1:1" x14ac:dyDescent="0.35">
      <c r="A840" t="b">
        <f>"a10"&lt;"ss"</f>
        <v>1</v>
      </c>
    </row>
    <row r="841" spans="1:1" x14ac:dyDescent="0.35">
      <c r="A841" t="b">
        <f>"a10"&lt;"æ"</f>
        <v>1</v>
      </c>
    </row>
    <row r="842" spans="1:1" x14ac:dyDescent="0.35">
      <c r="A842" t="b">
        <f>"a10"&lt;"ae"</f>
        <v>1</v>
      </c>
    </row>
    <row r="843" spans="1:1" x14ac:dyDescent="0.35">
      <c r="A843" t="b">
        <f>"a10"&lt;"é"</f>
        <v>1</v>
      </c>
    </row>
    <row r="844" spans="1:1" x14ac:dyDescent="0.35">
      <c r="A844" t="b">
        <f>"a10"&lt;"e"</f>
        <v>1</v>
      </c>
    </row>
    <row r="845" spans="1:1" x14ac:dyDescent="0.35">
      <c r="A845" t="b">
        <f>"a10"&lt;"f"</f>
        <v>1</v>
      </c>
    </row>
    <row r="846" spans="1:1" x14ac:dyDescent="0.35">
      <c r="A846" t="b">
        <f>"a10"&lt;"É"</f>
        <v>1</v>
      </c>
    </row>
    <row r="847" spans="1:1" x14ac:dyDescent="0.35">
      <c r="A847" t="b">
        <f>"a10"&lt;"1"</f>
        <v>0</v>
      </c>
    </row>
    <row r="848" spans="1:1" x14ac:dyDescent="0.35">
      <c r="A848" t="b">
        <f>"a10"&lt;"10"</f>
        <v>0</v>
      </c>
    </row>
    <row r="849" spans="1:1" x14ac:dyDescent="0.35">
      <c r="A849" t="b">
        <f>"a10"&lt;"9"</f>
        <v>0</v>
      </c>
    </row>
    <row r="850" spans="1:1" x14ac:dyDescent="0.35">
      <c r="A850" t="b">
        <f>"a10"&lt;"a1"</f>
        <v>0</v>
      </c>
    </row>
    <row r="851" spans="1:1" x14ac:dyDescent="0.35">
      <c r="A851" t="b">
        <f>"a10"&lt;"a10"</f>
        <v>0</v>
      </c>
    </row>
    <row r="852" spans="1:1" x14ac:dyDescent="0.35">
      <c r="A852" t="b">
        <f>"a10"&lt;"a2"</f>
        <v>1</v>
      </c>
    </row>
    <row r="853" spans="1:1" x14ac:dyDescent="0.35">
      <c r="A853" t="b">
        <f>"a10"&lt;"_"</f>
        <v>0</v>
      </c>
    </row>
    <row r="854" spans="1:1" x14ac:dyDescent="0.35">
      <c r="A854" t="b">
        <f>"a10"&lt;"-"</f>
        <v>0</v>
      </c>
    </row>
    <row r="855" spans="1:1" x14ac:dyDescent="0.35">
      <c r="A855" t="b">
        <f>"a10"&lt;"~"</f>
        <v>0</v>
      </c>
    </row>
    <row r="856" spans="1:1" x14ac:dyDescent="0.35">
      <c r="A856" t="b">
        <f>"a10"&lt;"z"</f>
        <v>1</v>
      </c>
    </row>
    <row r="857" spans="1:1" x14ac:dyDescent="0.35">
      <c r="A857" t="b">
        <f>"a10"&lt;"Ω"</f>
        <v>1</v>
      </c>
    </row>
    <row r="858" spans="1:1" x14ac:dyDescent="0.35">
      <c r="A858" t="b">
        <f>"a10"&lt;"ω"</f>
        <v>1</v>
      </c>
    </row>
    <row r="859" spans="1:1" x14ac:dyDescent="0.35">
      <c r="A859" t="b">
        <f>"a2"&lt;"a"</f>
        <v>0</v>
      </c>
    </row>
    <row r="860" spans="1:1" x14ac:dyDescent="0.35">
      <c r="A860" t="b">
        <f>"a2"&lt;"A"</f>
        <v>0</v>
      </c>
    </row>
    <row r="861" spans="1:1" x14ac:dyDescent="0.35">
      <c r="A861" t="b">
        <f>"a2"&lt;"b"</f>
        <v>1</v>
      </c>
    </row>
    <row r="862" spans="1:1" x14ac:dyDescent="0.35">
      <c r="A862" t="b">
        <f>"a2"&lt;"B"</f>
        <v>1</v>
      </c>
    </row>
    <row r="863" spans="1:1" x14ac:dyDescent="0.35">
      <c r="A863" t="b">
        <f>"a2"&lt;""</f>
        <v>0</v>
      </c>
    </row>
    <row r="864" spans="1:1" x14ac:dyDescent="0.35">
      <c r="A864" t="b">
        <f>"a2"&lt;" "</f>
        <v>0</v>
      </c>
    </row>
    <row r="865" spans="1:1" x14ac:dyDescent="0.35">
      <c r="A865" t="b">
        <f>"a2"&lt;"ab"</f>
        <v>1</v>
      </c>
    </row>
    <row r="866" spans="1:1" x14ac:dyDescent="0.35">
      <c r="A866" t="b">
        <f>"a2"&lt;"a b"</f>
        <v>0</v>
      </c>
    </row>
    <row r="867" spans="1:1" x14ac:dyDescent="0.35">
      <c r="A867" t="b">
        <f>"a2"&lt;"a-b"</f>
        <v>1</v>
      </c>
    </row>
    <row r="868" spans="1:1" x14ac:dyDescent="0.35">
      <c r="A868" t="b">
        <f>"a2"&lt;"a'b"</f>
        <v>1</v>
      </c>
    </row>
    <row r="869" spans="1:1" x14ac:dyDescent="0.35">
      <c r="A869" t="b">
        <f>"a2"&lt;"co-op"</f>
        <v>1</v>
      </c>
    </row>
    <row r="870" spans="1:1" x14ac:dyDescent="0.35">
      <c r="A870" t="b">
        <f>"a2"&lt;"coop"</f>
        <v>1</v>
      </c>
    </row>
    <row r="871" spans="1:1" x14ac:dyDescent="0.35">
      <c r="A871" t="b">
        <f>"a2"&lt;"cop"</f>
        <v>1</v>
      </c>
    </row>
    <row r="872" spans="1:1" x14ac:dyDescent="0.35">
      <c r="A872" t="b">
        <f>"a2"&lt;"ß"</f>
        <v>1</v>
      </c>
    </row>
    <row r="873" spans="1:1" x14ac:dyDescent="0.35">
      <c r="A873" t="b">
        <f>"a2"&lt;"ss"</f>
        <v>1</v>
      </c>
    </row>
    <row r="874" spans="1:1" x14ac:dyDescent="0.35">
      <c r="A874" t="b">
        <f>"a2"&lt;"æ"</f>
        <v>1</v>
      </c>
    </row>
    <row r="875" spans="1:1" x14ac:dyDescent="0.35">
      <c r="A875" t="b">
        <f>"a2"&lt;"ae"</f>
        <v>1</v>
      </c>
    </row>
    <row r="876" spans="1:1" x14ac:dyDescent="0.35">
      <c r="A876" t="b">
        <f>"a2"&lt;"é"</f>
        <v>1</v>
      </c>
    </row>
    <row r="877" spans="1:1" x14ac:dyDescent="0.35">
      <c r="A877" t="b">
        <f>"a2"&lt;"e"</f>
        <v>1</v>
      </c>
    </row>
    <row r="878" spans="1:1" x14ac:dyDescent="0.35">
      <c r="A878" t="b">
        <f>"a2"&lt;"f"</f>
        <v>1</v>
      </c>
    </row>
    <row r="879" spans="1:1" x14ac:dyDescent="0.35">
      <c r="A879" t="b">
        <f>"a2"&lt;"É"</f>
        <v>1</v>
      </c>
    </row>
    <row r="880" spans="1:1" x14ac:dyDescent="0.35">
      <c r="A880" t="b">
        <f>"a2"&lt;"1"</f>
        <v>0</v>
      </c>
    </row>
    <row r="881" spans="1:1" x14ac:dyDescent="0.35">
      <c r="A881" t="b">
        <f>"a2"&lt;"10"</f>
        <v>0</v>
      </c>
    </row>
    <row r="882" spans="1:1" x14ac:dyDescent="0.35">
      <c r="A882" t="b">
        <f>"a2"&lt;"9"</f>
        <v>0</v>
      </c>
    </row>
    <row r="883" spans="1:1" x14ac:dyDescent="0.35">
      <c r="A883" t="b">
        <f>"a2"&lt;"a1"</f>
        <v>0</v>
      </c>
    </row>
    <row r="884" spans="1:1" x14ac:dyDescent="0.35">
      <c r="A884" t="b">
        <f>"a2"&lt;"a10"</f>
        <v>0</v>
      </c>
    </row>
    <row r="885" spans="1:1" x14ac:dyDescent="0.35">
      <c r="A885" t="b">
        <f>"a2"&lt;"a2"</f>
        <v>0</v>
      </c>
    </row>
    <row r="886" spans="1:1" x14ac:dyDescent="0.35">
      <c r="A886" t="b">
        <f>"a2"&lt;"_"</f>
        <v>0</v>
      </c>
    </row>
    <row r="887" spans="1:1" x14ac:dyDescent="0.35">
      <c r="A887" t="b">
        <f>"a2"&lt;"-"</f>
        <v>0</v>
      </c>
    </row>
    <row r="888" spans="1:1" x14ac:dyDescent="0.35">
      <c r="A888" t="b">
        <f>"a2"&lt;"~"</f>
        <v>0</v>
      </c>
    </row>
    <row r="889" spans="1:1" x14ac:dyDescent="0.35">
      <c r="A889" t="b">
        <f>"a2"&lt;"z"</f>
        <v>1</v>
      </c>
    </row>
    <row r="890" spans="1:1" x14ac:dyDescent="0.35">
      <c r="A890" t="b">
        <f>"a2"&lt;"Ω"</f>
        <v>1</v>
      </c>
    </row>
    <row r="891" spans="1:1" x14ac:dyDescent="0.35">
      <c r="A891" t="b">
        <f>"a2"&lt;"ω"</f>
        <v>1</v>
      </c>
    </row>
    <row r="892" spans="1:1" x14ac:dyDescent="0.35">
      <c r="A892" t="b">
        <f>"_"&lt;"a"</f>
        <v>1</v>
      </c>
    </row>
    <row r="893" spans="1:1" x14ac:dyDescent="0.35">
      <c r="A893" t="b">
        <f>"_"&lt;"A"</f>
        <v>1</v>
      </c>
    </row>
    <row r="894" spans="1:1" x14ac:dyDescent="0.35">
      <c r="A894" t="b">
        <f>"_"&lt;"b"</f>
        <v>1</v>
      </c>
    </row>
    <row r="895" spans="1:1" x14ac:dyDescent="0.35">
      <c r="A895" t="b">
        <f>"_"&lt;"B"</f>
        <v>1</v>
      </c>
    </row>
    <row r="896" spans="1:1" x14ac:dyDescent="0.35">
      <c r="A896" t="b">
        <f>"_"&lt;""</f>
        <v>0</v>
      </c>
    </row>
    <row r="897" spans="1:1" x14ac:dyDescent="0.35">
      <c r="A897" t="b">
        <f>"_"&lt;" "</f>
        <v>0</v>
      </c>
    </row>
    <row r="898" spans="1:1" x14ac:dyDescent="0.35">
      <c r="A898" t="b">
        <f>"_"&lt;"ab"</f>
        <v>1</v>
      </c>
    </row>
    <row r="899" spans="1:1" x14ac:dyDescent="0.35">
      <c r="A899" t="b">
        <f>"_"&lt;"a b"</f>
        <v>1</v>
      </c>
    </row>
    <row r="900" spans="1:1" x14ac:dyDescent="0.35">
      <c r="A900" t="b">
        <f>"_"&lt;"a-b"</f>
        <v>1</v>
      </c>
    </row>
    <row r="901" spans="1:1" x14ac:dyDescent="0.35">
      <c r="A901" t="b">
        <f>"_"&lt;"a'b"</f>
        <v>1</v>
      </c>
    </row>
    <row r="902" spans="1:1" x14ac:dyDescent="0.35">
      <c r="A902" t="b">
        <f>"_"&lt;"co-op"</f>
        <v>1</v>
      </c>
    </row>
    <row r="903" spans="1:1" x14ac:dyDescent="0.35">
      <c r="A903" t="b">
        <f>"_"&lt;"coop"</f>
        <v>1</v>
      </c>
    </row>
    <row r="904" spans="1:1" x14ac:dyDescent="0.35">
      <c r="A904" t="b">
        <f>"_"&lt;"cop"</f>
        <v>1</v>
      </c>
    </row>
    <row r="905" spans="1:1" x14ac:dyDescent="0.35">
      <c r="A905" t="b">
        <f>"_"&lt;"ß"</f>
        <v>1</v>
      </c>
    </row>
    <row r="906" spans="1:1" x14ac:dyDescent="0.35">
      <c r="A906" t="b">
        <f>"_"&lt;"ss"</f>
        <v>1</v>
      </c>
    </row>
    <row r="907" spans="1:1" x14ac:dyDescent="0.35">
      <c r="A907" t="b">
        <f>"_"&lt;"æ"</f>
        <v>1</v>
      </c>
    </row>
    <row r="908" spans="1:1" x14ac:dyDescent="0.35">
      <c r="A908" t="b">
        <f>"_"&lt;"ae"</f>
        <v>1</v>
      </c>
    </row>
    <row r="909" spans="1:1" x14ac:dyDescent="0.35">
      <c r="A909" t="b">
        <f>"_"&lt;"é"</f>
        <v>1</v>
      </c>
    </row>
    <row r="910" spans="1:1" x14ac:dyDescent="0.35">
      <c r="A910" t="b">
        <f>"_"&lt;"e"</f>
        <v>1</v>
      </c>
    </row>
    <row r="911" spans="1:1" x14ac:dyDescent="0.35">
      <c r="A911" t="b">
        <f>"_"&lt;"f"</f>
        <v>1</v>
      </c>
    </row>
    <row r="912" spans="1:1" x14ac:dyDescent="0.35">
      <c r="A912" t="b">
        <f>"_"&lt;"É"</f>
        <v>1</v>
      </c>
    </row>
    <row r="913" spans="1:1" x14ac:dyDescent="0.35">
      <c r="A913" t="b">
        <f>"_"&lt;"1"</f>
        <v>1</v>
      </c>
    </row>
    <row r="914" spans="1:1" x14ac:dyDescent="0.35">
      <c r="A914" t="b">
        <f>"_"&lt;"10"</f>
        <v>1</v>
      </c>
    </row>
    <row r="915" spans="1:1" x14ac:dyDescent="0.35">
      <c r="A915" t="b">
        <f>"_"&lt;"9"</f>
        <v>1</v>
      </c>
    </row>
    <row r="916" spans="1:1" x14ac:dyDescent="0.35">
      <c r="A916" t="b">
        <f>"_"&lt;"a1"</f>
        <v>1</v>
      </c>
    </row>
    <row r="917" spans="1:1" x14ac:dyDescent="0.35">
      <c r="A917" t="b">
        <f>"_"&lt;"a10"</f>
        <v>1</v>
      </c>
    </row>
    <row r="918" spans="1:1" x14ac:dyDescent="0.35">
      <c r="A918" t="b">
        <f>"_"&lt;"a2"</f>
        <v>1</v>
      </c>
    </row>
    <row r="919" spans="1:1" x14ac:dyDescent="0.35">
      <c r="A919" t="b">
        <f>"_"&lt;"_"</f>
        <v>0</v>
      </c>
    </row>
    <row r="920" spans="1:1" x14ac:dyDescent="0.35">
      <c r="A920" t="b">
        <f>"_"&lt;"-"</f>
        <v>0</v>
      </c>
    </row>
    <row r="921" spans="1:1" x14ac:dyDescent="0.35">
      <c r="A921" t="b">
        <f>"_"&lt;"~"</f>
        <v>1</v>
      </c>
    </row>
    <row r="922" spans="1:1" x14ac:dyDescent="0.35">
      <c r="A922" t="b">
        <f>"_"&lt;"z"</f>
        <v>1</v>
      </c>
    </row>
    <row r="923" spans="1:1" x14ac:dyDescent="0.35">
      <c r="A923" t="b">
        <f>"_"&lt;"Ω"</f>
        <v>1</v>
      </c>
    </row>
    <row r="924" spans="1:1" x14ac:dyDescent="0.35">
      <c r="A924" t="b">
        <f>"_"&lt;"ω"</f>
        <v>1</v>
      </c>
    </row>
    <row r="925" spans="1:1" x14ac:dyDescent="0.35">
      <c r="A925" t="b">
        <f>"-"&lt;"a"</f>
        <v>1</v>
      </c>
    </row>
    <row r="926" spans="1:1" x14ac:dyDescent="0.35">
      <c r="A926" t="b">
        <f>"-"&lt;"A"</f>
        <v>1</v>
      </c>
    </row>
    <row r="927" spans="1:1" x14ac:dyDescent="0.35">
      <c r="A927" t="b">
        <f>"-"&lt;"b"</f>
        <v>1</v>
      </c>
    </row>
    <row r="928" spans="1:1" x14ac:dyDescent="0.35">
      <c r="A928" t="b">
        <f>"-"&lt;"B"</f>
        <v>1</v>
      </c>
    </row>
    <row r="929" spans="1:1" x14ac:dyDescent="0.35">
      <c r="A929" t="b">
        <f>"-"&lt;""</f>
        <v>0</v>
      </c>
    </row>
    <row r="930" spans="1:1" x14ac:dyDescent="0.35">
      <c r="A930" t="b">
        <f>"-"&lt;" "</f>
        <v>1</v>
      </c>
    </row>
    <row r="931" spans="1:1" x14ac:dyDescent="0.35">
      <c r="A931" t="b">
        <f>"-"&lt;"ab"</f>
        <v>1</v>
      </c>
    </row>
    <row r="932" spans="1:1" x14ac:dyDescent="0.35">
      <c r="A932" t="b">
        <f>"-"&lt;"a b"</f>
        <v>1</v>
      </c>
    </row>
    <row r="933" spans="1:1" x14ac:dyDescent="0.35">
      <c r="A933" t="b">
        <f>"-"&lt;"a-b"</f>
        <v>1</v>
      </c>
    </row>
    <row r="934" spans="1:1" x14ac:dyDescent="0.35">
      <c r="A934" t="b">
        <f>"-"&lt;"a'b"</f>
        <v>1</v>
      </c>
    </row>
    <row r="935" spans="1:1" x14ac:dyDescent="0.35">
      <c r="A935" t="b">
        <f>"-"&lt;"co-op"</f>
        <v>1</v>
      </c>
    </row>
    <row r="936" spans="1:1" x14ac:dyDescent="0.35">
      <c r="A936" t="b">
        <f>"-"&lt;"coop"</f>
        <v>1</v>
      </c>
    </row>
    <row r="937" spans="1:1" x14ac:dyDescent="0.35">
      <c r="A937" t="b">
        <f>"-"&lt;"cop"</f>
        <v>1</v>
      </c>
    </row>
    <row r="938" spans="1:1" x14ac:dyDescent="0.35">
      <c r="A938" t="b">
        <f>"-"&lt;"ß"</f>
        <v>1</v>
      </c>
    </row>
    <row r="939" spans="1:1" x14ac:dyDescent="0.35">
      <c r="A939" t="b">
        <f>"-"&lt;"ss"</f>
        <v>1</v>
      </c>
    </row>
    <row r="940" spans="1:1" x14ac:dyDescent="0.35">
      <c r="A940" t="b">
        <f>"-"&lt;"æ"</f>
        <v>1</v>
      </c>
    </row>
    <row r="941" spans="1:1" x14ac:dyDescent="0.35">
      <c r="A941" t="b">
        <f>"-"&lt;"ae"</f>
        <v>1</v>
      </c>
    </row>
    <row r="942" spans="1:1" x14ac:dyDescent="0.35">
      <c r="A942" t="b">
        <f>"-"&lt;"é"</f>
        <v>1</v>
      </c>
    </row>
    <row r="943" spans="1:1" x14ac:dyDescent="0.35">
      <c r="A943" t="b">
        <f>"-"&lt;"e"</f>
        <v>1</v>
      </c>
    </row>
    <row r="944" spans="1:1" x14ac:dyDescent="0.35">
      <c r="A944" t="b">
        <f>"-"&lt;"f"</f>
        <v>1</v>
      </c>
    </row>
    <row r="945" spans="1:1" x14ac:dyDescent="0.35">
      <c r="A945" t="b">
        <f>"-"&lt;"É"</f>
        <v>1</v>
      </c>
    </row>
    <row r="946" spans="1:1" x14ac:dyDescent="0.35">
      <c r="A946" t="b">
        <f>"-"&lt;"1"</f>
        <v>1</v>
      </c>
    </row>
    <row r="947" spans="1:1" x14ac:dyDescent="0.35">
      <c r="A947" t="b">
        <f>"-"&lt;"10"</f>
        <v>1</v>
      </c>
    </row>
    <row r="948" spans="1:1" x14ac:dyDescent="0.35">
      <c r="A948" t="b">
        <f>"-"&lt;"9"</f>
        <v>1</v>
      </c>
    </row>
    <row r="949" spans="1:1" x14ac:dyDescent="0.35">
      <c r="A949" t="b">
        <f>"-"&lt;"a1"</f>
        <v>1</v>
      </c>
    </row>
    <row r="950" spans="1:1" x14ac:dyDescent="0.35">
      <c r="A950" t="b">
        <f>"-"&lt;"a10"</f>
        <v>1</v>
      </c>
    </row>
    <row r="951" spans="1:1" x14ac:dyDescent="0.35">
      <c r="A951" t="b">
        <f>"-"&lt;"a2"</f>
        <v>1</v>
      </c>
    </row>
    <row r="952" spans="1:1" x14ac:dyDescent="0.35">
      <c r="A952" t="b">
        <f>"-"&lt;"_"</f>
        <v>1</v>
      </c>
    </row>
    <row r="953" spans="1:1" x14ac:dyDescent="0.35">
      <c r="A953" t="b">
        <f>"-"&lt;"-"</f>
        <v>0</v>
      </c>
    </row>
    <row r="954" spans="1:1" x14ac:dyDescent="0.35">
      <c r="A954" t="b">
        <f>"-"&lt;"~"</f>
        <v>1</v>
      </c>
    </row>
    <row r="955" spans="1:1" x14ac:dyDescent="0.35">
      <c r="A955" t="b">
        <f>"-"&lt;"z"</f>
        <v>1</v>
      </c>
    </row>
    <row r="956" spans="1:1" x14ac:dyDescent="0.35">
      <c r="A956" t="b">
        <f>"-"&lt;"Ω"</f>
        <v>1</v>
      </c>
    </row>
    <row r="957" spans="1:1" x14ac:dyDescent="0.35">
      <c r="A957" t="b">
        <f>"-"&lt;"ω"</f>
        <v>1</v>
      </c>
    </row>
    <row r="958" spans="1:1" x14ac:dyDescent="0.35">
      <c r="A958" t="b">
        <f>"~"&lt;"a"</f>
        <v>1</v>
      </c>
    </row>
    <row r="959" spans="1:1" x14ac:dyDescent="0.35">
      <c r="A959" t="b">
        <f>"~"&lt;"A"</f>
        <v>1</v>
      </c>
    </row>
    <row r="960" spans="1:1" x14ac:dyDescent="0.35">
      <c r="A960" t="b">
        <f>"~"&lt;"b"</f>
        <v>1</v>
      </c>
    </row>
    <row r="961" spans="1:1" x14ac:dyDescent="0.35">
      <c r="A961" t="b">
        <f>"~"&lt;"B"</f>
        <v>1</v>
      </c>
    </row>
    <row r="962" spans="1:1" x14ac:dyDescent="0.35">
      <c r="A962" t="b">
        <f>"~"&lt;""</f>
        <v>0</v>
      </c>
    </row>
    <row r="963" spans="1:1" x14ac:dyDescent="0.35">
      <c r="A963" t="b">
        <f>"~"&lt;" "</f>
        <v>0</v>
      </c>
    </row>
    <row r="964" spans="1:1" x14ac:dyDescent="0.35">
      <c r="A964" t="b">
        <f>"~"&lt;"ab"</f>
        <v>1</v>
      </c>
    </row>
    <row r="965" spans="1:1" x14ac:dyDescent="0.35">
      <c r="A965" t="b">
        <f>"~"&lt;"a b"</f>
        <v>1</v>
      </c>
    </row>
    <row r="966" spans="1:1" x14ac:dyDescent="0.35">
      <c r="A966" t="b">
        <f>"~"&lt;"a-b"</f>
        <v>1</v>
      </c>
    </row>
    <row r="967" spans="1:1" x14ac:dyDescent="0.35">
      <c r="A967" t="b">
        <f>"~"&lt;"a'b"</f>
        <v>1</v>
      </c>
    </row>
    <row r="968" spans="1:1" x14ac:dyDescent="0.35">
      <c r="A968" t="b">
        <f>"~"&lt;"co-op"</f>
        <v>1</v>
      </c>
    </row>
    <row r="969" spans="1:1" x14ac:dyDescent="0.35">
      <c r="A969" t="b">
        <f>"~"&lt;"coop"</f>
        <v>1</v>
      </c>
    </row>
    <row r="970" spans="1:1" x14ac:dyDescent="0.35">
      <c r="A970" t="b">
        <f>"~"&lt;"cop"</f>
        <v>1</v>
      </c>
    </row>
    <row r="971" spans="1:1" x14ac:dyDescent="0.35">
      <c r="A971" t="b">
        <f>"~"&lt;"ß"</f>
        <v>1</v>
      </c>
    </row>
    <row r="972" spans="1:1" x14ac:dyDescent="0.35">
      <c r="A972" t="b">
        <f>"~"&lt;"ss"</f>
        <v>1</v>
      </c>
    </row>
    <row r="973" spans="1:1" x14ac:dyDescent="0.35">
      <c r="A973" t="b">
        <f>"~"&lt;"æ"</f>
        <v>1</v>
      </c>
    </row>
    <row r="974" spans="1:1" x14ac:dyDescent="0.35">
      <c r="A974" t="b">
        <f>"~"&lt;"ae"</f>
        <v>1</v>
      </c>
    </row>
    <row r="975" spans="1:1" x14ac:dyDescent="0.35">
      <c r="A975" t="b">
        <f>"~"&lt;"é"</f>
        <v>1</v>
      </c>
    </row>
    <row r="976" spans="1:1" x14ac:dyDescent="0.35">
      <c r="A976" t="b">
        <f>"~"&lt;"e"</f>
        <v>1</v>
      </c>
    </row>
    <row r="977" spans="1:1" x14ac:dyDescent="0.35">
      <c r="A977" t="b">
        <f>"~"&lt;"f"</f>
        <v>1</v>
      </c>
    </row>
    <row r="978" spans="1:1" x14ac:dyDescent="0.35">
      <c r="A978" t="b">
        <f>"~"&lt;"É"</f>
        <v>1</v>
      </c>
    </row>
    <row r="979" spans="1:1" x14ac:dyDescent="0.35">
      <c r="A979" t="b">
        <f>"~"&lt;"1"</f>
        <v>1</v>
      </c>
    </row>
    <row r="980" spans="1:1" x14ac:dyDescent="0.35">
      <c r="A980" t="b">
        <f>"~"&lt;"10"</f>
        <v>1</v>
      </c>
    </row>
    <row r="981" spans="1:1" x14ac:dyDescent="0.35">
      <c r="A981" t="b">
        <f>"~"&lt;"9"</f>
        <v>1</v>
      </c>
    </row>
    <row r="982" spans="1:1" x14ac:dyDescent="0.35">
      <c r="A982" t="b">
        <f>"~"&lt;"a1"</f>
        <v>1</v>
      </c>
    </row>
    <row r="983" spans="1:1" x14ac:dyDescent="0.35">
      <c r="A983" t="b">
        <f>"~"&lt;"a10"</f>
        <v>1</v>
      </c>
    </row>
    <row r="984" spans="1:1" x14ac:dyDescent="0.35">
      <c r="A984" t="b">
        <f>"~"&lt;"a2"</f>
        <v>1</v>
      </c>
    </row>
    <row r="985" spans="1:1" x14ac:dyDescent="0.35">
      <c r="A985" t="b">
        <f>"~"&lt;"_"</f>
        <v>0</v>
      </c>
    </row>
    <row r="986" spans="1:1" x14ac:dyDescent="0.35">
      <c r="A986" t="b">
        <f>"~"&lt;"-"</f>
        <v>0</v>
      </c>
    </row>
    <row r="987" spans="1:1" x14ac:dyDescent="0.35">
      <c r="A987" t="b">
        <f>"~"&lt;"~"</f>
        <v>0</v>
      </c>
    </row>
    <row r="988" spans="1:1" x14ac:dyDescent="0.35">
      <c r="A988" t="b">
        <f>"~"&lt;"z"</f>
        <v>1</v>
      </c>
    </row>
    <row r="989" spans="1:1" x14ac:dyDescent="0.35">
      <c r="A989" t="b">
        <f>"~"&lt;"Ω"</f>
        <v>1</v>
      </c>
    </row>
    <row r="990" spans="1:1" x14ac:dyDescent="0.35">
      <c r="A990" t="b">
        <f>"~"&lt;"ω"</f>
        <v>1</v>
      </c>
    </row>
    <row r="991" spans="1:1" x14ac:dyDescent="0.35">
      <c r="A991" t="b">
        <f>"z"&lt;"a"</f>
        <v>0</v>
      </c>
    </row>
    <row r="992" spans="1:1" x14ac:dyDescent="0.35">
      <c r="A992" t="b">
        <f>"z"&lt;"A"</f>
        <v>0</v>
      </c>
    </row>
    <row r="993" spans="1:1" x14ac:dyDescent="0.35">
      <c r="A993" t="b">
        <f>"z"&lt;"b"</f>
        <v>0</v>
      </c>
    </row>
    <row r="994" spans="1:1" x14ac:dyDescent="0.35">
      <c r="A994" t="b">
        <f>"z"&lt;"B"</f>
        <v>0</v>
      </c>
    </row>
    <row r="995" spans="1:1" x14ac:dyDescent="0.35">
      <c r="A995" t="b">
        <f>"z"&lt;""</f>
        <v>0</v>
      </c>
    </row>
    <row r="996" spans="1:1" x14ac:dyDescent="0.35">
      <c r="A996" t="b">
        <f>"z"&lt;" "</f>
        <v>0</v>
      </c>
    </row>
    <row r="997" spans="1:1" x14ac:dyDescent="0.35">
      <c r="A997" t="b">
        <f>"z"&lt;"ab"</f>
        <v>0</v>
      </c>
    </row>
    <row r="998" spans="1:1" x14ac:dyDescent="0.35">
      <c r="A998" t="b">
        <f>"z"&lt;"a b"</f>
        <v>0</v>
      </c>
    </row>
    <row r="999" spans="1:1" x14ac:dyDescent="0.35">
      <c r="A999" t="b">
        <f>"z"&lt;"a-b"</f>
        <v>0</v>
      </c>
    </row>
    <row r="1000" spans="1:1" x14ac:dyDescent="0.35">
      <c r="A1000" t="b">
        <f>"z"&lt;"a'b"</f>
        <v>0</v>
      </c>
    </row>
    <row r="1001" spans="1:1" x14ac:dyDescent="0.35">
      <c r="A1001" t="b">
        <f>"z"&lt;"co-op"</f>
        <v>0</v>
      </c>
    </row>
    <row r="1002" spans="1:1" x14ac:dyDescent="0.35">
      <c r="A1002" t="b">
        <f>"z"&lt;"coop"</f>
        <v>0</v>
      </c>
    </row>
    <row r="1003" spans="1:1" x14ac:dyDescent="0.35">
      <c r="A1003" t="b">
        <f>"z"&lt;"cop"</f>
        <v>0</v>
      </c>
    </row>
    <row r="1004" spans="1:1" x14ac:dyDescent="0.35">
      <c r="A1004" t="b">
        <f>"z"&lt;"ß"</f>
        <v>0</v>
      </c>
    </row>
    <row r="1005" spans="1:1" x14ac:dyDescent="0.35">
      <c r="A1005" t="b">
        <f>"z"&lt;"ss"</f>
        <v>0</v>
      </c>
    </row>
    <row r="1006" spans="1:1" x14ac:dyDescent="0.35">
      <c r="A1006" t="b">
        <f>"z"&lt;"æ"</f>
        <v>0</v>
      </c>
    </row>
    <row r="1007" spans="1:1" x14ac:dyDescent="0.35">
      <c r="A1007" t="b">
        <f>"z"&lt;"ae"</f>
        <v>0</v>
      </c>
    </row>
    <row r="1008" spans="1:1" x14ac:dyDescent="0.35">
      <c r="A1008" t="b">
        <f>"z"&lt;"é"</f>
        <v>0</v>
      </c>
    </row>
    <row r="1009" spans="1:1" x14ac:dyDescent="0.35">
      <c r="A1009" t="b">
        <f>"z"&lt;"e"</f>
        <v>0</v>
      </c>
    </row>
    <row r="1010" spans="1:1" x14ac:dyDescent="0.35">
      <c r="A1010" t="b">
        <f>"z"&lt;"f"</f>
        <v>0</v>
      </c>
    </row>
    <row r="1011" spans="1:1" x14ac:dyDescent="0.35">
      <c r="A1011" t="b">
        <f>"z"&lt;"É"</f>
        <v>0</v>
      </c>
    </row>
    <row r="1012" spans="1:1" x14ac:dyDescent="0.35">
      <c r="A1012" t="b">
        <f>"z"&lt;"1"</f>
        <v>0</v>
      </c>
    </row>
    <row r="1013" spans="1:1" x14ac:dyDescent="0.35">
      <c r="A1013" t="b">
        <f>"z"&lt;"10"</f>
        <v>0</v>
      </c>
    </row>
    <row r="1014" spans="1:1" x14ac:dyDescent="0.35">
      <c r="A1014" t="b">
        <f>"z"&lt;"9"</f>
        <v>0</v>
      </c>
    </row>
    <row r="1015" spans="1:1" x14ac:dyDescent="0.35">
      <c r="A1015" t="b">
        <f>"z"&lt;"a1"</f>
        <v>0</v>
      </c>
    </row>
    <row r="1016" spans="1:1" x14ac:dyDescent="0.35">
      <c r="A1016" t="b">
        <f>"z"&lt;"a10"</f>
        <v>0</v>
      </c>
    </row>
    <row r="1017" spans="1:1" x14ac:dyDescent="0.35">
      <c r="A1017" t="b">
        <f>"z"&lt;"a2"</f>
        <v>0</v>
      </c>
    </row>
    <row r="1018" spans="1:1" x14ac:dyDescent="0.35">
      <c r="A1018" t="b">
        <f>"z"&lt;"_"</f>
        <v>0</v>
      </c>
    </row>
    <row r="1019" spans="1:1" x14ac:dyDescent="0.35">
      <c r="A1019" t="b">
        <f>"z"&lt;"-"</f>
        <v>0</v>
      </c>
    </row>
    <row r="1020" spans="1:1" x14ac:dyDescent="0.35">
      <c r="A1020" t="b">
        <f>"z"&lt;"~"</f>
        <v>0</v>
      </c>
    </row>
    <row r="1021" spans="1:1" x14ac:dyDescent="0.35">
      <c r="A1021" t="b">
        <f>"z"&lt;"z"</f>
        <v>0</v>
      </c>
    </row>
    <row r="1022" spans="1:1" x14ac:dyDescent="0.35">
      <c r="A1022" t="b">
        <f>"z"&lt;"Ω"</f>
        <v>1</v>
      </c>
    </row>
    <row r="1023" spans="1:1" x14ac:dyDescent="0.35">
      <c r="A1023" t="b">
        <f>"z"&lt;"ω"</f>
        <v>1</v>
      </c>
    </row>
    <row r="1024" spans="1:1" x14ac:dyDescent="0.35">
      <c r="A1024" t="b">
        <f>"Ω"&lt;"a"</f>
        <v>0</v>
      </c>
    </row>
    <row r="1025" spans="1:1" x14ac:dyDescent="0.35">
      <c r="A1025" t="b">
        <f>"Ω"&lt;"A"</f>
        <v>0</v>
      </c>
    </row>
    <row r="1026" spans="1:1" x14ac:dyDescent="0.35">
      <c r="A1026" t="b">
        <f>"Ω"&lt;"b"</f>
        <v>0</v>
      </c>
    </row>
    <row r="1027" spans="1:1" x14ac:dyDescent="0.35">
      <c r="A1027" t="b">
        <f>"Ω"&lt;"B"</f>
        <v>0</v>
      </c>
    </row>
    <row r="1028" spans="1:1" x14ac:dyDescent="0.35">
      <c r="A1028" t="b">
        <f>"Ω"&lt;""</f>
        <v>0</v>
      </c>
    </row>
    <row r="1029" spans="1:1" x14ac:dyDescent="0.35">
      <c r="A1029" t="b">
        <f>"Ω"&lt;" "</f>
        <v>0</v>
      </c>
    </row>
    <row r="1030" spans="1:1" x14ac:dyDescent="0.35">
      <c r="A1030" t="b">
        <f>"Ω"&lt;"ab"</f>
        <v>0</v>
      </c>
    </row>
    <row r="1031" spans="1:1" x14ac:dyDescent="0.35">
      <c r="A1031" t="b">
        <f>"Ω"&lt;"a b"</f>
        <v>0</v>
      </c>
    </row>
    <row r="1032" spans="1:1" x14ac:dyDescent="0.35">
      <c r="A1032" t="b">
        <f>"Ω"&lt;"a-b"</f>
        <v>0</v>
      </c>
    </row>
    <row r="1033" spans="1:1" x14ac:dyDescent="0.35">
      <c r="A1033" t="b">
        <f>"Ω"&lt;"a'b"</f>
        <v>0</v>
      </c>
    </row>
    <row r="1034" spans="1:1" x14ac:dyDescent="0.35">
      <c r="A1034" t="b">
        <f>"Ω"&lt;"co-op"</f>
        <v>0</v>
      </c>
    </row>
    <row r="1035" spans="1:1" x14ac:dyDescent="0.35">
      <c r="A1035" t="b">
        <f>"Ω"&lt;"coop"</f>
        <v>0</v>
      </c>
    </row>
    <row r="1036" spans="1:1" x14ac:dyDescent="0.35">
      <c r="A1036" t="b">
        <f>"Ω"&lt;"cop"</f>
        <v>0</v>
      </c>
    </row>
    <row r="1037" spans="1:1" x14ac:dyDescent="0.35">
      <c r="A1037" t="b">
        <f>"Ω"&lt;"ß"</f>
        <v>0</v>
      </c>
    </row>
    <row r="1038" spans="1:1" x14ac:dyDescent="0.35">
      <c r="A1038" t="b">
        <f>"Ω"&lt;"ss"</f>
        <v>0</v>
      </c>
    </row>
    <row r="1039" spans="1:1" x14ac:dyDescent="0.35">
      <c r="A1039" t="b">
        <f>"Ω"&lt;"æ"</f>
        <v>0</v>
      </c>
    </row>
    <row r="1040" spans="1:1" x14ac:dyDescent="0.35">
      <c r="A1040" t="b">
        <f>"Ω"&lt;"ae"</f>
        <v>0</v>
      </c>
    </row>
    <row r="1041" spans="1:1" x14ac:dyDescent="0.35">
      <c r="A1041" t="b">
        <f>"Ω"&lt;"é"</f>
        <v>0</v>
      </c>
    </row>
    <row r="1042" spans="1:1" x14ac:dyDescent="0.35">
      <c r="A1042" t="b">
        <f>"Ω"&lt;"e"</f>
        <v>0</v>
      </c>
    </row>
    <row r="1043" spans="1:1" x14ac:dyDescent="0.35">
      <c r="A1043" t="b">
        <f>"Ω"&lt;"f"</f>
        <v>0</v>
      </c>
    </row>
    <row r="1044" spans="1:1" x14ac:dyDescent="0.35">
      <c r="A1044" t="b">
        <f>"Ω"&lt;"É"</f>
        <v>0</v>
      </c>
    </row>
    <row r="1045" spans="1:1" x14ac:dyDescent="0.35">
      <c r="A1045" t="b">
        <f>"Ω"&lt;"1"</f>
        <v>0</v>
      </c>
    </row>
    <row r="1046" spans="1:1" x14ac:dyDescent="0.35">
      <c r="A1046" t="b">
        <f>"Ω"&lt;"10"</f>
        <v>0</v>
      </c>
    </row>
    <row r="1047" spans="1:1" x14ac:dyDescent="0.35">
      <c r="A1047" t="b">
        <f>"Ω"&lt;"9"</f>
        <v>0</v>
      </c>
    </row>
    <row r="1048" spans="1:1" x14ac:dyDescent="0.35">
      <c r="A1048" t="b">
        <f>"Ω"&lt;"a1"</f>
        <v>0</v>
      </c>
    </row>
    <row r="1049" spans="1:1" x14ac:dyDescent="0.35">
      <c r="A1049" t="b">
        <f>"Ω"&lt;"a10"</f>
        <v>0</v>
      </c>
    </row>
    <row r="1050" spans="1:1" x14ac:dyDescent="0.35">
      <c r="A1050" t="b">
        <f>"Ω"&lt;"a2"</f>
        <v>0</v>
      </c>
    </row>
    <row r="1051" spans="1:1" x14ac:dyDescent="0.35">
      <c r="A1051" t="b">
        <f>"Ω"&lt;"_"</f>
        <v>0</v>
      </c>
    </row>
    <row r="1052" spans="1:1" x14ac:dyDescent="0.35">
      <c r="A1052" t="b">
        <f>"Ω"&lt;"-"</f>
        <v>0</v>
      </c>
    </row>
    <row r="1053" spans="1:1" x14ac:dyDescent="0.35">
      <c r="A1053" t="b">
        <f>"Ω"&lt;"~"</f>
        <v>0</v>
      </c>
    </row>
    <row r="1054" spans="1:1" x14ac:dyDescent="0.35">
      <c r="A1054" t="b">
        <f>"Ω"&lt;"z"</f>
        <v>0</v>
      </c>
    </row>
    <row r="1055" spans="1:1" x14ac:dyDescent="0.35">
      <c r="A1055" t="b">
        <f>"Ω"&lt;"Ω"</f>
        <v>0</v>
      </c>
    </row>
    <row r="1056" spans="1:1" x14ac:dyDescent="0.35">
      <c r="A1056" t="b">
        <f>"Ω"&lt;"ω"</f>
        <v>0</v>
      </c>
    </row>
    <row r="1057" spans="1:1" x14ac:dyDescent="0.35">
      <c r="A1057" t="b">
        <f>"ω"&lt;"a"</f>
        <v>0</v>
      </c>
    </row>
    <row r="1058" spans="1:1" x14ac:dyDescent="0.35">
      <c r="A1058" t="b">
        <f>"ω"&lt;"A"</f>
        <v>0</v>
      </c>
    </row>
    <row r="1059" spans="1:1" x14ac:dyDescent="0.35">
      <c r="A1059" t="b">
        <f>"ω"&lt;"b"</f>
        <v>0</v>
      </c>
    </row>
    <row r="1060" spans="1:1" x14ac:dyDescent="0.35">
      <c r="A1060" t="b">
        <f>"ω"&lt;"B"</f>
        <v>0</v>
      </c>
    </row>
    <row r="1061" spans="1:1" x14ac:dyDescent="0.35">
      <c r="A1061" t="b">
        <f>"ω"&lt;""</f>
        <v>0</v>
      </c>
    </row>
    <row r="1062" spans="1:1" x14ac:dyDescent="0.35">
      <c r="A1062" t="b">
        <f>"ω"&lt;" "</f>
        <v>0</v>
      </c>
    </row>
    <row r="1063" spans="1:1" x14ac:dyDescent="0.35">
      <c r="A1063" t="b">
        <f>"ω"&lt;"ab"</f>
        <v>0</v>
      </c>
    </row>
    <row r="1064" spans="1:1" x14ac:dyDescent="0.35">
      <c r="A1064" t="b">
        <f>"ω"&lt;"a b"</f>
        <v>0</v>
      </c>
    </row>
    <row r="1065" spans="1:1" x14ac:dyDescent="0.35">
      <c r="A1065" t="b">
        <f>"ω"&lt;"a-b"</f>
        <v>0</v>
      </c>
    </row>
    <row r="1066" spans="1:1" x14ac:dyDescent="0.35">
      <c r="A1066" t="b">
        <f>"ω"&lt;"a'b"</f>
        <v>0</v>
      </c>
    </row>
    <row r="1067" spans="1:1" x14ac:dyDescent="0.35">
      <c r="A1067" t="b">
        <f>"ω"&lt;"co-op"</f>
        <v>0</v>
      </c>
    </row>
    <row r="1068" spans="1:1" x14ac:dyDescent="0.35">
      <c r="A1068" t="b">
        <f>"ω"&lt;"coop"</f>
        <v>0</v>
      </c>
    </row>
    <row r="1069" spans="1:1" x14ac:dyDescent="0.35">
      <c r="A1069" t="b">
        <f>"ω"&lt;"cop"</f>
        <v>0</v>
      </c>
    </row>
    <row r="1070" spans="1:1" x14ac:dyDescent="0.35">
      <c r="A1070" t="b">
        <f>"ω"&lt;"ß"</f>
        <v>0</v>
      </c>
    </row>
    <row r="1071" spans="1:1" x14ac:dyDescent="0.35">
      <c r="A1071" t="b">
        <f>"ω"&lt;"ss"</f>
        <v>0</v>
      </c>
    </row>
    <row r="1072" spans="1:1" x14ac:dyDescent="0.35">
      <c r="A1072" t="b">
        <f>"ω"&lt;"æ"</f>
        <v>0</v>
      </c>
    </row>
    <row r="1073" spans="1:1" x14ac:dyDescent="0.35">
      <c r="A1073" t="b">
        <f>"ω"&lt;"ae"</f>
        <v>0</v>
      </c>
    </row>
    <row r="1074" spans="1:1" x14ac:dyDescent="0.35">
      <c r="A1074" t="b">
        <f>"ω"&lt;"é"</f>
        <v>0</v>
      </c>
    </row>
    <row r="1075" spans="1:1" x14ac:dyDescent="0.35">
      <c r="A1075" t="b">
        <f>"ω"&lt;"e"</f>
        <v>0</v>
      </c>
    </row>
    <row r="1076" spans="1:1" x14ac:dyDescent="0.35">
      <c r="A1076" t="b">
        <f>"ω"&lt;"f"</f>
        <v>0</v>
      </c>
    </row>
    <row r="1077" spans="1:1" x14ac:dyDescent="0.35">
      <c r="A1077" t="b">
        <f>"ω"&lt;"É"</f>
        <v>0</v>
      </c>
    </row>
    <row r="1078" spans="1:1" x14ac:dyDescent="0.35">
      <c r="A1078" t="b">
        <f>"ω"&lt;"1"</f>
        <v>0</v>
      </c>
    </row>
    <row r="1079" spans="1:1" x14ac:dyDescent="0.35">
      <c r="A1079" t="b">
        <f>"ω"&lt;"10"</f>
        <v>0</v>
      </c>
    </row>
    <row r="1080" spans="1:1" x14ac:dyDescent="0.35">
      <c r="A1080" t="b">
        <f>"ω"&lt;"9"</f>
        <v>0</v>
      </c>
    </row>
    <row r="1081" spans="1:1" x14ac:dyDescent="0.35">
      <c r="A1081" t="b">
        <f>"ω"&lt;"a1"</f>
        <v>0</v>
      </c>
    </row>
    <row r="1082" spans="1:1" x14ac:dyDescent="0.35">
      <c r="A1082" t="b">
        <f>"ω"&lt;"a10"</f>
        <v>0</v>
      </c>
    </row>
    <row r="1083" spans="1:1" x14ac:dyDescent="0.35">
      <c r="A1083" t="b">
        <f>"ω"&lt;"a2"</f>
        <v>0</v>
      </c>
    </row>
    <row r="1084" spans="1:1" x14ac:dyDescent="0.35">
      <c r="A1084" t="b">
        <f>"ω"&lt;"_"</f>
        <v>0</v>
      </c>
    </row>
    <row r="1085" spans="1:1" x14ac:dyDescent="0.35">
      <c r="A1085" t="b">
        <f>"ω"&lt;"-"</f>
        <v>0</v>
      </c>
    </row>
    <row r="1086" spans="1:1" x14ac:dyDescent="0.35">
      <c r="A1086" t="b">
        <f>"ω"&lt;"~"</f>
        <v>0</v>
      </c>
    </row>
    <row r="1087" spans="1:1" x14ac:dyDescent="0.35">
      <c r="A1087" t="b">
        <f>"ω"&lt;"z"</f>
        <v>0</v>
      </c>
    </row>
    <row r="1088" spans="1:1" x14ac:dyDescent="0.35">
      <c r="A1088" t="b">
        <f>"ω"&lt;"Ω"</f>
        <v>0</v>
      </c>
    </row>
    <row r="1089" spans="1:1" x14ac:dyDescent="0.35">
      <c r="A1089" t="b">
        <f>"ω"&lt;"ω"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5E1F-C855-402C-9D6D-D675AAF710DD}">
  <dimension ref="A1:A654"/>
  <sheetViews>
    <sheetView workbookViewId="0"/>
  </sheetViews>
  <sheetFormatPr defaultRowHeight="14.5" x14ac:dyDescent="0.35"/>
  <sheetData>
    <row r="1" spans="1:1" x14ac:dyDescent="0.35">
      <c r="A1">
        <f>Powers!A1^Powers!B1</f>
        <v>501.65893466316015</v>
      </c>
    </row>
    <row r="2" spans="1:1" x14ac:dyDescent="0.35">
      <c r="A2">
        <f>Powers!A2^Powers!B2</f>
        <v>147547.59493097817</v>
      </c>
    </row>
    <row r="3" spans="1:1" x14ac:dyDescent="0.35">
      <c r="A3">
        <f>Powers!A3^Powers!B3</f>
        <v>2.3244762626059448</v>
      </c>
    </row>
    <row r="4" spans="1:1" x14ac:dyDescent="0.35">
      <c r="A4">
        <f>Powers!A4^Powers!B4</f>
        <v>1.9073914932578955</v>
      </c>
    </row>
    <row r="5" spans="1:1" x14ac:dyDescent="0.35">
      <c r="A5">
        <f>Powers!A5^Powers!B5</f>
        <v>32.477979046799447</v>
      </c>
    </row>
    <row r="6" spans="1:1" x14ac:dyDescent="0.35">
      <c r="A6">
        <f>Powers!A6^Powers!B6</f>
        <v>266.54085595170716</v>
      </c>
    </row>
    <row r="7" spans="1:1" x14ac:dyDescent="0.35">
      <c r="A7">
        <f>Powers!A7^Powers!B7</f>
        <v>792.2137007408943</v>
      </c>
    </row>
    <row r="8" spans="1:1" x14ac:dyDescent="0.35">
      <c r="A8">
        <f>Powers!A8^Powers!B8</f>
        <v>1.2923554194076481E-4</v>
      </c>
    </row>
    <row r="9" spans="1:1" x14ac:dyDescent="0.35">
      <c r="A9">
        <f>Powers!A9^Powers!B9</f>
        <v>2.1659894900385877</v>
      </c>
    </row>
    <row r="10" spans="1:1" x14ac:dyDescent="0.35">
      <c r="A10">
        <f>Powers!A10^Powers!B10</f>
        <v>24.899718194343496</v>
      </c>
    </row>
    <row r="11" spans="1:1" x14ac:dyDescent="0.35">
      <c r="A11">
        <f>Powers!A11^Powers!B11</f>
        <v>3.6037974554011459E-4</v>
      </c>
    </row>
    <row r="12" spans="1:1" x14ac:dyDescent="0.35">
      <c r="A12">
        <f>Powers!A12^Powers!B12</f>
        <v>13322397.239502683</v>
      </c>
    </row>
    <row r="13" spans="1:1" x14ac:dyDescent="0.35">
      <c r="A13">
        <f>Powers!A13^Powers!B13</f>
        <v>11.720311329347609</v>
      </c>
    </row>
    <row r="14" spans="1:1" x14ac:dyDescent="0.35">
      <c r="A14">
        <f>Powers!A14^Powers!B14</f>
        <v>1.4001262832971689E-7</v>
      </c>
    </row>
    <row r="15" spans="1:1" x14ac:dyDescent="0.35">
      <c r="A15">
        <f>Powers!A15^Powers!B15</f>
        <v>2.4012505616114961E-2</v>
      </c>
    </row>
    <row r="16" spans="1:1" x14ac:dyDescent="0.35">
      <c r="A16">
        <f>Powers!A16^Powers!B16</f>
        <v>3.0020138901429642E-5</v>
      </c>
    </row>
    <row r="17" spans="1:1" x14ac:dyDescent="0.35">
      <c r="A17">
        <f>Powers!A17^Powers!B17</f>
        <v>43.633473359835492</v>
      </c>
    </row>
    <row r="18" spans="1:1" x14ac:dyDescent="0.35">
      <c r="A18">
        <f>Powers!A18^Powers!B18</f>
        <v>0.20697868421578822</v>
      </c>
    </row>
    <row r="19" spans="1:1" x14ac:dyDescent="0.35">
      <c r="A19">
        <f>Powers!A19^Powers!B19</f>
        <v>3.0204042713774433</v>
      </c>
    </row>
    <row r="20" spans="1:1" x14ac:dyDescent="0.35">
      <c r="A20">
        <f>Powers!A20^Powers!B20</f>
        <v>7.8071848275660582E-6</v>
      </c>
    </row>
    <row r="21" spans="1:1" x14ac:dyDescent="0.35">
      <c r="A21">
        <f>Powers!A21^Powers!B21</f>
        <v>1.5168293107808501E-7</v>
      </c>
    </row>
    <row r="22" spans="1:1" x14ac:dyDescent="0.35">
      <c r="A22">
        <f>Powers!A22^Powers!B22</f>
        <v>3.7494709624649954E-6</v>
      </c>
    </row>
    <row r="23" spans="1:1" x14ac:dyDescent="0.35">
      <c r="A23">
        <f>Powers!A23^Powers!B23</f>
        <v>197.52449368869159</v>
      </c>
    </row>
    <row r="24" spans="1:1" x14ac:dyDescent="0.35">
      <c r="A24">
        <f>Powers!A24^Powers!B24</f>
        <v>1.0023367096159079E-5</v>
      </c>
    </row>
    <row r="25" spans="1:1" x14ac:dyDescent="0.35">
      <c r="A25">
        <f>Powers!A25^Powers!B25</f>
        <v>1.5563107195060616E-6</v>
      </c>
    </row>
    <row r="26" spans="1:1" x14ac:dyDescent="0.35">
      <c r="A26">
        <f>Powers!A26^Powers!B26</f>
        <v>8.4120591265150983E-3</v>
      </c>
    </row>
    <row r="27" spans="1:1" x14ac:dyDescent="0.35">
      <c r="A27">
        <f>Powers!A27^Powers!B27</f>
        <v>5.6394469321837053E-2</v>
      </c>
    </row>
    <row r="28" spans="1:1" x14ac:dyDescent="0.35">
      <c r="A28">
        <f>Powers!A28^Powers!B28</f>
        <v>4.8526680921456263E-3</v>
      </c>
    </row>
    <row r="29" spans="1:1" x14ac:dyDescent="0.35">
      <c r="A29">
        <f>Powers!A29^Powers!B29</f>
        <v>4.9919653686480096E-5</v>
      </c>
    </row>
    <row r="30" spans="1:1" x14ac:dyDescent="0.35">
      <c r="A30">
        <f>Powers!A30^Powers!B30</f>
        <v>3.6062920240351546E-5</v>
      </c>
    </row>
    <row r="31" spans="1:1" x14ac:dyDescent="0.35">
      <c r="A31">
        <f>Powers!A31^Powers!B31</f>
        <v>8.7573879048491357</v>
      </c>
    </row>
    <row r="32" spans="1:1" x14ac:dyDescent="0.35">
      <c r="A32">
        <f>Powers!A32^Powers!B32</f>
        <v>314460.14974111918</v>
      </c>
    </row>
    <row r="33" spans="1:1" x14ac:dyDescent="0.35">
      <c r="A33">
        <f>Powers!A33^Powers!B33</f>
        <v>2.0055239541385098E-6</v>
      </c>
    </row>
    <row r="34" spans="1:1" x14ac:dyDescent="0.35">
      <c r="A34">
        <f>Powers!A34^Powers!B34</f>
        <v>6830939.4393829806</v>
      </c>
    </row>
    <row r="35" spans="1:1" x14ac:dyDescent="0.35">
      <c r="A35">
        <f>Powers!A35^Powers!B35</f>
        <v>3.6118473129148815E-2</v>
      </c>
    </row>
    <row r="36" spans="1:1" x14ac:dyDescent="0.35">
      <c r="A36">
        <f>Powers!A36^Powers!B36</f>
        <v>9.2888525509416021E-5</v>
      </c>
    </row>
    <row r="37" spans="1:1" x14ac:dyDescent="0.35">
      <c r="A37">
        <f>Powers!A37^Powers!B37</f>
        <v>72.430564559747339</v>
      </c>
    </row>
    <row r="38" spans="1:1" x14ac:dyDescent="0.35">
      <c r="A38">
        <f>Powers!A38^Powers!B38</f>
        <v>122.74786537022271</v>
      </c>
    </row>
    <row r="39" spans="1:1" x14ac:dyDescent="0.35">
      <c r="A39">
        <f>Powers!A39^Powers!B39</f>
        <v>1087.0851124984883</v>
      </c>
    </row>
    <row r="40" spans="1:1" x14ac:dyDescent="0.35">
      <c r="A40">
        <f>Powers!A40^Powers!B40</f>
        <v>1.3333711417172323E-5</v>
      </c>
    </row>
    <row r="41" spans="1:1" x14ac:dyDescent="0.35">
      <c r="A41">
        <f>Powers!A41^Powers!B41</f>
        <v>35.876797750602876</v>
      </c>
    </row>
    <row r="42" spans="1:1" x14ac:dyDescent="0.35">
      <c r="A42">
        <f>Powers!A42^Powers!B42</f>
        <v>5.985231665514289E-4</v>
      </c>
    </row>
    <row r="43" spans="1:1" x14ac:dyDescent="0.35">
      <c r="A43">
        <f>Powers!A43^Powers!B43</f>
        <v>7.9051985316143901E-3</v>
      </c>
    </row>
    <row r="44" spans="1:1" x14ac:dyDescent="0.35">
      <c r="A44">
        <f>Powers!A44^Powers!B44</f>
        <v>482.64421232554929</v>
      </c>
    </row>
    <row r="45" spans="1:1" x14ac:dyDescent="0.35">
      <c r="A45">
        <f>Powers!A45^Powers!B45</f>
        <v>1.6798901069353908E-7</v>
      </c>
    </row>
    <row r="46" spans="1:1" x14ac:dyDescent="0.35">
      <c r="A46">
        <f>Powers!A46^Powers!B46</f>
        <v>1.5433698168789803E-7</v>
      </c>
    </row>
    <row r="47" spans="1:1" x14ac:dyDescent="0.35">
      <c r="A47">
        <f>Powers!A47^Powers!B47</f>
        <v>1.1574233339476103E-4</v>
      </c>
    </row>
    <row r="48" spans="1:1" x14ac:dyDescent="0.35">
      <c r="A48">
        <f>Powers!A48^Powers!B48</f>
        <v>0.19360557074254794</v>
      </c>
    </row>
    <row r="49" spans="1:1" x14ac:dyDescent="0.35">
      <c r="A49">
        <f>Powers!A49^Powers!B49</f>
        <v>0.29464062292592125</v>
      </c>
    </row>
    <row r="50" spans="1:1" x14ac:dyDescent="0.35">
      <c r="A50">
        <f>Powers!A50^Powers!B50</f>
        <v>3.5998722897464115E-4</v>
      </c>
    </row>
    <row r="51" spans="1:1" x14ac:dyDescent="0.35">
      <c r="A51">
        <f>Powers!A51^Powers!B51</f>
        <v>4.8242269853285584E-3</v>
      </c>
    </row>
    <row r="52" spans="1:1" x14ac:dyDescent="0.35">
      <c r="A52">
        <f>Powers!A52^Powers!B52</f>
        <v>6725541.0981449354</v>
      </c>
    </row>
    <row r="53" spans="1:1" x14ac:dyDescent="0.35">
      <c r="A53">
        <f>Powers!A53^Powers!B53</f>
        <v>803899.21306140593</v>
      </c>
    </row>
    <row r="54" spans="1:1" x14ac:dyDescent="0.35">
      <c r="A54">
        <f>Powers!A54^Powers!B54</f>
        <v>450099.08714771859</v>
      </c>
    </row>
    <row r="55" spans="1:1" x14ac:dyDescent="0.35">
      <c r="A55">
        <f>Powers!A55^Powers!B55</f>
        <v>0.16990095780453129</v>
      </c>
    </row>
    <row r="56" spans="1:1" x14ac:dyDescent="0.35">
      <c r="A56">
        <f>Powers!A56^Powers!B56</f>
        <v>0.21104549926218233</v>
      </c>
    </row>
    <row r="57" spans="1:1" x14ac:dyDescent="0.35">
      <c r="A57">
        <f>Powers!A57^Powers!B57</f>
        <v>6.8984363804938217E-5</v>
      </c>
    </row>
    <row r="58" spans="1:1" x14ac:dyDescent="0.35">
      <c r="A58">
        <f>Powers!A58^Powers!B58</f>
        <v>1.120089735951611E-3</v>
      </c>
    </row>
    <row r="59" spans="1:1" x14ac:dyDescent="0.35">
      <c r="A59">
        <f>Powers!A59^Powers!B59</f>
        <v>11.467166042381171</v>
      </c>
    </row>
    <row r="60" spans="1:1" x14ac:dyDescent="0.35">
      <c r="A60">
        <f>Powers!A60^Powers!B60</f>
        <v>551736.38097772177</v>
      </c>
    </row>
    <row r="61" spans="1:1" x14ac:dyDescent="0.35">
      <c r="A61">
        <f>Powers!A61^Powers!B61</f>
        <v>7.8789744152116264E-5</v>
      </c>
    </row>
    <row r="62" spans="1:1" x14ac:dyDescent="0.35">
      <c r="A62">
        <f>Powers!A62^Powers!B62</f>
        <v>2.4861561605871163</v>
      </c>
    </row>
    <row r="63" spans="1:1" x14ac:dyDescent="0.35">
      <c r="A63">
        <f>Powers!A63^Powers!B63</f>
        <v>7092.6630629629381</v>
      </c>
    </row>
    <row r="64" spans="1:1" x14ac:dyDescent="0.35">
      <c r="A64">
        <f>Powers!A64^Powers!B64</f>
        <v>2.7587037355524284E-4</v>
      </c>
    </row>
    <row r="65" spans="1:1" x14ac:dyDescent="0.35">
      <c r="A65">
        <f>Powers!A65^Powers!B65</f>
        <v>2.7860485862845923E-7</v>
      </c>
    </row>
    <row r="66" spans="1:1" x14ac:dyDescent="0.35">
      <c r="A66">
        <f>Powers!A66^Powers!B66</f>
        <v>8.4687108721896789E-3</v>
      </c>
    </row>
    <row r="67" spans="1:1" x14ac:dyDescent="0.35">
      <c r="A67">
        <f>Powers!A67^Powers!B67</f>
        <v>416.42859108671013</v>
      </c>
    </row>
    <row r="68" spans="1:1" x14ac:dyDescent="0.35">
      <c r="A68">
        <f>Powers!A68^Powers!B68</f>
        <v>404052.96512463747</v>
      </c>
    </row>
    <row r="69" spans="1:1" x14ac:dyDescent="0.35">
      <c r="A69">
        <f>Powers!A69^Powers!B69</f>
        <v>2.4359011692076609E-6</v>
      </c>
    </row>
    <row r="70" spans="1:1" x14ac:dyDescent="0.35">
      <c r="A70">
        <f>Powers!A70^Powers!B70</f>
        <v>0.15709742307477273</v>
      </c>
    </row>
    <row r="71" spans="1:1" x14ac:dyDescent="0.35">
      <c r="A71">
        <f>Powers!A71^Powers!B71</f>
        <v>983395.19182962563</v>
      </c>
    </row>
    <row r="72" spans="1:1" x14ac:dyDescent="0.35">
      <c r="A72">
        <f>Powers!A72^Powers!B72</f>
        <v>1.3632211200747431E-3</v>
      </c>
    </row>
    <row r="73" spans="1:1" x14ac:dyDescent="0.35">
      <c r="A73">
        <f>Powers!A73^Powers!B73</f>
        <v>1.4225134565991349</v>
      </c>
    </row>
    <row r="74" spans="1:1" x14ac:dyDescent="0.35">
      <c r="A74">
        <f>Powers!A74^Powers!B74</f>
        <v>2.8314003123566744E-5</v>
      </c>
    </row>
    <row r="75" spans="1:1" x14ac:dyDescent="0.35">
      <c r="A75">
        <f>Powers!A75^Powers!B75</f>
        <v>275301.36711558199</v>
      </c>
    </row>
    <row r="76" spans="1:1" x14ac:dyDescent="0.35">
      <c r="A76">
        <f>Powers!A76^Powers!B76</f>
        <v>1.5530870142052846E-2</v>
      </c>
    </row>
    <row r="77" spans="1:1" x14ac:dyDescent="0.35">
      <c r="A77">
        <f>Powers!A77^Powers!B77</f>
        <v>5.7318955214643898E-3</v>
      </c>
    </row>
    <row r="78" spans="1:1" x14ac:dyDescent="0.35">
      <c r="A78">
        <f>Powers!A78^Powers!B78</f>
        <v>3185493.8010700298</v>
      </c>
    </row>
    <row r="79" spans="1:1" x14ac:dyDescent="0.35">
      <c r="A79">
        <f>Powers!A79^Powers!B79</f>
        <v>48.159285493282034</v>
      </c>
    </row>
    <row r="80" spans="1:1" x14ac:dyDescent="0.35">
      <c r="A80">
        <f>Powers!A80^Powers!B80</f>
        <v>116.5441508092581</v>
      </c>
    </row>
    <row r="81" spans="1:1" x14ac:dyDescent="0.35">
      <c r="A81">
        <f>Powers!A81^Powers!B81</f>
        <v>15.35547867483087</v>
      </c>
    </row>
    <row r="82" spans="1:1" x14ac:dyDescent="0.35">
      <c r="A82">
        <f>Powers!A82^Powers!B82</f>
        <v>2.2563233646659713</v>
      </c>
    </row>
    <row r="83" spans="1:1" x14ac:dyDescent="0.35">
      <c r="A83">
        <f>Powers!A83^Powers!B83</f>
        <v>1.1587831098241078E-2</v>
      </c>
    </row>
    <row r="84" spans="1:1" x14ac:dyDescent="0.35">
      <c r="A84">
        <f>Powers!A84^Powers!B84</f>
        <v>147768.2092916095</v>
      </c>
    </row>
    <row r="85" spans="1:1" x14ac:dyDescent="0.35">
      <c r="A85">
        <f>Powers!A85^Powers!B85</f>
        <v>8.7662152449318916E-3</v>
      </c>
    </row>
    <row r="86" spans="1:1" x14ac:dyDescent="0.35">
      <c r="A86">
        <f>Powers!A86^Powers!B86</f>
        <v>15899.920816390124</v>
      </c>
    </row>
    <row r="87" spans="1:1" x14ac:dyDescent="0.35">
      <c r="A87">
        <f>Powers!A87^Powers!B87</f>
        <v>3.2632113691886447E-5</v>
      </c>
    </row>
    <row r="88" spans="1:1" x14ac:dyDescent="0.35">
      <c r="A88">
        <f>Powers!A88^Powers!B88</f>
        <v>21010.021059804138</v>
      </c>
    </row>
    <row r="89" spans="1:1" x14ac:dyDescent="0.35">
      <c r="A89">
        <f>Powers!A89^Powers!B89</f>
        <v>2.5580574262756586E-2</v>
      </c>
    </row>
    <row r="90" spans="1:1" x14ac:dyDescent="0.35">
      <c r="A90">
        <f>Powers!A90^Powers!B90</f>
        <v>3.3502455926133139E-8</v>
      </c>
    </row>
    <row r="91" spans="1:1" x14ac:dyDescent="0.35">
      <c r="A91">
        <f>Powers!A91^Powers!B91</f>
        <v>4.4166926644936275</v>
      </c>
    </row>
    <row r="92" spans="1:1" x14ac:dyDescent="0.35">
      <c r="A92">
        <f>Powers!A92^Powers!B92</f>
        <v>2142.2783159339474</v>
      </c>
    </row>
    <row r="93" spans="1:1" x14ac:dyDescent="0.35">
      <c r="A93">
        <f>Powers!A93^Powers!B93</f>
        <v>0.71189504371422696</v>
      </c>
    </row>
    <row r="94" spans="1:1" x14ac:dyDescent="0.35">
      <c r="A94">
        <f>Powers!A94^Powers!B94</f>
        <v>0.10637271657376129</v>
      </c>
    </row>
    <row r="95" spans="1:1" x14ac:dyDescent="0.35">
      <c r="A95">
        <f>Powers!A95^Powers!B95</f>
        <v>1.1366628175646574E-2</v>
      </c>
    </row>
    <row r="96" spans="1:1" x14ac:dyDescent="0.35">
      <c r="A96">
        <f>Powers!A96^Powers!B96</f>
        <v>1.9830785074497043E-4</v>
      </c>
    </row>
    <row r="97" spans="1:1" x14ac:dyDescent="0.35">
      <c r="A97">
        <f>Powers!A97^Powers!B97</f>
        <v>33673.942845953919</v>
      </c>
    </row>
    <row r="98" spans="1:1" x14ac:dyDescent="0.35">
      <c r="A98">
        <f>Powers!A98^Powers!B98</f>
        <v>1.7473538970214013E-6</v>
      </c>
    </row>
    <row r="99" spans="1:1" x14ac:dyDescent="0.35">
      <c r="A99">
        <f>Powers!A99^Powers!B99</f>
        <v>60288.951091382871</v>
      </c>
    </row>
    <row r="100" spans="1:1" x14ac:dyDescent="0.35">
      <c r="A100">
        <f>Powers!A100^Powers!B100</f>
        <v>0.4411556206351418</v>
      </c>
    </row>
    <row r="101" spans="1:1" x14ac:dyDescent="0.35">
      <c r="A101">
        <f>Powers!A101^Powers!B101</f>
        <v>6.1618252334965599E-4</v>
      </c>
    </row>
    <row r="102" spans="1:1" x14ac:dyDescent="0.35">
      <c r="A102">
        <f>Powers!A102^Powers!B102</f>
        <v>2.2883579984074731</v>
      </c>
    </row>
    <row r="103" spans="1:1" x14ac:dyDescent="0.35">
      <c r="A103">
        <f>Powers!A103^Powers!B103</f>
        <v>1114.1711819547263</v>
      </c>
    </row>
    <row r="104" spans="1:1" x14ac:dyDescent="0.35">
      <c r="A104">
        <f>Powers!A104^Powers!B104</f>
        <v>6.2074108201255567E-7</v>
      </c>
    </row>
    <row r="105" spans="1:1" x14ac:dyDescent="0.35">
      <c r="A105">
        <f>Powers!A105^Powers!B105</f>
        <v>1208.8712402741794</v>
      </c>
    </row>
    <row r="106" spans="1:1" x14ac:dyDescent="0.35">
      <c r="A106">
        <f>Powers!A106^Powers!B106</f>
        <v>1.0449233863437698E-3</v>
      </c>
    </row>
    <row r="107" spans="1:1" x14ac:dyDescent="0.35">
      <c r="A107">
        <f>Powers!A107^Powers!B107</f>
        <v>161.22283920855315</v>
      </c>
    </row>
    <row r="108" spans="1:1" x14ac:dyDescent="0.35">
      <c r="A108">
        <f>Powers!A108^Powers!B108</f>
        <v>227934.18320311923</v>
      </c>
    </row>
    <row r="109" spans="1:1" x14ac:dyDescent="0.35">
      <c r="A109">
        <f>Powers!A109^Powers!B109</f>
        <v>2.0729470934906031E-2</v>
      </c>
    </row>
    <row r="110" spans="1:1" x14ac:dyDescent="0.35">
      <c r="A110">
        <f>Powers!A110^Powers!B110</f>
        <v>18585.266594067089</v>
      </c>
    </row>
    <row r="111" spans="1:1" x14ac:dyDescent="0.35">
      <c r="A111">
        <f>Powers!A111^Powers!B111</f>
        <v>12899.219209538189</v>
      </c>
    </row>
    <row r="112" spans="1:1" x14ac:dyDescent="0.35">
      <c r="A112">
        <f>Powers!A112^Powers!B112</f>
        <v>87.059213792870068</v>
      </c>
    </row>
    <row r="113" spans="1:1" x14ac:dyDescent="0.35">
      <c r="A113">
        <f>Powers!A113^Powers!B113</f>
        <v>10001.064183386707</v>
      </c>
    </row>
    <row r="114" spans="1:1" x14ac:dyDescent="0.35">
      <c r="A114">
        <f>Powers!A114^Powers!B114</f>
        <v>115.89419041005823</v>
      </c>
    </row>
    <row r="115" spans="1:1" x14ac:dyDescent="0.35">
      <c r="A115">
        <f>Powers!A115^Powers!B115</f>
        <v>117.26737701789995</v>
      </c>
    </row>
    <row r="116" spans="1:1" x14ac:dyDescent="0.35">
      <c r="A116">
        <f>Powers!A116^Powers!B116</f>
        <v>1.0775731087141446E-8</v>
      </c>
    </row>
    <row r="117" spans="1:1" x14ac:dyDescent="0.35">
      <c r="A117">
        <f>Powers!A117^Powers!B117</f>
        <v>5.5257366946803331E-3</v>
      </c>
    </row>
    <row r="118" spans="1:1" x14ac:dyDescent="0.35">
      <c r="A118">
        <f>Powers!A118^Powers!B118</f>
        <v>92.988321964907442</v>
      </c>
    </row>
    <row r="119" spans="1:1" x14ac:dyDescent="0.35">
      <c r="A119">
        <f>Powers!A119^Powers!B119</f>
        <v>2.102035148940935</v>
      </c>
    </row>
    <row r="120" spans="1:1" x14ac:dyDescent="0.35">
      <c r="A120">
        <f>Powers!A120^Powers!B120</f>
        <v>16.716262899964043</v>
      </c>
    </row>
    <row r="121" spans="1:1" x14ac:dyDescent="0.35">
      <c r="A121">
        <f>Powers!A121^Powers!B121</f>
        <v>1.2599210498948732</v>
      </c>
    </row>
    <row r="122" spans="1:1" x14ac:dyDescent="0.35">
      <c r="A122">
        <f>Powers!A122^Powers!B122</f>
        <v>0.79370052598409968</v>
      </c>
    </row>
    <row r="123" spans="1:1" x14ac:dyDescent="0.35">
      <c r="A123">
        <f>Powers!A123^Powers!B123</f>
        <v>1.4142135623730951</v>
      </c>
    </row>
    <row r="124" spans="1:1" x14ac:dyDescent="0.35">
      <c r="A124">
        <f>Powers!A124^Powers!B124</f>
        <v>0.70710678118654746</v>
      </c>
    </row>
    <row r="125" spans="1:1" x14ac:dyDescent="0.35">
      <c r="A125">
        <f>Powers!A125^Powers!B125</f>
        <v>1.1040895136738123</v>
      </c>
    </row>
    <row r="126" spans="1:1" x14ac:dyDescent="0.35">
      <c r="A126">
        <f>Powers!A126^Powers!B126</f>
        <v>0.90572366426390671</v>
      </c>
    </row>
    <row r="127" spans="1:1" x14ac:dyDescent="0.35">
      <c r="A127">
        <f>Powers!A127^Powers!B127</f>
        <v>1.189207115002721</v>
      </c>
    </row>
    <row r="128" spans="1:1" x14ac:dyDescent="0.35">
      <c r="A128">
        <f>Powers!A128^Powers!B128</f>
        <v>0.84089641525371461</v>
      </c>
    </row>
    <row r="129" spans="1:1" x14ac:dyDescent="0.35">
      <c r="A129">
        <f>Powers!A129^Powers!B129</f>
        <v>2.8284271247461898</v>
      </c>
    </row>
    <row r="130" spans="1:1" x14ac:dyDescent="0.35">
      <c r="A130">
        <f>Powers!A130^Powers!B130</f>
        <v>0.35355339059327379</v>
      </c>
    </row>
    <row r="131" spans="1:1" x14ac:dyDescent="0.35">
      <c r="A131">
        <f>Powers!A131^Powers!B131</f>
        <v>5.6568542494923806</v>
      </c>
    </row>
    <row r="132" spans="1:1" x14ac:dyDescent="0.35">
      <c r="A132">
        <f>Powers!A132^Powers!B132</f>
        <v>1.0717734625362931</v>
      </c>
    </row>
    <row r="133" spans="1:1" x14ac:dyDescent="0.35">
      <c r="A133">
        <f>Powers!A133^Powers!B133</f>
        <v>0.93303299153680741</v>
      </c>
    </row>
    <row r="134" spans="1:1" x14ac:dyDescent="0.35">
      <c r="A134">
        <f>Powers!A134^Powers!B134</f>
        <v>1.5874010519681994</v>
      </c>
    </row>
    <row r="135" spans="1:1" x14ac:dyDescent="0.35">
      <c r="A135">
        <f>Powers!A135^Powers!B135</f>
        <v>1.0800597388923061</v>
      </c>
    </row>
    <row r="136" spans="1:1" x14ac:dyDescent="0.35">
      <c r="A136">
        <f>Powers!A136^Powers!B136</f>
        <v>1.4422495703074083</v>
      </c>
    </row>
    <row r="137" spans="1:1" x14ac:dyDescent="0.35">
      <c r="A137">
        <f>Powers!A137^Powers!B137</f>
        <v>0.69336127435063477</v>
      </c>
    </row>
    <row r="138" spans="1:1" x14ac:dyDescent="0.35">
      <c r="A138">
        <f>Powers!A138^Powers!B138</f>
        <v>1.7320508075688772</v>
      </c>
    </row>
    <row r="139" spans="1:1" x14ac:dyDescent="0.35">
      <c r="A139">
        <f>Powers!A139^Powers!B139</f>
        <v>0.57735026918962584</v>
      </c>
    </row>
    <row r="140" spans="1:1" x14ac:dyDescent="0.35">
      <c r="A140">
        <f>Powers!A140^Powers!B140</f>
        <v>1.1699308127586869</v>
      </c>
    </row>
    <row r="141" spans="1:1" x14ac:dyDescent="0.35">
      <c r="A141">
        <f>Powers!A141^Powers!B141</f>
        <v>0.85475139990715221</v>
      </c>
    </row>
    <row r="142" spans="1:1" x14ac:dyDescent="0.35">
      <c r="A142">
        <f>Powers!A142^Powers!B142</f>
        <v>1.3160740129524926</v>
      </c>
    </row>
    <row r="143" spans="1:1" x14ac:dyDescent="0.35">
      <c r="A143">
        <f>Powers!A143^Powers!B143</f>
        <v>0.75983568565159243</v>
      </c>
    </row>
    <row r="144" spans="1:1" x14ac:dyDescent="0.35">
      <c r="A144">
        <f>Powers!A144^Powers!B144</f>
        <v>5.196152422706632</v>
      </c>
    </row>
    <row r="145" spans="1:1" x14ac:dyDescent="0.35">
      <c r="A145">
        <f>Powers!A145^Powers!B145</f>
        <v>0.19245008972987526</v>
      </c>
    </row>
    <row r="146" spans="1:1" x14ac:dyDescent="0.35">
      <c r="A146">
        <f>Powers!A146^Powers!B146</f>
        <v>15.588457268119901</v>
      </c>
    </row>
    <row r="147" spans="1:1" x14ac:dyDescent="0.35">
      <c r="A147">
        <f>Powers!A147^Powers!B147</f>
        <v>1.1161231740339044</v>
      </c>
    </row>
    <row r="148" spans="1:1" x14ac:dyDescent="0.35">
      <c r="A148">
        <f>Powers!A148^Powers!B148</f>
        <v>0.89595845984076228</v>
      </c>
    </row>
    <row r="149" spans="1:1" x14ac:dyDescent="0.35">
      <c r="A149">
        <f>Powers!A149^Powers!B149</f>
        <v>2.0800838230519041</v>
      </c>
    </row>
    <row r="150" spans="1:1" x14ac:dyDescent="0.35">
      <c r="A150">
        <f>Powers!A150^Powers!B150</f>
        <v>1.129830963909753</v>
      </c>
    </row>
    <row r="151" spans="1:1" x14ac:dyDescent="0.35">
      <c r="A151">
        <f>Powers!A151^Powers!B151</f>
        <v>1.7099759466766968</v>
      </c>
    </row>
    <row r="152" spans="1:1" x14ac:dyDescent="0.35">
      <c r="A152">
        <f>Powers!A152^Powers!B152</f>
        <v>0.58480354764257325</v>
      </c>
    </row>
    <row r="153" spans="1:1" x14ac:dyDescent="0.35">
      <c r="A153">
        <f>Powers!A153^Powers!B153</f>
        <v>2.2360679774997898</v>
      </c>
    </row>
    <row r="154" spans="1:1" x14ac:dyDescent="0.35">
      <c r="A154">
        <f>Powers!A154^Powers!B154</f>
        <v>0.44721359549995793</v>
      </c>
    </row>
    <row r="155" spans="1:1" x14ac:dyDescent="0.35">
      <c r="A155">
        <f>Powers!A155^Powers!B155</f>
        <v>1.2584989506418267</v>
      </c>
    </row>
    <row r="156" spans="1:1" x14ac:dyDescent="0.35">
      <c r="A156">
        <f>Powers!A156^Powers!B156</f>
        <v>0.79459740470185225</v>
      </c>
    </row>
    <row r="157" spans="1:1" x14ac:dyDescent="0.35">
      <c r="A157">
        <f>Powers!A157^Powers!B157</f>
        <v>1.4953487812212205</v>
      </c>
    </row>
    <row r="158" spans="1:1" x14ac:dyDescent="0.35">
      <c r="A158">
        <f>Powers!A158^Powers!B158</f>
        <v>0.66874030497642201</v>
      </c>
    </row>
    <row r="159" spans="1:1" x14ac:dyDescent="0.35">
      <c r="A159">
        <f>Powers!A159^Powers!B159</f>
        <v>11.180339887498945</v>
      </c>
    </row>
    <row r="160" spans="1:1" x14ac:dyDescent="0.35">
      <c r="A160">
        <f>Powers!A160^Powers!B160</f>
        <v>8.9442719099991616E-2</v>
      </c>
    </row>
    <row r="161" spans="1:1" x14ac:dyDescent="0.35">
      <c r="A161">
        <f>Powers!A161^Powers!B161</f>
        <v>55.901699437494734</v>
      </c>
    </row>
    <row r="162" spans="1:1" x14ac:dyDescent="0.35">
      <c r="A162">
        <f>Powers!A162^Powers!B162</f>
        <v>1.174618943088019</v>
      </c>
    </row>
    <row r="163" spans="1:1" x14ac:dyDescent="0.35">
      <c r="A163">
        <f>Powers!A163^Powers!B163</f>
        <v>0.85133992252078461</v>
      </c>
    </row>
    <row r="164" spans="1:1" x14ac:dyDescent="0.35">
      <c r="A164">
        <f>Powers!A164^Powers!B164</f>
        <v>2.9240177382128656</v>
      </c>
    </row>
    <row r="165" spans="1:1" x14ac:dyDescent="0.35">
      <c r="A165">
        <f>Powers!A165^Powers!B165</f>
        <v>1.1958131745004019</v>
      </c>
    </row>
    <row r="166" spans="1:1" x14ac:dyDescent="0.35">
      <c r="A166">
        <f>Powers!A166^Powers!B166</f>
        <v>1.9129311827723889</v>
      </c>
    </row>
    <row r="167" spans="1:1" x14ac:dyDescent="0.35">
      <c r="A167">
        <f>Powers!A167^Powers!B167</f>
        <v>0.5227579585747103</v>
      </c>
    </row>
    <row r="168" spans="1:1" x14ac:dyDescent="0.35">
      <c r="A168">
        <f>Powers!A168^Powers!B168</f>
        <v>2.6457513110645907</v>
      </c>
    </row>
    <row r="169" spans="1:1" x14ac:dyDescent="0.35">
      <c r="A169">
        <f>Powers!A169^Powers!B169</f>
        <v>0.3779644730092272</v>
      </c>
    </row>
    <row r="170" spans="1:1" x14ac:dyDescent="0.35">
      <c r="A170">
        <f>Powers!A170^Powers!B170</f>
        <v>1.3204692477561237</v>
      </c>
    </row>
    <row r="171" spans="1:1" x14ac:dyDescent="0.35">
      <c r="A171">
        <f>Powers!A171^Powers!B171</f>
        <v>0.75730654212455317</v>
      </c>
    </row>
    <row r="172" spans="1:1" x14ac:dyDescent="0.35">
      <c r="A172">
        <f>Powers!A172^Powers!B172</f>
        <v>1.6265765616977856</v>
      </c>
    </row>
    <row r="173" spans="1:1" x14ac:dyDescent="0.35">
      <c r="A173">
        <f>Powers!A173^Powers!B173</f>
        <v>0.61478815295126443</v>
      </c>
    </row>
    <row r="174" spans="1:1" x14ac:dyDescent="0.35">
      <c r="A174">
        <f>Powers!A174^Powers!B174</f>
        <v>18.520259177452129</v>
      </c>
    </row>
    <row r="175" spans="1:1" x14ac:dyDescent="0.35">
      <c r="A175">
        <f>Powers!A175^Powers!B175</f>
        <v>5.3994924715603902E-2</v>
      </c>
    </row>
    <row r="176" spans="1:1" x14ac:dyDescent="0.35">
      <c r="A176">
        <f>Powers!A176^Powers!B176</f>
        <v>129.64181424216488</v>
      </c>
    </row>
    <row r="177" spans="1:1" x14ac:dyDescent="0.35">
      <c r="A177">
        <f>Powers!A177^Powers!B177</f>
        <v>1.2148140440390669</v>
      </c>
    </row>
    <row r="178" spans="1:1" x14ac:dyDescent="0.35">
      <c r="A178">
        <f>Powers!A178^Powers!B178</f>
        <v>0.82317125399304425</v>
      </c>
    </row>
    <row r="179" spans="1:1" x14ac:dyDescent="0.35">
      <c r="A179">
        <f>Powers!A179^Powers!B179</f>
        <v>3.6593057100229709</v>
      </c>
    </row>
    <row r="180" spans="1:1" x14ac:dyDescent="0.35">
      <c r="A180">
        <f>Powers!A180^Powers!B180</f>
        <v>1.2413658170152087</v>
      </c>
    </row>
    <row r="181" spans="1:1" x14ac:dyDescent="0.35">
      <c r="A181">
        <f>Powers!A181^Powers!B181</f>
        <v>1.9999999999999998</v>
      </c>
    </row>
    <row r="182" spans="1:1" x14ac:dyDescent="0.35">
      <c r="A182">
        <f>Powers!A182^Powers!B182</f>
        <v>0.5</v>
      </c>
    </row>
    <row r="183" spans="1:1" x14ac:dyDescent="0.35">
      <c r="A183">
        <f>Powers!A183^Powers!B183</f>
        <v>2.8284271247461903</v>
      </c>
    </row>
    <row r="184" spans="1:1" x14ac:dyDescent="0.35">
      <c r="A184">
        <f>Powers!A184^Powers!B184</f>
        <v>0.35355339059327373</v>
      </c>
    </row>
    <row r="185" spans="1:1" x14ac:dyDescent="0.35">
      <c r="A185">
        <f>Powers!A185^Powers!B185</f>
        <v>1.3459001926323562</v>
      </c>
    </row>
    <row r="186" spans="1:1" x14ac:dyDescent="0.35">
      <c r="A186">
        <f>Powers!A186^Powers!B186</f>
        <v>0.74299714456847421</v>
      </c>
    </row>
    <row r="187" spans="1:1" x14ac:dyDescent="0.35">
      <c r="A187">
        <f>Powers!A187^Powers!B187</f>
        <v>1.681792830507429</v>
      </c>
    </row>
    <row r="188" spans="1:1" x14ac:dyDescent="0.35">
      <c r="A188">
        <f>Powers!A188^Powers!B188</f>
        <v>0.59460355750136051</v>
      </c>
    </row>
    <row r="189" spans="1:1" x14ac:dyDescent="0.35">
      <c r="A189">
        <f>Powers!A189^Powers!B189</f>
        <v>22.627416997969508</v>
      </c>
    </row>
    <row r="190" spans="1:1" x14ac:dyDescent="0.35">
      <c r="A190">
        <f>Powers!A190^Powers!B190</f>
        <v>4.4194173824159244E-2</v>
      </c>
    </row>
    <row r="191" spans="1:1" x14ac:dyDescent="0.35">
      <c r="A191">
        <f>Powers!A191^Powers!B191</f>
        <v>181.01933598375612</v>
      </c>
    </row>
    <row r="192" spans="1:1" x14ac:dyDescent="0.35">
      <c r="A192">
        <f>Powers!A192^Powers!B192</f>
        <v>1.2311444133449163</v>
      </c>
    </row>
    <row r="193" spans="1:1" x14ac:dyDescent="0.35">
      <c r="A193">
        <f>Powers!A193^Powers!B193</f>
        <v>0.81225239635623547</v>
      </c>
    </row>
    <row r="194" spans="1:1" x14ac:dyDescent="0.35">
      <c r="A194">
        <f>Powers!A194^Powers!B194</f>
        <v>3.9999999999999991</v>
      </c>
    </row>
    <row r="195" spans="1:1" x14ac:dyDescent="0.35">
      <c r="A195">
        <f>Powers!A195^Powers!B195</f>
        <v>1.2599210498948732</v>
      </c>
    </row>
    <row r="196" spans="1:1" x14ac:dyDescent="0.35">
      <c r="A196">
        <f>Powers!A196^Powers!B196</f>
        <v>2.1544346900318838</v>
      </c>
    </row>
    <row r="197" spans="1:1" x14ac:dyDescent="0.35">
      <c r="A197">
        <f>Powers!A197^Powers!B197</f>
        <v>0.46415888336127786</v>
      </c>
    </row>
    <row r="198" spans="1:1" x14ac:dyDescent="0.35">
      <c r="A198">
        <f>Powers!A198^Powers!B198</f>
        <v>3.1622776601683795</v>
      </c>
    </row>
    <row r="199" spans="1:1" x14ac:dyDescent="0.35">
      <c r="A199">
        <f>Powers!A199^Powers!B199</f>
        <v>0.31622776601683794</v>
      </c>
    </row>
    <row r="200" spans="1:1" x14ac:dyDescent="0.35">
      <c r="A200">
        <f>Powers!A200^Powers!B200</f>
        <v>1.3894954943731377</v>
      </c>
    </row>
    <row r="201" spans="1:1" x14ac:dyDescent="0.35">
      <c r="A201">
        <f>Powers!A201^Powers!B201</f>
        <v>0.71968567300115205</v>
      </c>
    </row>
    <row r="202" spans="1:1" x14ac:dyDescent="0.35">
      <c r="A202">
        <f>Powers!A202^Powers!B202</f>
        <v>1.778279410038923</v>
      </c>
    </row>
    <row r="203" spans="1:1" x14ac:dyDescent="0.35">
      <c r="A203">
        <f>Powers!A203^Powers!B203</f>
        <v>0.56234132519034907</v>
      </c>
    </row>
    <row r="204" spans="1:1" x14ac:dyDescent="0.35">
      <c r="A204">
        <f>Powers!A204^Powers!B204</f>
        <v>31.622776601683803</v>
      </c>
    </row>
    <row r="205" spans="1:1" x14ac:dyDescent="0.35">
      <c r="A205">
        <f>Powers!A205^Powers!B205</f>
        <v>3.1622776601683784E-2</v>
      </c>
    </row>
    <row r="206" spans="1:1" x14ac:dyDescent="0.35">
      <c r="A206">
        <f>Powers!A206^Powers!B206</f>
        <v>316.22776601683825</v>
      </c>
    </row>
    <row r="207" spans="1:1" x14ac:dyDescent="0.35">
      <c r="A207">
        <f>Powers!A207^Powers!B207</f>
        <v>1.2589254117941673</v>
      </c>
    </row>
    <row r="208" spans="1:1" x14ac:dyDescent="0.35">
      <c r="A208">
        <f>Powers!A208^Powers!B208</f>
        <v>0.79432823472428149</v>
      </c>
    </row>
    <row r="209" spans="1:1" x14ac:dyDescent="0.35">
      <c r="A209">
        <f>Powers!A209^Powers!B209</f>
        <v>4.6415888336127793</v>
      </c>
    </row>
    <row r="210" spans="1:1" x14ac:dyDescent="0.35">
      <c r="A210">
        <f>Powers!A210^Powers!B210</f>
        <v>1.2915496650148839</v>
      </c>
    </row>
    <row r="211" spans="1:1" x14ac:dyDescent="0.35">
      <c r="A211">
        <f>Powers!A211^Powers!B211</f>
        <v>2.9999999999999996</v>
      </c>
    </row>
    <row r="212" spans="1:1" x14ac:dyDescent="0.35">
      <c r="A212">
        <f>Powers!A212^Powers!B212</f>
        <v>0.33333333333333337</v>
      </c>
    </row>
    <row r="213" spans="1:1" x14ac:dyDescent="0.35">
      <c r="A213">
        <f>Powers!A213^Powers!B213</f>
        <v>5.196152422706632</v>
      </c>
    </row>
    <row r="214" spans="1:1" x14ac:dyDescent="0.35">
      <c r="A214">
        <f>Powers!A214^Powers!B214</f>
        <v>0.19245008972987526</v>
      </c>
    </row>
    <row r="215" spans="1:1" x14ac:dyDescent="0.35">
      <c r="A215">
        <f>Powers!A215^Powers!B215</f>
        <v>1.6013288855576973</v>
      </c>
    </row>
    <row r="216" spans="1:1" x14ac:dyDescent="0.35">
      <c r="A216">
        <f>Powers!A216^Powers!B216</f>
        <v>0.62448133485815971</v>
      </c>
    </row>
    <row r="217" spans="1:1" x14ac:dyDescent="0.35">
      <c r="A217">
        <f>Powers!A217^Powers!B217</f>
        <v>2.2795070569547775</v>
      </c>
    </row>
    <row r="218" spans="1:1" x14ac:dyDescent="0.35">
      <c r="A218">
        <f>Powers!A218^Powers!B218</f>
        <v>0.43869133765083085</v>
      </c>
    </row>
    <row r="219" spans="1:1" x14ac:dyDescent="0.35">
      <c r="A219">
        <f>Powers!A219^Powers!B219</f>
        <v>140.29611541307906</v>
      </c>
    </row>
    <row r="220" spans="1:1" x14ac:dyDescent="0.35">
      <c r="A220">
        <f>Powers!A220^Powers!B220</f>
        <v>7.1277811011064909E-3</v>
      </c>
    </row>
    <row r="221" spans="1:1" x14ac:dyDescent="0.35">
      <c r="A221">
        <f>Powers!A221^Powers!B221</f>
        <v>3787.9951161531353</v>
      </c>
    </row>
    <row r="222" spans="1:1" x14ac:dyDescent="0.35">
      <c r="A222">
        <f>Powers!A222^Powers!B222</f>
        <v>1.3903891703159093</v>
      </c>
    </row>
    <row r="223" spans="1:1" x14ac:dyDescent="0.35">
      <c r="A223">
        <f>Powers!A223^Powers!B223</f>
        <v>0.71922309332486445</v>
      </c>
    </row>
    <row r="224" spans="1:1" x14ac:dyDescent="0.35">
      <c r="A224">
        <f>Powers!A224^Powers!B224</f>
        <v>8.9999999999999982</v>
      </c>
    </row>
    <row r="225" spans="1:1" x14ac:dyDescent="0.35">
      <c r="A225">
        <f>Powers!A225^Powers!B225</f>
        <v>1.4422495703074083</v>
      </c>
    </row>
    <row r="226" spans="1:1" x14ac:dyDescent="0.35">
      <c r="A226">
        <f>Powers!A226^Powers!B226</f>
        <v>3.9999999999999991</v>
      </c>
    </row>
    <row r="227" spans="1:1" x14ac:dyDescent="0.35">
      <c r="A227">
        <f>Powers!A227^Powers!B227</f>
        <v>0.25000000000000006</v>
      </c>
    </row>
    <row r="228" spans="1:1" x14ac:dyDescent="0.35">
      <c r="A228">
        <f>Powers!A228^Powers!B228</f>
        <v>8</v>
      </c>
    </row>
    <row r="229" spans="1:1" x14ac:dyDescent="0.35">
      <c r="A229">
        <f>Powers!A229^Powers!B229</f>
        <v>0.125</v>
      </c>
    </row>
    <row r="230" spans="1:1" x14ac:dyDescent="0.35">
      <c r="A230">
        <f>Powers!A230^Powers!B230</f>
        <v>1.8114473285278132</v>
      </c>
    </row>
    <row r="231" spans="1:1" x14ac:dyDescent="0.35">
      <c r="A231">
        <f>Powers!A231^Powers!B231</f>
        <v>0.55204475683690624</v>
      </c>
    </row>
    <row r="232" spans="1:1" x14ac:dyDescent="0.35">
      <c r="A232">
        <f>Powers!A232^Powers!B232</f>
        <v>2.8284271247461898</v>
      </c>
    </row>
    <row r="233" spans="1:1" x14ac:dyDescent="0.35">
      <c r="A233">
        <f>Powers!A233^Powers!B233</f>
        <v>0.35355339059327379</v>
      </c>
    </row>
    <row r="234" spans="1:1" x14ac:dyDescent="0.35">
      <c r="A234">
        <f>Powers!A234^Powers!B234</f>
        <v>511.99999999999949</v>
      </c>
    </row>
    <row r="235" spans="1:1" x14ac:dyDescent="0.35">
      <c r="A235">
        <f>Powers!A235^Powers!B235</f>
        <v>1.9531250000000017E-3</v>
      </c>
    </row>
    <row r="236" spans="1:1" x14ac:dyDescent="0.35">
      <c r="A236">
        <f>Powers!A236^Powers!B236</f>
        <v>32767.999999999985</v>
      </c>
    </row>
    <row r="237" spans="1:1" x14ac:dyDescent="0.35">
      <c r="A237">
        <f>Powers!A237^Powers!B237</f>
        <v>1.515716566510398</v>
      </c>
    </row>
    <row r="238" spans="1:1" x14ac:dyDescent="0.35">
      <c r="A238">
        <f>Powers!A238^Powers!B238</f>
        <v>0.65975395538644721</v>
      </c>
    </row>
    <row r="239" spans="1:1" x14ac:dyDescent="0.35">
      <c r="A239">
        <f>Powers!A239^Powers!B239</f>
        <v>15.999999999999991</v>
      </c>
    </row>
    <row r="240" spans="1:1" x14ac:dyDescent="0.35">
      <c r="A240">
        <f>Powers!A240^Powers!B240</f>
        <v>1.5874010519681994</v>
      </c>
    </row>
    <row r="241" spans="1:1" x14ac:dyDescent="0.35">
      <c r="A241">
        <f>Powers!A241^Powers!B241</f>
        <v>4.6415888336127793</v>
      </c>
    </row>
    <row r="242" spans="1:1" x14ac:dyDescent="0.35">
      <c r="A242">
        <f>Powers!A242^Powers!B242</f>
        <v>0.21544346900318836</v>
      </c>
    </row>
    <row r="243" spans="1:1" x14ac:dyDescent="0.35">
      <c r="A243">
        <f>Powers!A243^Powers!B243</f>
        <v>10</v>
      </c>
    </row>
    <row r="244" spans="1:1" x14ac:dyDescent="0.35">
      <c r="A244">
        <f>Powers!A244^Powers!B244</f>
        <v>0.1</v>
      </c>
    </row>
    <row r="245" spans="1:1" x14ac:dyDescent="0.35">
      <c r="A245">
        <f>Powers!A245^Powers!B245</f>
        <v>1.9306977288832501</v>
      </c>
    </row>
    <row r="246" spans="1:1" x14ac:dyDescent="0.35">
      <c r="A246">
        <f>Powers!A246^Powers!B246</f>
        <v>0.51794746792312119</v>
      </c>
    </row>
    <row r="247" spans="1:1" x14ac:dyDescent="0.35">
      <c r="A247">
        <f>Powers!A247^Powers!B247</f>
        <v>3.1622776601683795</v>
      </c>
    </row>
    <row r="248" spans="1:1" x14ac:dyDescent="0.35">
      <c r="A248">
        <f>Powers!A248^Powers!B248</f>
        <v>0.31622776601683794</v>
      </c>
    </row>
    <row r="249" spans="1:1" x14ac:dyDescent="0.35">
      <c r="A249">
        <f>Powers!A249^Powers!B249</f>
        <v>1000.0000000000007</v>
      </c>
    </row>
    <row r="250" spans="1:1" x14ac:dyDescent="0.35">
      <c r="A250">
        <f>Powers!A250^Powers!B250</f>
        <v>9.9999999999999937E-4</v>
      </c>
    </row>
    <row r="251" spans="1:1" x14ac:dyDescent="0.35">
      <c r="A251">
        <f>Powers!A251^Powers!B251</f>
        <v>100000.0000000002</v>
      </c>
    </row>
    <row r="252" spans="1:1" x14ac:dyDescent="0.35">
      <c r="A252">
        <f>Powers!A252^Powers!B252</f>
        <v>1.5848931924611136</v>
      </c>
    </row>
    <row r="253" spans="1:1" x14ac:dyDescent="0.35">
      <c r="A253">
        <f>Powers!A253^Powers!B253</f>
        <v>0.63095734448019325</v>
      </c>
    </row>
    <row r="254" spans="1:1" x14ac:dyDescent="0.35">
      <c r="A254">
        <f>Powers!A254^Powers!B254</f>
        <v>21.544346900318843</v>
      </c>
    </row>
    <row r="255" spans="1:1" x14ac:dyDescent="0.35">
      <c r="A255">
        <f>Powers!A255^Powers!B255</f>
        <v>1.6681005372000588</v>
      </c>
    </row>
    <row r="256" spans="1:1" x14ac:dyDescent="0.35">
      <c r="A256">
        <f>Powers!A256^Powers!B256</f>
        <v>9.9999999999999982</v>
      </c>
    </row>
    <row r="257" spans="1:1" x14ac:dyDescent="0.35">
      <c r="A257">
        <f>Powers!A257^Powers!B257</f>
        <v>0.10000000000000002</v>
      </c>
    </row>
    <row r="258" spans="1:1" x14ac:dyDescent="0.35">
      <c r="A258">
        <f>Powers!A258^Powers!B258</f>
        <v>31.622776601683793</v>
      </c>
    </row>
    <row r="259" spans="1:1" x14ac:dyDescent="0.35">
      <c r="A259">
        <f>Powers!A259^Powers!B259</f>
        <v>3.1622776601683791E-2</v>
      </c>
    </row>
    <row r="260" spans="1:1" x14ac:dyDescent="0.35">
      <c r="A260">
        <f>Powers!A260^Powers!B260</f>
        <v>2.6826957952797255</v>
      </c>
    </row>
    <row r="261" spans="1:1" x14ac:dyDescent="0.35">
      <c r="A261">
        <f>Powers!A261^Powers!B261</f>
        <v>0.37275937203149406</v>
      </c>
    </row>
    <row r="262" spans="1:1" x14ac:dyDescent="0.35">
      <c r="A262">
        <f>Powers!A262^Powers!B262</f>
        <v>5.6234132519034903</v>
      </c>
    </row>
    <row r="263" spans="1:1" x14ac:dyDescent="0.35">
      <c r="A263">
        <f>Powers!A263^Powers!B263</f>
        <v>0.17782794100389229</v>
      </c>
    </row>
    <row r="264" spans="1:1" x14ac:dyDescent="0.35">
      <c r="A264">
        <f>Powers!A264^Powers!B264</f>
        <v>31622.776601683781</v>
      </c>
    </row>
    <row r="265" spans="1:1" x14ac:dyDescent="0.35">
      <c r="A265">
        <f>Powers!A265^Powers!B265</f>
        <v>3.1622776601683802E-5</v>
      </c>
    </row>
    <row r="266" spans="1:1" x14ac:dyDescent="0.35">
      <c r="A266">
        <f>Powers!A266^Powers!B266</f>
        <v>31622776.601683773</v>
      </c>
    </row>
    <row r="267" spans="1:1" x14ac:dyDescent="0.35">
      <c r="A267">
        <f>Powers!A267^Powers!B267</f>
        <v>1.9952623149688797</v>
      </c>
    </row>
    <row r="268" spans="1:1" x14ac:dyDescent="0.35">
      <c r="A268">
        <f>Powers!A268^Powers!B268</f>
        <v>0.50118723362727224</v>
      </c>
    </row>
    <row r="269" spans="1:1" x14ac:dyDescent="0.35">
      <c r="A269">
        <f>Powers!A269^Powers!B269</f>
        <v>99.999999999999957</v>
      </c>
    </row>
    <row r="270" spans="1:1" x14ac:dyDescent="0.35">
      <c r="A270">
        <f>Powers!A270^Powers!B270</f>
        <v>2.1544346900318838</v>
      </c>
    </row>
    <row r="271" spans="1:1" x14ac:dyDescent="0.35">
      <c r="A271">
        <f>Powers!A271^Powers!B271</f>
        <v>0.79370052598409979</v>
      </c>
    </row>
    <row r="272" spans="1:1" x14ac:dyDescent="0.35">
      <c r="A272">
        <f>Powers!A272^Powers!B272</f>
        <v>1.259921049894873</v>
      </c>
    </row>
    <row r="273" spans="1:1" x14ac:dyDescent="0.35">
      <c r="A273">
        <f>Powers!A273^Powers!B273</f>
        <v>0.70710678118654757</v>
      </c>
    </row>
    <row r="274" spans="1:1" x14ac:dyDescent="0.35">
      <c r="A274">
        <f>Powers!A274^Powers!B274</f>
        <v>1.4142135623730949</v>
      </c>
    </row>
    <row r="275" spans="1:1" x14ac:dyDescent="0.35">
      <c r="A275">
        <f>Powers!A275^Powers!B275</f>
        <v>0.90572366426390671</v>
      </c>
    </row>
    <row r="276" spans="1:1" x14ac:dyDescent="0.35">
      <c r="A276">
        <f>Powers!A276^Powers!B276</f>
        <v>1.1040895136738123</v>
      </c>
    </row>
    <row r="277" spans="1:1" x14ac:dyDescent="0.35">
      <c r="A277">
        <f>Powers!A277^Powers!B277</f>
        <v>0.8408964152537145</v>
      </c>
    </row>
    <row r="278" spans="1:1" x14ac:dyDescent="0.35">
      <c r="A278">
        <f>Powers!A278^Powers!B278</f>
        <v>1.189207115002721</v>
      </c>
    </row>
    <row r="279" spans="1:1" x14ac:dyDescent="0.35">
      <c r="A279">
        <f>Powers!A279^Powers!B279</f>
        <v>0.35355339059327379</v>
      </c>
    </row>
    <row r="280" spans="1:1" x14ac:dyDescent="0.35">
      <c r="A280">
        <f>Powers!A280^Powers!B280</f>
        <v>2.8284271247461898</v>
      </c>
    </row>
    <row r="281" spans="1:1" x14ac:dyDescent="0.35">
      <c r="A281">
        <f>Powers!A281^Powers!B281</f>
        <v>0.17677669529663689</v>
      </c>
    </row>
    <row r="282" spans="1:1" x14ac:dyDescent="0.35">
      <c r="A282">
        <f>Powers!A282^Powers!B282</f>
        <v>0.93303299153680741</v>
      </c>
    </row>
    <row r="283" spans="1:1" x14ac:dyDescent="0.35">
      <c r="A283">
        <f>Powers!A283^Powers!B283</f>
        <v>1.0717734625362931</v>
      </c>
    </row>
    <row r="284" spans="1:1" x14ac:dyDescent="0.35">
      <c r="A284">
        <f>Powers!A284^Powers!B284</f>
        <v>0.6299605249474366</v>
      </c>
    </row>
    <row r="285" spans="1:1" x14ac:dyDescent="0.35">
      <c r="A285">
        <f>Powers!A285^Powers!B285</f>
        <v>0.92587471228729046</v>
      </c>
    </row>
    <row r="286" spans="1:1" x14ac:dyDescent="0.35">
      <c r="A286">
        <f>Powers!A286^Powers!B286</f>
        <v>0.46415888336127797</v>
      </c>
    </row>
    <row r="287" spans="1:1" x14ac:dyDescent="0.35">
      <c r="A287">
        <f>Powers!A287^Powers!B287</f>
        <v>2.1544346900318834</v>
      </c>
    </row>
    <row r="288" spans="1:1" x14ac:dyDescent="0.35">
      <c r="A288">
        <f>Powers!A288^Powers!B288</f>
        <v>0.31622776601683794</v>
      </c>
    </row>
    <row r="289" spans="1:1" x14ac:dyDescent="0.35">
      <c r="A289">
        <f>Powers!A289^Powers!B289</f>
        <v>3.1622776601683791</v>
      </c>
    </row>
    <row r="290" spans="1:1" x14ac:dyDescent="0.35">
      <c r="A290">
        <f>Powers!A290^Powers!B290</f>
        <v>0.71968567300115205</v>
      </c>
    </row>
    <row r="291" spans="1:1" x14ac:dyDescent="0.35">
      <c r="A291">
        <f>Powers!A291^Powers!B291</f>
        <v>1.3894954943731377</v>
      </c>
    </row>
    <row r="292" spans="1:1" x14ac:dyDescent="0.35">
      <c r="A292">
        <f>Powers!A292^Powers!B292</f>
        <v>0.56234132519034907</v>
      </c>
    </row>
    <row r="293" spans="1:1" x14ac:dyDescent="0.35">
      <c r="A293">
        <f>Powers!A293^Powers!B293</f>
        <v>1.7782794100389228</v>
      </c>
    </row>
    <row r="294" spans="1:1" x14ac:dyDescent="0.35">
      <c r="A294">
        <f>Powers!A294^Powers!B294</f>
        <v>3.1622776601683798E-2</v>
      </c>
    </row>
    <row r="295" spans="1:1" x14ac:dyDescent="0.35">
      <c r="A295">
        <f>Powers!A295^Powers!B295</f>
        <v>31.622776601683789</v>
      </c>
    </row>
    <row r="296" spans="1:1" x14ac:dyDescent="0.35">
      <c r="A296">
        <f>Powers!A296^Powers!B296</f>
        <v>3.162277660168382E-3</v>
      </c>
    </row>
    <row r="297" spans="1:1" x14ac:dyDescent="0.35">
      <c r="A297">
        <f>Powers!A297^Powers!B297</f>
        <v>0.79432823472428149</v>
      </c>
    </row>
    <row r="298" spans="1:1" x14ac:dyDescent="0.35">
      <c r="A298">
        <f>Powers!A298^Powers!B298</f>
        <v>1.2589254117941673</v>
      </c>
    </row>
    <row r="299" spans="1:1" x14ac:dyDescent="0.35">
      <c r="A299">
        <f>Powers!A299^Powers!B299</f>
        <v>0.21544346900318845</v>
      </c>
    </row>
    <row r="300" spans="1:1" x14ac:dyDescent="0.35">
      <c r="A300">
        <f>Powers!A300^Powers!B300</f>
        <v>0.77426368268112711</v>
      </c>
    </row>
    <row r="301" spans="1:1" x14ac:dyDescent="0.35">
      <c r="A301">
        <f>Powers!A301^Powers!B301</f>
        <v>-1.9999999999999998</v>
      </c>
    </row>
    <row r="302" spans="1:1" x14ac:dyDescent="0.35">
      <c r="A302">
        <f>Powers!A302^Powers!B302</f>
        <v>-0.5</v>
      </c>
    </row>
    <row r="303" spans="1:1" x14ac:dyDescent="0.35">
      <c r="A303">
        <f>Powers!A303^Powers!B303</f>
        <v>-1.515716566510398</v>
      </c>
    </row>
    <row r="304" spans="1:1" x14ac:dyDescent="0.35">
      <c r="A304">
        <f>Powers!A304^Powers!B304</f>
        <v>-0.65975395538644721</v>
      </c>
    </row>
    <row r="305" spans="1:1" x14ac:dyDescent="0.35">
      <c r="A305" t="e">
        <f>Powers!A305^Powers!B305</f>
        <v>#NUM!</v>
      </c>
    </row>
    <row r="306" spans="1:1" x14ac:dyDescent="0.35">
      <c r="A306" t="e">
        <f>Powers!A306^Powers!B306</f>
        <v>#NUM!</v>
      </c>
    </row>
    <row r="307" spans="1:1" x14ac:dyDescent="0.35">
      <c r="A307" t="e">
        <f>Powers!A307^Powers!B307</f>
        <v>#NUM!</v>
      </c>
    </row>
    <row r="308" spans="1:1" x14ac:dyDescent="0.35">
      <c r="A308" t="e">
        <f>Powers!A308^Powers!B308</f>
        <v>#NUM!</v>
      </c>
    </row>
    <row r="309" spans="1:1" x14ac:dyDescent="0.35">
      <c r="A309">
        <f>Powers!A309^Powers!B309</f>
        <v>-1.3459001926323562</v>
      </c>
    </row>
    <row r="310" spans="1:1" x14ac:dyDescent="0.35">
      <c r="A310" t="e">
        <f>Powers!A310^Powers!B310</f>
        <v>#NUM!</v>
      </c>
    </row>
    <row r="311" spans="1:1" x14ac:dyDescent="0.35">
      <c r="A311" t="e">
        <f>Powers!A311^Powers!B311</f>
        <v>#NUM!</v>
      </c>
    </row>
    <row r="312" spans="1:1" x14ac:dyDescent="0.35">
      <c r="A312">
        <f>Powers!A312^Powers!B312</f>
        <v>-1.515716566510398</v>
      </c>
    </row>
    <row r="313" spans="1:1" x14ac:dyDescent="0.35">
      <c r="A313">
        <f>Powers!A313^Powers!B313</f>
        <v>-0.65975395538644721</v>
      </c>
    </row>
    <row r="314" spans="1:1" x14ac:dyDescent="0.35">
      <c r="A314">
        <f>Powers!A314^Powers!B314</f>
        <v>-1.2599210498948732</v>
      </c>
    </row>
    <row r="315" spans="1:1" x14ac:dyDescent="0.35">
      <c r="A315">
        <f>Powers!A315^Powers!B315</f>
        <v>-2.9999999999999996</v>
      </c>
    </row>
    <row r="316" spans="1:1" x14ac:dyDescent="0.35">
      <c r="A316">
        <f>Powers!A316^Powers!B316</f>
        <v>-0.33333333333333337</v>
      </c>
    </row>
    <row r="317" spans="1:1" x14ac:dyDescent="0.35">
      <c r="A317">
        <f>Powers!A317^Powers!B317</f>
        <v>-1.9331820449317627</v>
      </c>
    </row>
    <row r="318" spans="1:1" x14ac:dyDescent="0.35">
      <c r="A318">
        <f>Powers!A318^Powers!B318</f>
        <v>-0.51728185797178661</v>
      </c>
    </row>
    <row r="319" spans="1:1" x14ac:dyDescent="0.35">
      <c r="A319" t="e">
        <f>Powers!A319^Powers!B319</f>
        <v>#NUM!</v>
      </c>
    </row>
    <row r="320" spans="1:1" x14ac:dyDescent="0.35">
      <c r="A320" t="e">
        <f>Powers!A320^Powers!B320</f>
        <v>#NUM!</v>
      </c>
    </row>
    <row r="321" spans="1:1" x14ac:dyDescent="0.35">
      <c r="A321" t="e">
        <f>Powers!A321^Powers!B321</f>
        <v>#NUM!</v>
      </c>
    </row>
    <row r="322" spans="1:1" x14ac:dyDescent="0.35">
      <c r="A322" t="e">
        <f>Powers!A322^Powers!B322</f>
        <v>#NUM!</v>
      </c>
    </row>
    <row r="323" spans="1:1" x14ac:dyDescent="0.35">
      <c r="A323">
        <f>Powers!A323^Powers!B323</f>
        <v>-1.6013288855576973</v>
      </c>
    </row>
    <row r="324" spans="1:1" x14ac:dyDescent="0.35">
      <c r="A324" t="e">
        <f>Powers!A324^Powers!B324</f>
        <v>#NUM!</v>
      </c>
    </row>
    <row r="325" spans="1:1" x14ac:dyDescent="0.35">
      <c r="A325" t="e">
        <f>Powers!A325^Powers!B325</f>
        <v>#NUM!</v>
      </c>
    </row>
    <row r="326" spans="1:1" x14ac:dyDescent="0.35">
      <c r="A326">
        <f>Powers!A326^Powers!B326</f>
        <v>-1.9331820449317627</v>
      </c>
    </row>
    <row r="327" spans="1:1" x14ac:dyDescent="0.35">
      <c r="A327">
        <f>Powers!A327^Powers!B327</f>
        <v>-0.51728185797178661</v>
      </c>
    </row>
    <row r="328" spans="1:1" x14ac:dyDescent="0.35">
      <c r="A328">
        <f>Powers!A328^Powers!B328</f>
        <v>-1.4422495703074083</v>
      </c>
    </row>
    <row r="329" spans="1:1" x14ac:dyDescent="0.35">
      <c r="A329">
        <f>Powers!A329^Powers!B329</f>
        <v>-1.2599210498948732</v>
      </c>
    </row>
    <row r="330" spans="1:1" x14ac:dyDescent="0.35">
      <c r="A330">
        <f>Powers!A330^Powers!B330</f>
        <v>-0.79370052598409968</v>
      </c>
    </row>
    <row r="331" spans="1:1" x14ac:dyDescent="0.35">
      <c r="A331">
        <f>Powers!A331^Powers!B331</f>
        <v>-1.1486983549970351</v>
      </c>
    </row>
    <row r="332" spans="1:1" x14ac:dyDescent="0.35">
      <c r="A332">
        <f>Powers!A332^Powers!B332</f>
        <v>-0.87055056329612412</v>
      </c>
    </row>
    <row r="333" spans="1:1" x14ac:dyDescent="0.35">
      <c r="A333" t="e">
        <f>Powers!A333^Powers!B333</f>
        <v>#NUM!</v>
      </c>
    </row>
    <row r="334" spans="1:1" x14ac:dyDescent="0.35">
      <c r="A334" t="e">
        <f>Powers!A334^Powers!B334</f>
        <v>#NUM!</v>
      </c>
    </row>
    <row r="335" spans="1:1" x14ac:dyDescent="0.35">
      <c r="A335" t="e">
        <f>Powers!A335^Powers!B335</f>
        <v>#NUM!</v>
      </c>
    </row>
    <row r="336" spans="1:1" x14ac:dyDescent="0.35">
      <c r="A336" t="e">
        <f>Powers!A336^Powers!B336</f>
        <v>#NUM!</v>
      </c>
    </row>
    <row r="337" spans="1:1" x14ac:dyDescent="0.35">
      <c r="A337">
        <f>Powers!A337^Powers!B337</f>
        <v>-1.1040895136738123</v>
      </c>
    </row>
    <row r="338" spans="1:1" x14ac:dyDescent="0.35">
      <c r="A338" t="e">
        <f>Powers!A338^Powers!B338</f>
        <v>#NUM!</v>
      </c>
    </row>
    <row r="339" spans="1:1" x14ac:dyDescent="0.35">
      <c r="A339" t="e">
        <f>Powers!A339^Powers!B339</f>
        <v>#NUM!</v>
      </c>
    </row>
    <row r="340" spans="1:1" x14ac:dyDescent="0.35">
      <c r="A340">
        <f>Powers!A340^Powers!B340</f>
        <v>-1.1486983549970351</v>
      </c>
    </row>
    <row r="341" spans="1:1" x14ac:dyDescent="0.35">
      <c r="A341">
        <f>Powers!A341^Powers!B341</f>
        <v>-0.87055056329612412</v>
      </c>
    </row>
    <row r="342" spans="1:1" x14ac:dyDescent="0.35">
      <c r="A342">
        <f>Powers!A342^Powers!B342</f>
        <v>-1.0800597388923061</v>
      </c>
    </row>
    <row r="343" spans="1:1" x14ac:dyDescent="0.35">
      <c r="A343">
        <f>Powers!A343^Powers!B343</f>
        <v>-3.1748021039363987</v>
      </c>
    </row>
    <row r="344" spans="1:1" x14ac:dyDescent="0.35">
      <c r="A344">
        <f>Powers!A344^Powers!B344</f>
        <v>-0.3149802624737183</v>
      </c>
    </row>
    <row r="345" spans="1:1" x14ac:dyDescent="0.35">
      <c r="A345">
        <f>Powers!A345^Powers!B345</f>
        <v>-2</v>
      </c>
    </row>
    <row r="346" spans="1:1" x14ac:dyDescent="0.35">
      <c r="A346">
        <f>Powers!A346^Powers!B346</f>
        <v>-0.5</v>
      </c>
    </row>
    <row r="347" spans="1:1" x14ac:dyDescent="0.35">
      <c r="A347" t="e">
        <f>Powers!A347^Powers!B347</f>
        <v>#NUM!</v>
      </c>
    </row>
    <row r="348" spans="1:1" x14ac:dyDescent="0.35">
      <c r="A348" t="e">
        <f>Powers!A348^Powers!B348</f>
        <v>#NUM!</v>
      </c>
    </row>
    <row r="349" spans="1:1" x14ac:dyDescent="0.35">
      <c r="A349" t="e">
        <f>Powers!A349^Powers!B349</f>
        <v>#NUM!</v>
      </c>
    </row>
    <row r="350" spans="1:1" x14ac:dyDescent="0.35">
      <c r="A350" t="e">
        <f>Powers!A350^Powers!B350</f>
        <v>#NUM!</v>
      </c>
    </row>
    <row r="351" spans="1:1" x14ac:dyDescent="0.35">
      <c r="A351">
        <f>Powers!A351^Powers!B351</f>
        <v>-1.6406707120152757</v>
      </c>
    </row>
    <row r="352" spans="1:1" x14ac:dyDescent="0.35">
      <c r="A352" t="e">
        <f>Powers!A352^Powers!B352</f>
        <v>#NUM!</v>
      </c>
    </row>
    <row r="353" spans="1:1" x14ac:dyDescent="0.35">
      <c r="A353" t="e">
        <f>Powers!A353^Powers!B353</f>
        <v>#NUM!</v>
      </c>
    </row>
    <row r="354" spans="1:1" x14ac:dyDescent="0.35">
      <c r="A354">
        <f>Powers!A354^Powers!B354</f>
        <v>-2</v>
      </c>
    </row>
    <row r="355" spans="1:1" x14ac:dyDescent="0.35">
      <c r="A355">
        <f>Powers!A355^Powers!B355</f>
        <v>-0.5</v>
      </c>
    </row>
    <row r="356" spans="1:1" x14ac:dyDescent="0.35">
      <c r="A356">
        <f>Powers!A356^Powers!B356</f>
        <v>-1.4697344922755988</v>
      </c>
    </row>
    <row r="357" spans="1:1" x14ac:dyDescent="0.35">
      <c r="A357">
        <f>Powers!A357^Powers!B357</f>
        <v>-3.9999999999999991</v>
      </c>
    </row>
    <row r="358" spans="1:1" x14ac:dyDescent="0.35">
      <c r="A358">
        <f>Powers!A358^Powers!B358</f>
        <v>-0.25000000000000006</v>
      </c>
    </row>
    <row r="359" spans="1:1" x14ac:dyDescent="0.35">
      <c r="A359">
        <f>Powers!A359^Powers!B359</f>
        <v>-2.2973967099940702</v>
      </c>
    </row>
    <row r="360" spans="1:1" x14ac:dyDescent="0.35">
      <c r="A360">
        <f>Powers!A360^Powers!B360</f>
        <v>-0.43527528164806206</v>
      </c>
    </row>
    <row r="361" spans="1:1" x14ac:dyDescent="0.35">
      <c r="A361" t="e">
        <f>Powers!A361^Powers!B361</f>
        <v>#NUM!</v>
      </c>
    </row>
    <row r="362" spans="1:1" x14ac:dyDescent="0.35">
      <c r="A362" t="e">
        <f>Powers!A362^Powers!B362</f>
        <v>#NUM!</v>
      </c>
    </row>
    <row r="363" spans="1:1" x14ac:dyDescent="0.35">
      <c r="A363" t="e">
        <f>Powers!A363^Powers!B363</f>
        <v>#NUM!</v>
      </c>
    </row>
    <row r="364" spans="1:1" x14ac:dyDescent="0.35">
      <c r="A364" t="e">
        <f>Powers!A364^Powers!B364</f>
        <v>#NUM!</v>
      </c>
    </row>
    <row r="365" spans="1:1" x14ac:dyDescent="0.35">
      <c r="A365">
        <f>Powers!A365^Powers!B365</f>
        <v>-1.8114473285278132</v>
      </c>
    </row>
    <row r="366" spans="1:1" x14ac:dyDescent="0.35">
      <c r="A366" t="e">
        <f>Powers!A366^Powers!B366</f>
        <v>#NUM!</v>
      </c>
    </row>
    <row r="367" spans="1:1" x14ac:dyDescent="0.35">
      <c r="A367" t="e">
        <f>Powers!A367^Powers!B367</f>
        <v>#NUM!</v>
      </c>
    </row>
    <row r="368" spans="1:1" x14ac:dyDescent="0.35">
      <c r="A368">
        <f>Powers!A368^Powers!B368</f>
        <v>-2.2973967099940702</v>
      </c>
    </row>
    <row r="369" spans="1:1" x14ac:dyDescent="0.35">
      <c r="A369">
        <f>Powers!A369^Powers!B369</f>
        <v>-0.43527528164806206</v>
      </c>
    </row>
    <row r="370" spans="1:1" x14ac:dyDescent="0.35">
      <c r="A370">
        <f>Powers!A370^Powers!B370</f>
        <v>-1.5874010519681994</v>
      </c>
    </row>
    <row r="371" spans="1:1" x14ac:dyDescent="0.35">
      <c r="A371">
        <f>Powers!A371^Powers!B371</f>
        <v>-9.9999999999999982</v>
      </c>
    </row>
    <row r="372" spans="1:1" x14ac:dyDescent="0.35">
      <c r="A372">
        <f>Powers!A372^Powers!B372</f>
        <v>-0.10000000000000002</v>
      </c>
    </row>
    <row r="373" spans="1:1" x14ac:dyDescent="0.35">
      <c r="A373">
        <f>Powers!A373^Powers!B373</f>
        <v>-3.9810717055349727</v>
      </c>
    </row>
    <row r="374" spans="1:1" x14ac:dyDescent="0.35">
      <c r="A374">
        <f>Powers!A374^Powers!B374</f>
        <v>-0.25118864315095801</v>
      </c>
    </row>
    <row r="375" spans="1:1" x14ac:dyDescent="0.35">
      <c r="A375" t="e">
        <f>Powers!A375^Powers!B375</f>
        <v>#NUM!</v>
      </c>
    </row>
    <row r="376" spans="1:1" x14ac:dyDescent="0.35">
      <c r="A376" t="e">
        <f>Powers!A376^Powers!B376</f>
        <v>#NUM!</v>
      </c>
    </row>
    <row r="377" spans="1:1" x14ac:dyDescent="0.35">
      <c r="A377" t="e">
        <f>Powers!A377^Powers!B377</f>
        <v>#NUM!</v>
      </c>
    </row>
    <row r="378" spans="1:1" x14ac:dyDescent="0.35">
      <c r="A378" t="e">
        <f>Powers!A378^Powers!B378</f>
        <v>#NUM!</v>
      </c>
    </row>
    <row r="379" spans="1:1" x14ac:dyDescent="0.35">
      <c r="A379">
        <f>Powers!A379^Powers!B379</f>
        <v>-2.6826957952797255</v>
      </c>
    </row>
    <row r="380" spans="1:1" x14ac:dyDescent="0.35">
      <c r="A380" t="e">
        <f>Powers!A380^Powers!B380</f>
        <v>#NUM!</v>
      </c>
    </row>
    <row r="381" spans="1:1" x14ac:dyDescent="0.35">
      <c r="A381" t="e">
        <f>Powers!A381^Powers!B381</f>
        <v>#NUM!</v>
      </c>
    </row>
    <row r="382" spans="1:1" x14ac:dyDescent="0.35">
      <c r="A382">
        <f>Powers!A382^Powers!B382</f>
        <v>-3.9810717055349727</v>
      </c>
    </row>
    <row r="383" spans="1:1" x14ac:dyDescent="0.35">
      <c r="A383">
        <f>Powers!A383^Powers!B383</f>
        <v>-0.25118864315095801</v>
      </c>
    </row>
    <row r="384" spans="1:1" x14ac:dyDescent="0.35">
      <c r="A384">
        <f>Powers!A384^Powers!B384</f>
        <v>-2.1544346900318838</v>
      </c>
    </row>
    <row r="385" spans="1:1" x14ac:dyDescent="0.35">
      <c r="A385">
        <f>Powers!A385^Powers!B385</f>
        <v>-0.50000000000000011</v>
      </c>
    </row>
    <row r="386" spans="1:1" x14ac:dyDescent="0.35">
      <c r="A386">
        <f>Powers!A386^Powers!B386</f>
        <v>-1.9999999999999996</v>
      </c>
    </row>
    <row r="387" spans="1:1" x14ac:dyDescent="0.35">
      <c r="A387">
        <f>Powers!A387^Powers!B387</f>
        <v>-0.6597539553864471</v>
      </c>
    </row>
    <row r="388" spans="1:1" x14ac:dyDescent="0.35">
      <c r="A388">
        <f>Powers!A388^Powers!B388</f>
        <v>-1.5157165665103982</v>
      </c>
    </row>
    <row r="389" spans="1:1" x14ac:dyDescent="0.35">
      <c r="A389" t="e">
        <f>Powers!A389^Powers!B389</f>
        <v>#NUM!</v>
      </c>
    </row>
    <row r="390" spans="1:1" x14ac:dyDescent="0.35">
      <c r="A390" t="e">
        <f>Powers!A390^Powers!B390</f>
        <v>#NUM!</v>
      </c>
    </row>
    <row r="391" spans="1:1" x14ac:dyDescent="0.35">
      <c r="A391" t="e">
        <f>Powers!A391^Powers!B391</f>
        <v>#NUM!</v>
      </c>
    </row>
    <row r="392" spans="1:1" x14ac:dyDescent="0.35">
      <c r="A392" t="e">
        <f>Powers!A392^Powers!B392</f>
        <v>#NUM!</v>
      </c>
    </row>
    <row r="393" spans="1:1" x14ac:dyDescent="0.35">
      <c r="A393">
        <f>Powers!A393^Powers!B393</f>
        <v>-0.74299714456847421</v>
      </c>
    </row>
    <row r="394" spans="1:1" x14ac:dyDescent="0.35">
      <c r="A394" t="e">
        <f>Powers!A394^Powers!B394</f>
        <v>#NUM!</v>
      </c>
    </row>
    <row r="395" spans="1:1" x14ac:dyDescent="0.35">
      <c r="A395" t="e">
        <f>Powers!A395^Powers!B395</f>
        <v>#NUM!</v>
      </c>
    </row>
    <row r="396" spans="1:1" x14ac:dyDescent="0.35">
      <c r="A396">
        <f>Powers!A396^Powers!B396</f>
        <v>-0.6597539553864471</v>
      </c>
    </row>
    <row r="397" spans="1:1" x14ac:dyDescent="0.35">
      <c r="A397">
        <f>Powers!A397^Powers!B397</f>
        <v>-1.5157165665103982</v>
      </c>
    </row>
    <row r="398" spans="1:1" x14ac:dyDescent="0.35">
      <c r="A398">
        <f>Powers!A398^Powers!B398</f>
        <v>-0.79370052598409979</v>
      </c>
    </row>
    <row r="399" spans="1:1" x14ac:dyDescent="0.35">
      <c r="A399">
        <f>Powers!A399^Powers!B399</f>
        <v>-1.4422495703074083</v>
      </c>
    </row>
    <row r="400" spans="1:1" x14ac:dyDescent="0.35">
      <c r="A400">
        <f>Powers!A400^Powers!B400</f>
        <v>-0.69336127435063477</v>
      </c>
    </row>
    <row r="401" spans="1:1" x14ac:dyDescent="0.35">
      <c r="A401">
        <f>Powers!A401^Powers!B401</f>
        <v>-1.2457309396155174</v>
      </c>
    </row>
    <row r="402" spans="1:1" x14ac:dyDescent="0.35">
      <c r="A402">
        <f>Powers!A402^Powers!B402</f>
        <v>-0.80274156176023059</v>
      </c>
    </row>
    <row r="403" spans="1:1" x14ac:dyDescent="0.35">
      <c r="A403" t="e">
        <f>Powers!A403^Powers!B403</f>
        <v>#NUM!</v>
      </c>
    </row>
    <row r="404" spans="1:1" x14ac:dyDescent="0.35">
      <c r="A404" t="e">
        <f>Powers!A404^Powers!B404</f>
        <v>#NUM!</v>
      </c>
    </row>
    <row r="405" spans="1:1" x14ac:dyDescent="0.35">
      <c r="A405" t="e">
        <f>Powers!A405^Powers!B405</f>
        <v>#NUM!</v>
      </c>
    </row>
    <row r="406" spans="1:1" x14ac:dyDescent="0.35">
      <c r="A406" t="e">
        <f>Powers!A406^Powers!B406</f>
        <v>#NUM!</v>
      </c>
    </row>
    <row r="407" spans="1:1" x14ac:dyDescent="0.35">
      <c r="A407">
        <f>Powers!A407^Powers!B407</f>
        <v>-1.1699308127586869</v>
      </c>
    </row>
    <row r="408" spans="1:1" x14ac:dyDescent="0.35">
      <c r="A408" t="e">
        <f>Powers!A408^Powers!B408</f>
        <v>#NUM!</v>
      </c>
    </row>
    <row r="409" spans="1:1" x14ac:dyDescent="0.35">
      <c r="A409" t="e">
        <f>Powers!A409^Powers!B409</f>
        <v>#NUM!</v>
      </c>
    </row>
    <row r="410" spans="1:1" x14ac:dyDescent="0.35">
      <c r="A410">
        <f>Powers!A410^Powers!B410</f>
        <v>-1.2457309396155174</v>
      </c>
    </row>
    <row r="411" spans="1:1" x14ac:dyDescent="0.35">
      <c r="A411">
        <f>Powers!A411^Powers!B411</f>
        <v>-0.80274156176023059</v>
      </c>
    </row>
    <row r="412" spans="1:1" x14ac:dyDescent="0.35">
      <c r="A412">
        <f>Powers!A412^Powers!B412</f>
        <v>-1.129830963909753</v>
      </c>
    </row>
    <row r="413" spans="1:1" x14ac:dyDescent="0.35">
      <c r="A413">
        <f>Powers!A413^Powers!B413</f>
        <v>1.4153893700331359E-4</v>
      </c>
    </row>
    <row r="414" spans="1:1" x14ac:dyDescent="0.35">
      <c r="A414">
        <f>Powers!A414^Powers!B414</f>
        <v>8.3310692353190049E-4</v>
      </c>
    </row>
    <row r="415" spans="1:1" x14ac:dyDescent="0.35">
      <c r="A415">
        <f>Powers!A415^Powers!B415</f>
        <v>4.9037187980332155E-3</v>
      </c>
    </row>
    <row r="416" spans="1:1" x14ac:dyDescent="0.35">
      <c r="A416">
        <f>Powers!A416^Powers!B416</f>
        <v>2.8863591660288929E-2</v>
      </c>
    </row>
    <row r="417" spans="1:1" x14ac:dyDescent="0.35">
      <c r="A417">
        <f>Powers!A417^Powers!B417</f>
        <v>0.16989288290063517</v>
      </c>
    </row>
    <row r="418" spans="1:1" x14ac:dyDescent="0.35">
      <c r="A418">
        <f>Powers!A418^Powers!B418</f>
        <v>1</v>
      </c>
    </row>
    <row r="419" spans="1:1" x14ac:dyDescent="0.35">
      <c r="A419">
        <f>Powers!A419^Powers!B419</f>
        <v>5.8860617521268832</v>
      </c>
    </row>
    <row r="420" spans="1:1" x14ac:dyDescent="0.35">
      <c r="A420">
        <f>Powers!A420^Powers!B420</f>
        <v>34.645722949850999</v>
      </c>
    </row>
    <row r="421" spans="1:1" x14ac:dyDescent="0.35">
      <c r="A421">
        <f>Powers!A421^Powers!B421</f>
        <v>203.92686472990258</v>
      </c>
    </row>
    <row r="422" spans="1:1" x14ac:dyDescent="0.35">
      <c r="A422">
        <f>Powers!A422^Powers!B422</f>
        <v>1200.3261187178323</v>
      </c>
    </row>
    <row r="423" spans="1:1" x14ac:dyDescent="0.35">
      <c r="A423">
        <f>Powers!A423^Powers!B423</f>
        <v>7065.1936574639449</v>
      </c>
    </row>
    <row r="424" spans="1:1" x14ac:dyDescent="0.35">
      <c r="A424">
        <f>Powers!A424^Powers!B424</f>
        <v>4.4348067645220195E-6</v>
      </c>
    </row>
    <row r="425" spans="1:1" x14ac:dyDescent="0.35">
      <c r="A425">
        <f>Powers!A425^Powers!B425</f>
        <v>5.2179481713146371E-5</v>
      </c>
    </row>
    <row r="426" spans="1:1" x14ac:dyDescent="0.35">
      <c r="A426">
        <f>Powers!A426^Powers!B426</f>
        <v>6.1393843213956292E-4</v>
      </c>
    </row>
    <row r="427" spans="1:1" x14ac:dyDescent="0.35">
      <c r="A427">
        <f>Powers!A427^Powers!B427</f>
        <v>7.2235366485639413E-3</v>
      </c>
    </row>
    <row r="428" spans="1:1" x14ac:dyDescent="0.35">
      <c r="A428">
        <f>Powers!A428^Powers!B428</f>
        <v>8.4991391614468476E-2</v>
      </c>
    </row>
    <row r="429" spans="1:1" x14ac:dyDescent="0.35">
      <c r="A429">
        <f>Powers!A429^Powers!B429</f>
        <v>1</v>
      </c>
    </row>
    <row r="430" spans="1:1" x14ac:dyDescent="0.35">
      <c r="A430">
        <f>Powers!A430^Powers!B430</f>
        <v>11.765897475077528</v>
      </c>
    </row>
    <row r="431" spans="1:1" x14ac:dyDescent="0.35">
      <c r="A431">
        <f>Powers!A431^Powers!B431</f>
        <v>138.43634339403576</v>
      </c>
    </row>
    <row r="432" spans="1:1" x14ac:dyDescent="0.35">
      <c r="A432">
        <f>Powers!A432^Powers!B432</f>
        <v>1628.8278231988513</v>
      </c>
    </row>
    <row r="433" spans="1:1" x14ac:dyDescent="0.35">
      <c r="A433">
        <f>Powers!A433^Powers!B433</f>
        <v>19164.621172311392</v>
      </c>
    </row>
    <row r="434" spans="1:1" x14ac:dyDescent="0.35">
      <c r="A434">
        <f>Powers!A434^Powers!B434</f>
        <v>225488.96786211594</v>
      </c>
    </row>
    <row r="435" spans="1:1" x14ac:dyDescent="0.35">
      <c r="A435">
        <f>Powers!A435^Powers!B435</f>
        <v>3.1469017621049458E-8</v>
      </c>
    </row>
    <row r="436" spans="1:1" x14ac:dyDescent="0.35">
      <c r="A436">
        <f>Powers!A436^Powers!B436</f>
        <v>9.9610827624961451E-7</v>
      </c>
    </row>
    <row r="437" spans="1:1" x14ac:dyDescent="0.35">
      <c r="A437">
        <f>Powers!A437^Powers!B437</f>
        <v>3.153043129472461E-5</v>
      </c>
    </row>
    <row r="438" spans="1:1" x14ac:dyDescent="0.35">
      <c r="A438">
        <f>Powers!A438^Powers!B438</f>
        <v>9.9805224124271887E-4</v>
      </c>
    </row>
    <row r="439" spans="1:1" x14ac:dyDescent="0.35">
      <c r="A439">
        <f>Powers!A439^Powers!B439</f>
        <v>3.1591964820864168E-2</v>
      </c>
    </row>
    <row r="440" spans="1:1" x14ac:dyDescent="0.35">
      <c r="A440">
        <f>Powers!A440^Powers!B440</f>
        <v>1</v>
      </c>
    </row>
    <row r="441" spans="1:1" x14ac:dyDescent="0.35">
      <c r="A441">
        <f>Powers!A441^Powers!B441</f>
        <v>31.653618433367388</v>
      </c>
    </row>
    <row r="442" spans="1:1" x14ac:dyDescent="0.35">
      <c r="A442">
        <f>Powers!A442^Powers!B442</f>
        <v>1001.9515599252157</v>
      </c>
    </row>
    <row r="443" spans="1:1" x14ac:dyDescent="0.35">
      <c r="A443">
        <f>Powers!A443^Powers!B443</f>
        <v>31715.392366590018</v>
      </c>
    </row>
    <row r="444" spans="1:1" x14ac:dyDescent="0.35">
      <c r="A444">
        <f>Powers!A444^Powers!B444</f>
        <v>1003906.9284365732</v>
      </c>
    </row>
    <row r="445" spans="1:1" x14ac:dyDescent="0.35">
      <c r="A445">
        <f>Powers!A445^Powers!B445</f>
        <v>31777286.855345152</v>
      </c>
    </row>
    <row r="446" spans="1:1" x14ac:dyDescent="0.35">
      <c r="A446">
        <f>Powers!A446^Powers!B446</f>
        <v>26115.028378713985</v>
      </c>
    </row>
    <row r="447" spans="1:1" x14ac:dyDescent="0.35">
      <c r="A447">
        <f>Powers!A447^Powers!B447</f>
        <v>3415.9570513576946</v>
      </c>
    </row>
    <row r="448" spans="1:1" x14ac:dyDescent="0.35">
      <c r="A448">
        <f>Powers!A448^Powers!B448</f>
        <v>446.82174598865868</v>
      </c>
    </row>
    <row r="449" spans="1:1" x14ac:dyDescent="0.35">
      <c r="A449">
        <f>Powers!A449^Powers!B449</f>
        <v>58.446189365583912</v>
      </c>
    </row>
    <row r="450" spans="1:1" x14ac:dyDescent="0.35">
      <c r="A450">
        <f>Powers!A450^Powers!B450</f>
        <v>7.6450107498671258</v>
      </c>
    </row>
    <row r="451" spans="1:1" x14ac:dyDescent="0.35">
      <c r="A451">
        <f>Powers!A451^Powers!B451</f>
        <v>1</v>
      </c>
    </row>
    <row r="452" spans="1:1" x14ac:dyDescent="0.35">
      <c r="A452">
        <f>Powers!A452^Powers!B452</f>
        <v>0.13080426342335497</v>
      </c>
    </row>
    <row r="453" spans="1:1" x14ac:dyDescent="0.35">
      <c r="A453">
        <f>Powers!A453^Powers!B453</f>
        <v>1.7109755329726438E-2</v>
      </c>
    </row>
    <row r="454" spans="1:1" x14ac:dyDescent="0.35">
      <c r="A454">
        <f>Powers!A454^Powers!B454</f>
        <v>2.2380289432586886E-3</v>
      </c>
    </row>
    <row r="455" spans="1:1" x14ac:dyDescent="0.35">
      <c r="A455">
        <f>Powers!A455^Powers!B455</f>
        <v>2.9274372744310221E-4</v>
      </c>
    </row>
    <row r="456" spans="1:1" x14ac:dyDescent="0.35">
      <c r="A456">
        <f>Powers!A456^Powers!B456</f>
        <v>3.8292127640002367E-5</v>
      </c>
    </row>
    <row r="457" spans="1:1" x14ac:dyDescent="0.35">
      <c r="A457">
        <f>Powers!A457^Powers!B457</f>
        <v>1.3064943394222195E-6</v>
      </c>
    </row>
    <row r="458" spans="1:1" x14ac:dyDescent="0.35">
      <c r="A458">
        <f>Powers!A458^Powers!B458</f>
        <v>1.9628450900351547E-5</v>
      </c>
    </row>
    <row r="459" spans="1:1" x14ac:dyDescent="0.35">
      <c r="A459">
        <f>Powers!A459^Powers!B459</f>
        <v>2.948930378970451E-4</v>
      </c>
    </row>
    <row r="460" spans="1:1" x14ac:dyDescent="0.35">
      <c r="A460">
        <f>Powers!A460^Powers!B460</f>
        <v>4.4304007606932741E-3</v>
      </c>
    </row>
    <row r="461" spans="1:1" x14ac:dyDescent="0.35">
      <c r="A461">
        <f>Powers!A461^Powers!B461</f>
        <v>6.6561255702497643E-2</v>
      </c>
    </row>
    <row r="462" spans="1:1" x14ac:dyDescent="0.35">
      <c r="A462">
        <f>Powers!A462^Powers!B462</f>
        <v>1</v>
      </c>
    </row>
    <row r="463" spans="1:1" x14ac:dyDescent="0.35">
      <c r="A463">
        <f>Powers!A463^Powers!B463</f>
        <v>15.023755027543389</v>
      </c>
    </row>
    <row r="464" spans="1:1" x14ac:dyDescent="0.35">
      <c r="A464">
        <f>Powers!A464^Powers!B464</f>
        <v>225.71321512763527</v>
      </c>
    </row>
    <row r="465" spans="1:1" x14ac:dyDescent="0.35">
      <c r="A465">
        <f>Powers!A465^Powers!B465</f>
        <v>3391.0600505567927</v>
      </c>
    </row>
    <row r="466" spans="1:1" x14ac:dyDescent="0.35">
      <c r="A466">
        <f>Powers!A466^Powers!B466</f>
        <v>50946.455483254154</v>
      </c>
    </row>
    <row r="467" spans="1:1" x14ac:dyDescent="0.35">
      <c r="A467">
        <f>Powers!A467^Powers!B467</f>
        <v>765407.06670205505</v>
      </c>
    </row>
    <row r="468" spans="1:1" x14ac:dyDescent="0.35">
      <c r="A468">
        <f>Powers!A468^Powers!B468</f>
        <v>4.7003890770741764E-6</v>
      </c>
    </row>
    <row r="469" spans="1:1" x14ac:dyDescent="0.35">
      <c r="A469">
        <f>Powers!A469^Powers!B469</f>
        <v>5.4664709774618857E-5</v>
      </c>
    </row>
    <row r="470" spans="1:1" x14ac:dyDescent="0.35">
      <c r="A470">
        <f>Powers!A470^Powers!B470</f>
        <v>6.3574109414009979E-4</v>
      </c>
    </row>
    <row r="471" spans="1:1" x14ac:dyDescent="0.35">
      <c r="A471">
        <f>Powers!A471^Powers!B471</f>
        <v>7.3935586678282907E-3</v>
      </c>
    </row>
    <row r="472" spans="1:1" x14ac:dyDescent="0.35">
      <c r="A472">
        <f>Powers!A472^Powers!B472</f>
        <v>8.5985805036809956E-2</v>
      </c>
    </row>
    <row r="473" spans="1:1" x14ac:dyDescent="0.35">
      <c r="A473">
        <f>Powers!A473^Powers!B473</f>
        <v>1</v>
      </c>
    </row>
    <row r="474" spans="1:1" x14ac:dyDescent="0.35">
      <c r="A474">
        <f>Powers!A474^Powers!B474</f>
        <v>11.629826569302999</v>
      </c>
    </row>
    <row r="475" spans="1:1" x14ac:dyDescent="0.35">
      <c r="A475">
        <f>Powers!A475^Powers!B475</f>
        <v>135.25286603206598</v>
      </c>
    </row>
    <row r="476" spans="1:1" x14ac:dyDescent="0.35">
      <c r="A476">
        <f>Powers!A476^Powers!B476</f>
        <v>1572.9673749540998</v>
      </c>
    </row>
    <row r="477" spans="1:1" x14ac:dyDescent="0.35">
      <c r="A477">
        <f>Powers!A477^Powers!B477</f>
        <v>18293.337769887985</v>
      </c>
    </row>
    <row r="478" spans="1:1" x14ac:dyDescent="0.35">
      <c r="A478">
        <f>Powers!A478^Powers!B478</f>
        <v>212748.34563747732</v>
      </c>
    </row>
    <row r="479" spans="1:1" x14ac:dyDescent="0.35">
      <c r="A479">
        <f>Powers!A479^Powers!B479</f>
        <v>7.4943257513694586E-2</v>
      </c>
    </row>
    <row r="480" spans="1:1" x14ac:dyDescent="0.35">
      <c r="A480">
        <f>Powers!A480^Powers!B480</f>
        <v>0.12583053789440901</v>
      </c>
    </row>
    <row r="481" spans="1:1" x14ac:dyDescent="0.35">
      <c r="A481">
        <f>Powers!A481^Powers!B481</f>
        <v>0.2112708306534852</v>
      </c>
    </row>
    <row r="482" spans="1:1" x14ac:dyDescent="0.35">
      <c r="A482">
        <f>Powers!A482^Powers!B482</f>
        <v>0.35472600397265636</v>
      </c>
    </row>
    <row r="483" spans="1:1" x14ac:dyDescent="0.35">
      <c r="A483">
        <f>Powers!A483^Powers!B483</f>
        <v>0.59558878764853895</v>
      </c>
    </row>
    <row r="484" spans="1:1" x14ac:dyDescent="0.35">
      <c r="A484">
        <f>Powers!A484^Powers!B484</f>
        <v>1</v>
      </c>
    </row>
    <row r="485" spans="1:1" x14ac:dyDescent="0.35">
      <c r="A485">
        <f>Powers!A485^Powers!B485</f>
        <v>1.6790107885477974</v>
      </c>
    </row>
    <row r="486" spans="1:1" x14ac:dyDescent="0.35">
      <c r="A486">
        <f>Powers!A486^Powers!B486</f>
        <v>2.8190772280598968</v>
      </c>
    </row>
    <row r="487" spans="1:1" x14ac:dyDescent="0.35">
      <c r="A487">
        <f>Powers!A487^Powers!B487</f>
        <v>4.7332610796619861</v>
      </c>
    </row>
    <row r="488" spans="1:1" x14ac:dyDescent="0.35">
      <c r="A488">
        <f>Powers!A488^Powers!B488</f>
        <v>7.9471964177658716</v>
      </c>
    </row>
    <row r="489" spans="1:1" x14ac:dyDescent="0.35">
      <c r="A489">
        <f>Powers!A489^Powers!B489</f>
        <v>13.343428524137307</v>
      </c>
    </row>
    <row r="490" spans="1:1" x14ac:dyDescent="0.35">
      <c r="A490">
        <f>Powers!A490^Powers!B490</f>
        <v>5.3117319656349142</v>
      </c>
    </row>
    <row r="491" spans="1:1" x14ac:dyDescent="0.35">
      <c r="A491">
        <f>Powers!A491^Powers!B491</f>
        <v>3.8035481778870626</v>
      </c>
    </row>
    <row r="492" spans="1:1" x14ac:dyDescent="0.35">
      <c r="A492">
        <f>Powers!A492^Powers!B492</f>
        <v>2.7235897509709441</v>
      </c>
    </row>
    <row r="493" spans="1:1" x14ac:dyDescent="0.35">
      <c r="A493">
        <f>Powers!A493^Powers!B493</f>
        <v>1.9502687450418374</v>
      </c>
    </row>
    <row r="494" spans="1:1" x14ac:dyDescent="0.35">
      <c r="A494">
        <f>Powers!A494^Powers!B494</f>
        <v>1.3965202272225912</v>
      </c>
    </row>
    <row r="495" spans="1:1" x14ac:dyDescent="0.35">
      <c r="A495">
        <f>Powers!A495^Powers!B495</f>
        <v>1</v>
      </c>
    </row>
    <row r="496" spans="1:1" x14ac:dyDescent="0.35">
      <c r="A496">
        <f>Powers!A496^Powers!B496</f>
        <v>0.71606553239032333</v>
      </c>
    </row>
    <row r="497" spans="1:1" x14ac:dyDescent="0.35">
      <c r="A497">
        <f>Powers!A497^Powers!B497</f>
        <v>0.51274984667743717</v>
      </c>
    </row>
    <row r="498" spans="1:1" x14ac:dyDescent="0.35">
      <c r="A498">
        <f>Powers!A498^Powers!B498</f>
        <v>0.36716249194413575</v>
      </c>
    </row>
    <row r="499" spans="1:1" x14ac:dyDescent="0.35">
      <c r="A499">
        <f>Powers!A499^Powers!B499</f>
        <v>0.26291240526773541</v>
      </c>
    </row>
    <row r="500" spans="1:1" x14ac:dyDescent="0.35">
      <c r="A500">
        <f>Powers!A500^Powers!B500</f>
        <v>0.18826251145006137</v>
      </c>
    </row>
    <row r="501" spans="1:1" x14ac:dyDescent="0.35">
      <c r="A501">
        <f>Powers!A501^Powers!B501</f>
        <v>2.0292168261858854E-9</v>
      </c>
    </row>
    <row r="502" spans="1:1" x14ac:dyDescent="0.35">
      <c r="A502">
        <f>Powers!A502^Powers!B502</f>
        <v>1.1113804778767303E-7</v>
      </c>
    </row>
    <row r="503" spans="1:1" x14ac:dyDescent="0.35">
      <c r="A503">
        <f>Powers!A503^Powers!B503</f>
        <v>6.0869126978762902E-6</v>
      </c>
    </row>
    <row r="504" spans="1:1" x14ac:dyDescent="0.35">
      <c r="A504">
        <f>Powers!A504^Powers!B504</f>
        <v>3.3337373589962518E-4</v>
      </c>
    </row>
    <row r="505" spans="1:1" x14ac:dyDescent="0.35">
      <c r="A505">
        <f>Powers!A505^Powers!B505</f>
        <v>1.825852501982636E-2</v>
      </c>
    </row>
    <row r="506" spans="1:1" x14ac:dyDescent="0.35">
      <c r="A506">
        <f>Powers!A506^Powers!B506</f>
        <v>1</v>
      </c>
    </row>
    <row r="507" spans="1:1" x14ac:dyDescent="0.35">
      <c r="A507">
        <f>Powers!A507^Powers!B507</f>
        <v>54.768936642698762</v>
      </c>
    </row>
    <row r="508" spans="1:1" x14ac:dyDescent="0.35">
      <c r="A508">
        <f>Powers!A508^Powers!B508</f>
        <v>2999.6364209719509</v>
      </c>
    </row>
    <row r="509" spans="1:1" x14ac:dyDescent="0.35">
      <c r="A509">
        <f>Powers!A509^Powers!B509</f>
        <v>164286.89709134446</v>
      </c>
    </row>
    <row r="510" spans="1:1" x14ac:dyDescent="0.35">
      <c r="A510">
        <f>Powers!A510^Powers!B510</f>
        <v>8997818.6580214147</v>
      </c>
    </row>
    <row r="511" spans="1:1" x14ac:dyDescent="0.35">
      <c r="A511">
        <f>Powers!A511^Powers!B511</f>
        <v>492800960.00366765</v>
      </c>
    </row>
    <row r="512" spans="1:1" x14ac:dyDescent="0.35">
      <c r="A512">
        <f>Powers!A512^Powers!B512</f>
        <v>2.4920573983296417E-9</v>
      </c>
    </row>
    <row r="513" spans="1:1" x14ac:dyDescent="0.35">
      <c r="A513">
        <f>Powers!A513^Powers!B513</f>
        <v>1.3099250061481362E-7</v>
      </c>
    </row>
    <row r="514" spans="1:1" x14ac:dyDescent="0.35">
      <c r="A514">
        <f>Powers!A514^Powers!B514</f>
        <v>6.8854895673041817E-6</v>
      </c>
    </row>
    <row r="515" spans="1:1" x14ac:dyDescent="0.35">
      <c r="A515">
        <f>Powers!A515^Powers!B515</f>
        <v>3.6192886126256032E-4</v>
      </c>
    </row>
    <row r="516" spans="1:1" x14ac:dyDescent="0.35">
      <c r="A516">
        <f>Powers!A516^Powers!B516</f>
        <v>1.9024428014070761E-2</v>
      </c>
    </row>
    <row r="517" spans="1:1" x14ac:dyDescent="0.35">
      <c r="A517">
        <f>Powers!A517^Powers!B517</f>
        <v>1</v>
      </c>
    </row>
    <row r="518" spans="1:1" x14ac:dyDescent="0.35">
      <c r="A518">
        <f>Powers!A518^Powers!B518</f>
        <v>52.563998205905826</v>
      </c>
    </row>
    <row r="519" spans="1:1" x14ac:dyDescent="0.35">
      <c r="A519">
        <f>Powers!A519^Powers!B519</f>
        <v>2762.9739073904711</v>
      </c>
    </row>
    <row r="520" spans="1:1" x14ac:dyDescent="0.35">
      <c r="A520">
        <f>Powers!A520^Powers!B520</f>
        <v>145232.95551103735</v>
      </c>
    </row>
    <row r="521" spans="1:1" x14ac:dyDescent="0.35">
      <c r="A521">
        <f>Powers!A521^Powers!B521</f>
        <v>7634024.8129205676</v>
      </c>
    </row>
    <row r="522" spans="1:1" x14ac:dyDescent="0.35">
      <c r="A522">
        <f>Powers!A522^Powers!B522</f>
        <v>401274866.57019728</v>
      </c>
    </row>
    <row r="523" spans="1:1" x14ac:dyDescent="0.35">
      <c r="A523">
        <f>Powers!A523^Powers!B523</f>
        <v>30.387689410486139</v>
      </c>
    </row>
    <row r="524" spans="1:1" x14ac:dyDescent="0.35">
      <c r="A524">
        <f>Powers!A524^Powers!B524</f>
        <v>15.351758968272367</v>
      </c>
    </row>
    <row r="525" spans="1:1" x14ac:dyDescent="0.35">
      <c r="A525">
        <f>Powers!A525^Powers!B525</f>
        <v>7.7556572412051867</v>
      </c>
    </row>
    <row r="526" spans="1:1" x14ac:dyDescent="0.35">
      <c r="A526">
        <f>Powers!A526^Powers!B526</f>
        <v>3.9181320764201359</v>
      </c>
    </row>
    <row r="527" spans="1:1" x14ac:dyDescent="0.35">
      <c r="A527">
        <f>Powers!A527^Powers!B527</f>
        <v>1.9794272091744458</v>
      </c>
    </row>
    <row r="528" spans="1:1" x14ac:dyDescent="0.35">
      <c r="A528">
        <f>Powers!A528^Powers!B528</f>
        <v>1</v>
      </c>
    </row>
    <row r="529" spans="1:1" x14ac:dyDescent="0.35">
      <c r="A529">
        <f>Powers!A529^Powers!B529</f>
        <v>0.50519665252912593</v>
      </c>
    </row>
    <row r="530" spans="1:1" x14ac:dyDescent="0.35">
      <c r="A530">
        <f>Powers!A530^Powers!B530</f>
        <v>0.25522365772663436</v>
      </c>
    </row>
    <row r="531" spans="1:1" x14ac:dyDescent="0.35">
      <c r="A531">
        <f>Powers!A531^Powers!B531</f>
        <v>0.12893813752973507</v>
      </c>
    </row>
    <row r="532" spans="1:1" x14ac:dyDescent="0.35">
      <c r="A532">
        <f>Powers!A532^Powers!B532</f>
        <v>6.5139115463362207E-2</v>
      </c>
    </row>
    <row r="533" spans="1:1" x14ac:dyDescent="0.35">
      <c r="A533">
        <f>Powers!A533^Powers!B533</f>
        <v>3.2908063080798813E-2</v>
      </c>
    </row>
    <row r="534" spans="1:1" x14ac:dyDescent="0.35">
      <c r="A534">
        <f>Powers!A534^Powers!B534</f>
        <v>3.4911396376907309E-8</v>
      </c>
    </row>
    <row r="535" spans="1:1" x14ac:dyDescent="0.35">
      <c r="A535">
        <f>Powers!A535^Powers!B535</f>
        <v>1.082365089111696E-6</v>
      </c>
    </row>
    <row r="536" spans="1:1" x14ac:dyDescent="0.35">
      <c r="A536">
        <f>Powers!A536^Powers!B536</f>
        <v>3.3556783964753875E-5</v>
      </c>
    </row>
    <row r="537" spans="1:1" x14ac:dyDescent="0.35">
      <c r="A537">
        <f>Powers!A537^Powers!B537</f>
        <v>1.0403677662786828E-3</v>
      </c>
    </row>
    <row r="538" spans="1:1" x14ac:dyDescent="0.35">
      <c r="A538">
        <f>Powers!A538^Powers!B538</f>
        <v>3.2254732463294175E-2</v>
      </c>
    </row>
    <row r="539" spans="1:1" x14ac:dyDescent="0.35">
      <c r="A539">
        <f>Powers!A539^Powers!B539</f>
        <v>1</v>
      </c>
    </row>
    <row r="540" spans="1:1" x14ac:dyDescent="0.35">
      <c r="A540">
        <f>Powers!A540^Powers!B540</f>
        <v>31.003202433565313</v>
      </c>
    </row>
    <row r="541" spans="1:1" x14ac:dyDescent="0.35">
      <c r="A541">
        <f>Powers!A541^Powers!B541</f>
        <v>961.19856113663025</v>
      </c>
    </row>
    <row r="542" spans="1:1" x14ac:dyDescent="0.35">
      <c r="A542">
        <f>Powers!A542^Powers!B542</f>
        <v>29800.233569770655</v>
      </c>
    </row>
    <row r="543" spans="1:1" x14ac:dyDescent="0.35">
      <c r="A543">
        <f>Powers!A543^Powers!B543</f>
        <v>923902.67393112835</v>
      </c>
    </row>
    <row r="544" spans="1:1" x14ac:dyDescent="0.35">
      <c r="A544">
        <f>Powers!A544^Powers!B544</f>
        <v>28643941.628799062</v>
      </c>
    </row>
    <row r="545" spans="1:1" x14ac:dyDescent="0.35">
      <c r="A545">
        <f>Powers!A545^Powers!B545</f>
        <v>1.38364364241006E-3</v>
      </c>
    </row>
    <row r="546" spans="1:1" x14ac:dyDescent="0.35">
      <c r="A546">
        <f>Powers!A546^Powers!B546</f>
        <v>5.1620166561823881E-3</v>
      </c>
    </row>
    <row r="547" spans="1:1" x14ac:dyDescent="0.35">
      <c r="A547">
        <f>Powers!A547^Powers!B547</f>
        <v>1.9258149383240841E-2</v>
      </c>
    </row>
    <row r="548" spans="1:1" x14ac:dyDescent="0.35">
      <c r="A548">
        <f>Powers!A548^Powers!B548</f>
        <v>7.1847175700805302E-2</v>
      </c>
    </row>
    <row r="549" spans="1:1" x14ac:dyDescent="0.35">
      <c r="A549">
        <f>Powers!A549^Powers!B549</f>
        <v>0.26804323476037462</v>
      </c>
    </row>
    <row r="550" spans="1:1" x14ac:dyDescent="0.35">
      <c r="A550">
        <f>Powers!A550^Powers!B550</f>
        <v>1</v>
      </c>
    </row>
    <row r="551" spans="1:1" x14ac:dyDescent="0.35">
      <c r="A551">
        <f>Powers!A551^Powers!B551</f>
        <v>3.7307414264492826</v>
      </c>
    </row>
    <row r="552" spans="1:1" x14ac:dyDescent="0.35">
      <c r="A552">
        <f>Powers!A552^Powers!B552</f>
        <v>13.918431591024829</v>
      </c>
    </row>
    <row r="553" spans="1:1" x14ac:dyDescent="0.35">
      <c r="A553">
        <f>Powers!A553^Powers!B553</f>
        <v>51.926069327836728</v>
      </c>
    </row>
    <row r="554" spans="1:1" x14ac:dyDescent="0.35">
      <c r="A554">
        <f>Powers!A554^Powers!B554</f>
        <v>193.72273795403797</v>
      </c>
    </row>
    <row r="555" spans="1:1" x14ac:dyDescent="0.35">
      <c r="A555">
        <f>Powers!A555^Powers!B555</f>
        <v>722.72944373030816</v>
      </c>
    </row>
    <row r="556" spans="1:1" x14ac:dyDescent="0.35">
      <c r="A556">
        <f>Powers!A556^Powers!B556</f>
        <v>2.2567412439452454E-8</v>
      </c>
    </row>
    <row r="557" spans="1:1" x14ac:dyDescent="0.35">
      <c r="A557">
        <f>Powers!A557^Powers!B557</f>
        <v>7.6345846163336683E-7</v>
      </c>
    </row>
    <row r="558" spans="1:1" x14ac:dyDescent="0.35">
      <c r="A558">
        <f>Powers!A558^Powers!B558</f>
        <v>2.5827897824059485E-5</v>
      </c>
    </row>
    <row r="559" spans="1:1" x14ac:dyDescent="0.35">
      <c r="A559">
        <f>Powers!A559^Powers!B559</f>
        <v>8.7376110100723006E-4</v>
      </c>
    </row>
    <row r="560" spans="1:1" x14ac:dyDescent="0.35">
      <c r="A560">
        <f>Powers!A560^Powers!B560</f>
        <v>2.9559450282561579E-2</v>
      </c>
    </row>
    <row r="561" spans="1:1" x14ac:dyDescent="0.35">
      <c r="A561">
        <f>Powers!A561^Powers!B561</f>
        <v>1</v>
      </c>
    </row>
    <row r="562" spans="1:1" x14ac:dyDescent="0.35">
      <c r="A562">
        <f>Powers!A562^Powers!B562</f>
        <v>33.83012845099978</v>
      </c>
    </row>
    <row r="563" spans="1:1" x14ac:dyDescent="0.35">
      <c r="A563">
        <f>Powers!A563^Powers!B563</f>
        <v>1144.4775910111446</v>
      </c>
    </row>
    <row r="564" spans="1:1" x14ac:dyDescent="0.35">
      <c r="A564">
        <f>Powers!A564^Powers!B564</f>
        <v>38717.823913197812</v>
      </c>
    </row>
    <row r="565" spans="1:1" x14ac:dyDescent="0.35">
      <c r="A565">
        <f>Powers!A565^Powers!B565</f>
        <v>1309828.9563266728</v>
      </c>
    </row>
    <row r="566" spans="1:1" x14ac:dyDescent="0.35">
      <c r="A566">
        <f>Powers!A566^Powers!B566</f>
        <v>44311681.841370322</v>
      </c>
    </row>
    <row r="567" spans="1:1" x14ac:dyDescent="0.35">
      <c r="A567">
        <f>Powers!A567^Powers!B567</f>
        <v>737.06313464051482</v>
      </c>
    </row>
    <row r="568" spans="1:1" x14ac:dyDescent="0.35">
      <c r="A568">
        <f>Powers!A568^Powers!B568</f>
        <v>196.7903290317962</v>
      </c>
    </row>
    <row r="569" spans="1:1" x14ac:dyDescent="0.35">
      <c r="A569">
        <f>Powers!A569^Powers!B569</f>
        <v>52.541541939050461</v>
      </c>
    </row>
    <row r="570" spans="1:1" x14ac:dyDescent="0.35">
      <c r="A570">
        <f>Powers!A570^Powers!B570</f>
        <v>14.028197640174456</v>
      </c>
    </row>
    <row r="571" spans="1:1" x14ac:dyDescent="0.35">
      <c r="A571">
        <f>Powers!A571^Powers!B571</f>
        <v>3.7454235595155931</v>
      </c>
    </row>
    <row r="572" spans="1:1" x14ac:dyDescent="0.35">
      <c r="A572">
        <f>Powers!A572^Powers!B572</f>
        <v>1</v>
      </c>
    </row>
    <row r="573" spans="1:1" x14ac:dyDescent="0.35">
      <c r="A573">
        <f>Powers!A573^Powers!B573</f>
        <v>0.26699250007636866</v>
      </c>
    </row>
    <row r="574" spans="1:1" x14ac:dyDescent="0.35">
      <c r="A574">
        <f>Powers!A574^Powers!B574</f>
        <v>7.1284995097029721E-2</v>
      </c>
    </row>
    <row r="575" spans="1:1" x14ac:dyDescent="0.35">
      <c r="A575">
        <f>Powers!A575^Powers!B575</f>
        <v>1.9032559058887646E-2</v>
      </c>
    </row>
    <row r="576" spans="1:1" x14ac:dyDescent="0.35">
      <c r="A576">
        <f>Powers!A576^Powers!B576</f>
        <v>5.0815505259835508E-3</v>
      </c>
    </row>
    <row r="577" spans="1:1" x14ac:dyDescent="0.35">
      <c r="A577">
        <f>Powers!A577^Powers!B577</f>
        <v>1.3567358791967345E-3</v>
      </c>
    </row>
    <row r="578" spans="1:1" x14ac:dyDescent="0.35">
      <c r="A578">
        <f>Powers!A578^Powers!B578</f>
        <v>1.0007006752268331E-8</v>
      </c>
    </row>
    <row r="579" spans="1:1" x14ac:dyDescent="0.35">
      <c r="A579">
        <f>Powers!A579^Powers!B579</f>
        <v>3.9833030998758044E-7</v>
      </c>
    </row>
    <row r="580" spans="1:1" x14ac:dyDescent="0.35">
      <c r="A580">
        <f>Powers!A580^Powers!B580</f>
        <v>1.5855593963583182E-5</v>
      </c>
    </row>
    <row r="581" spans="1:1" x14ac:dyDescent="0.35">
      <c r="A581">
        <f>Powers!A581^Powers!B581</f>
        <v>6.3113414579436312E-4</v>
      </c>
    </row>
    <row r="582" spans="1:1" x14ac:dyDescent="0.35">
      <c r="A582">
        <f>Powers!A582^Powers!B582</f>
        <v>2.5122383362140687E-2</v>
      </c>
    </row>
    <row r="583" spans="1:1" x14ac:dyDescent="0.35">
      <c r="A583">
        <f>Powers!A583^Powers!B583</f>
        <v>1</v>
      </c>
    </row>
    <row r="584" spans="1:1" x14ac:dyDescent="0.35">
      <c r="A584">
        <f>Powers!A584^Powers!B584</f>
        <v>39.805140522893034</v>
      </c>
    </row>
    <row r="585" spans="1:1" x14ac:dyDescent="0.35">
      <c r="A585">
        <f>Powers!A585^Powers!B585</f>
        <v>1584.4492120472614</v>
      </c>
    </row>
    <row r="586" spans="1:1" x14ac:dyDescent="0.35">
      <c r="A586">
        <f>Powers!A586^Powers!B586</f>
        <v>63069.223536928381</v>
      </c>
    </row>
    <row r="587" spans="1:1" x14ac:dyDescent="0.35">
      <c r="A587">
        <f>Powers!A587^Powers!B587</f>
        <v>2510479.3055571872</v>
      </c>
    </row>
    <row r="588" spans="1:1" x14ac:dyDescent="0.35">
      <c r="A588">
        <f>Powers!A588^Powers!B588</f>
        <v>99929981.53751877</v>
      </c>
    </row>
    <row r="589" spans="1:1" x14ac:dyDescent="0.35">
      <c r="A589">
        <f>Powers!A589^Powers!B589</f>
        <v>1.4795780020797717E-9</v>
      </c>
    </row>
    <row r="590" spans="1:1" x14ac:dyDescent="0.35">
      <c r="A590">
        <f>Powers!A590^Powers!B590</f>
        <v>8.6319773595853326E-8</v>
      </c>
    </row>
    <row r="591" spans="1:1" x14ac:dyDescent="0.35">
      <c r="A591">
        <f>Powers!A591^Powers!B591</f>
        <v>5.0359651895106029E-6</v>
      </c>
    </row>
    <row r="592" spans="1:1" x14ac:dyDescent="0.35">
      <c r="A592">
        <f>Powers!A592^Powers!B592</f>
        <v>2.9380226955531391E-4</v>
      </c>
    </row>
    <row r="593" spans="1:1" x14ac:dyDescent="0.35">
      <c r="A593">
        <f>Powers!A593^Powers!B593</f>
        <v>1.7140661292823971E-2</v>
      </c>
    </row>
    <row r="594" spans="1:1" x14ac:dyDescent="0.35">
      <c r="A594">
        <f>Powers!A594^Powers!B594</f>
        <v>1</v>
      </c>
    </row>
    <row r="595" spans="1:1" x14ac:dyDescent="0.35">
      <c r="A595">
        <f>Powers!A595^Powers!B595</f>
        <v>58.340806280248671</v>
      </c>
    </row>
    <row r="596" spans="1:1" x14ac:dyDescent="0.35">
      <c r="A596">
        <f>Powers!A596^Powers!B596</f>
        <v>3403.6496774295028</v>
      </c>
    </row>
    <row r="597" spans="1:1" x14ac:dyDescent="0.35">
      <c r="A597">
        <f>Powers!A597^Powers!B597</f>
        <v>198571.66647674551</v>
      </c>
    </row>
    <row r="598" spans="1:1" x14ac:dyDescent="0.35">
      <c r="A598">
        <f>Powers!A598^Powers!B598</f>
        <v>11584831.126665959</v>
      </c>
    </row>
    <row r="599" spans="1:1" x14ac:dyDescent="0.35">
      <c r="A599">
        <f>Powers!A599^Powers!B599</f>
        <v>675868388.55021369</v>
      </c>
    </row>
    <row r="600" spans="1:1" x14ac:dyDescent="0.35">
      <c r="A600">
        <f>Powers!A600^Powers!B600</f>
        <v>569156.97181810369</v>
      </c>
    </row>
    <row r="601" spans="1:1" x14ac:dyDescent="0.35">
      <c r="A601">
        <f>Powers!A601^Powers!B601</f>
        <v>40196.260125041379</v>
      </c>
    </row>
    <row r="602" spans="1:1" x14ac:dyDescent="0.35">
      <c r="A602">
        <f>Powers!A602^Powers!B602</f>
        <v>2838.8290191345745</v>
      </c>
    </row>
    <row r="603" spans="1:1" x14ac:dyDescent="0.35">
      <c r="A603">
        <f>Powers!A603^Powers!B603</f>
        <v>200.49004994024364</v>
      </c>
    </row>
    <row r="604" spans="1:1" x14ac:dyDescent="0.35">
      <c r="A604">
        <f>Powers!A604^Powers!B604</f>
        <v>14.159450905322693</v>
      </c>
    </row>
    <row r="605" spans="1:1" x14ac:dyDescent="0.35">
      <c r="A605">
        <f>Powers!A605^Powers!B605</f>
        <v>1</v>
      </c>
    </row>
    <row r="606" spans="1:1" x14ac:dyDescent="0.35">
      <c r="A606">
        <f>Powers!A606^Powers!B606</f>
        <v>7.0624207583084242E-2</v>
      </c>
    </row>
    <row r="607" spans="1:1" x14ac:dyDescent="0.35">
      <c r="A607">
        <f>Powers!A607^Powers!B607</f>
        <v>4.987778696738574E-3</v>
      </c>
    </row>
    <row r="608" spans="1:1" x14ac:dyDescent="0.35">
      <c r="A608">
        <f>Powers!A608^Powers!B608</f>
        <v>3.5225791805695047E-4</v>
      </c>
    </row>
    <row r="609" spans="1:1" x14ac:dyDescent="0.35">
      <c r="A609">
        <f>Powers!A609^Powers!B609</f>
        <v>2.487793632763915E-5</v>
      </c>
    </row>
    <row r="610" spans="1:1" x14ac:dyDescent="0.35">
      <c r="A610">
        <f>Powers!A610^Powers!B610</f>
        <v>1.7569845394419399E-6</v>
      </c>
    </row>
    <row r="611" spans="1:1" x14ac:dyDescent="0.35">
      <c r="A611">
        <f>Powers!A611^Powers!B611</f>
        <v>5.7441982826873103E-9</v>
      </c>
    </row>
    <row r="612" spans="1:1" x14ac:dyDescent="0.35">
      <c r="A612">
        <f>Powers!A612^Powers!B612</f>
        <v>2.554956664089613E-7</v>
      </c>
    </row>
    <row r="613" spans="1:1" x14ac:dyDescent="0.35">
      <c r="A613">
        <f>Powers!A613^Powers!B613</f>
        <v>1.136416821656445E-5</v>
      </c>
    </row>
    <row r="614" spans="1:1" x14ac:dyDescent="0.35">
      <c r="A614">
        <f>Powers!A614^Powers!B614</f>
        <v>5.0546579153189122E-4</v>
      </c>
    </row>
    <row r="615" spans="1:1" x14ac:dyDescent="0.35">
      <c r="A615">
        <f>Powers!A615^Powers!B615</f>
        <v>2.2482566391137184E-2</v>
      </c>
    </row>
    <row r="616" spans="1:1" x14ac:dyDescent="0.35">
      <c r="A616">
        <f>Powers!A616^Powers!B616</f>
        <v>1</v>
      </c>
    </row>
    <row r="617" spans="1:1" x14ac:dyDescent="0.35">
      <c r="A617">
        <f>Powers!A617^Powers!B617</f>
        <v>44.478907905914532</v>
      </c>
    </row>
    <row r="618" spans="1:1" x14ac:dyDescent="0.35">
      <c r="A618">
        <f>Powers!A618^Powers!B618</f>
        <v>1978.3732485028263</v>
      </c>
    </row>
    <row r="619" spans="1:1" x14ac:dyDescent="0.35">
      <c r="A619">
        <f>Powers!A619^Powers!B619</f>
        <v>87995.881523682183</v>
      </c>
    </row>
    <row r="620" spans="1:1" x14ac:dyDescent="0.35">
      <c r="A620">
        <f>Powers!A620^Powers!B620</f>
        <v>3913960.7103916258</v>
      </c>
    </row>
    <row r="621" spans="1:1" x14ac:dyDescent="0.35">
      <c r="A621">
        <f>Powers!A621^Powers!B621</f>
        <v>174088697.98487696</v>
      </c>
    </row>
    <row r="622" spans="1:1" x14ac:dyDescent="0.35">
      <c r="A622">
        <f>Powers!A622^Powers!B622</f>
        <v>4039144.8052316173</v>
      </c>
    </row>
    <row r="623" spans="1:1" x14ac:dyDescent="0.35">
      <c r="A623">
        <f>Powers!A623^Powers!B623</f>
        <v>192766.48952319531</v>
      </c>
    </row>
    <row r="624" spans="1:1" x14ac:dyDescent="0.35">
      <c r="A624">
        <f>Powers!A624^Powers!B624</f>
        <v>9199.6997569799569</v>
      </c>
    </row>
    <row r="625" spans="1:1" x14ac:dyDescent="0.35">
      <c r="A625">
        <f>Powers!A625^Powers!B625</f>
        <v>439.05180733393559</v>
      </c>
    </row>
    <row r="626" spans="1:1" x14ac:dyDescent="0.35">
      <c r="A626">
        <f>Powers!A626^Powers!B626</f>
        <v>20.953563117855051</v>
      </c>
    </row>
    <row r="627" spans="1:1" x14ac:dyDescent="0.35">
      <c r="A627">
        <f>Powers!A627^Powers!B627</f>
        <v>1</v>
      </c>
    </row>
    <row r="628" spans="1:1" x14ac:dyDescent="0.35">
      <c r="A628">
        <f>Powers!A628^Powers!B628</f>
        <v>4.772458003325817E-2</v>
      </c>
    </row>
    <row r="629" spans="1:1" x14ac:dyDescent="0.35">
      <c r="A629">
        <f>Powers!A629^Powers!B629</f>
        <v>2.277635539350864E-3</v>
      </c>
    </row>
    <row r="630" spans="1:1" x14ac:dyDescent="0.35">
      <c r="A630">
        <f>Powers!A630^Powers!B630</f>
        <v>1.0869919958434342E-4</v>
      </c>
    </row>
    <row r="631" spans="1:1" x14ac:dyDescent="0.35">
      <c r="A631">
        <f>Powers!A631^Powers!B631</f>
        <v>5.1876236501141006E-6</v>
      </c>
    </row>
    <row r="632" spans="1:1" x14ac:dyDescent="0.35">
      <c r="A632">
        <f>Powers!A632^Powers!B632</f>
        <v>2.4757716007229327E-7</v>
      </c>
    </row>
    <row r="633" spans="1:1" x14ac:dyDescent="0.35">
      <c r="A633">
        <f>Powers!A633^Powers!B633</f>
        <v>2.7182816939803724</v>
      </c>
    </row>
    <row r="634" spans="1:1" x14ac:dyDescent="0.35">
      <c r="A634">
        <f>Powers!A634^Powers!B634</f>
        <v>0.36787942292366493</v>
      </c>
    </row>
    <row r="635" spans="1:1" x14ac:dyDescent="0.35">
      <c r="A635">
        <f>Powers!A635^Powers!B635</f>
        <v>8.5632843975356785</v>
      </c>
    </row>
    <row r="636" spans="1:1" x14ac:dyDescent="0.35">
      <c r="A636">
        <f>Powers!A636^Powers!B636</f>
        <v>8.5632844060989637</v>
      </c>
    </row>
    <row r="637" spans="1:1" x14ac:dyDescent="0.35">
      <c r="A637">
        <f>Powers!A637^Powers!B637</f>
        <v>0.36787945073036543</v>
      </c>
    </row>
    <row r="638" spans="1:1" x14ac:dyDescent="0.35">
      <c r="A638">
        <f>Powers!A638^Powers!B638</f>
        <v>8.9884656743115795E+307</v>
      </c>
    </row>
    <row r="639" spans="1:1" x14ac:dyDescent="0.35">
      <c r="A639">
        <f>Powers!A639^Powers!B639</f>
        <v>2.2250738585072014E-308</v>
      </c>
    </row>
    <row r="640" spans="1:1" x14ac:dyDescent="0.35">
      <c r="A640">
        <f>Powers!A640^Powers!B640</f>
        <v>-8</v>
      </c>
    </row>
    <row r="641" spans="1:1" x14ac:dyDescent="0.35">
      <c r="A641">
        <f>Powers!A641^Powers!B641</f>
        <v>-8</v>
      </c>
    </row>
    <row r="642" spans="1:1" x14ac:dyDescent="0.35">
      <c r="A642">
        <f>Powers!A642^Powers!B642</f>
        <v>1E+22</v>
      </c>
    </row>
    <row r="643" spans="1:1" x14ac:dyDescent="0.35">
      <c r="A643">
        <f>Powers!A643^Powers!B643</f>
        <v>1E-22</v>
      </c>
    </row>
    <row r="644" spans="1:1" x14ac:dyDescent="0.35">
      <c r="A644">
        <f>Powers!A644^Powers!B644</f>
        <v>1.2157665459056929E+19</v>
      </c>
    </row>
    <row r="645" spans="1:1" x14ac:dyDescent="0.35">
      <c r="A645">
        <f>Powers!A645^Powers!B645</f>
        <v>7.9792266297612E+16</v>
      </c>
    </row>
    <row r="646" spans="1:1" x14ac:dyDescent="0.35">
      <c r="A646">
        <f>Powers!A646^Powers!B646</f>
        <v>2.4699329180059931E+41</v>
      </c>
    </row>
    <row r="647" spans="1:1" x14ac:dyDescent="0.35">
      <c r="A647">
        <f>Powers!A647^Powers!B647</f>
        <v>-12527.829399838512</v>
      </c>
    </row>
    <row r="648" spans="1:1" x14ac:dyDescent="0.35">
      <c r="A648" t="e">
        <f>Powers!A648^Powers!B648</f>
        <v>#NUM!</v>
      </c>
    </row>
    <row r="649" spans="1:1" x14ac:dyDescent="0.35">
      <c r="A649">
        <f>Powers!A649^Powers!B649</f>
        <v>2.8284271247461898</v>
      </c>
    </row>
    <row r="650" spans="1:1" x14ac:dyDescent="0.35">
      <c r="A650">
        <f>Powers!A650^Powers!B650</f>
        <v>27</v>
      </c>
    </row>
    <row r="651" spans="1:1" x14ac:dyDescent="0.35">
      <c r="A651">
        <f>Powers!A651^Powers!B651</f>
        <v>7.9999999999999982</v>
      </c>
    </row>
    <row r="652" spans="1:1" x14ac:dyDescent="0.35">
      <c r="A652">
        <f>Powers!A652^Powers!B652</f>
        <v>100000</v>
      </c>
    </row>
    <row r="653" spans="1:1" x14ac:dyDescent="0.35">
      <c r="A653">
        <f>Powers!A653^Powers!B653</f>
        <v>1.0000000000000001E-5</v>
      </c>
    </row>
    <row r="654" spans="1:1" x14ac:dyDescent="0.35">
      <c r="A654">
        <f>Powers!A654^Powers!B654</f>
        <v>1448.1546878700494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B841-E4A2-4E2E-96DC-B41152472A89}">
  <dimension ref="A1:A60"/>
  <sheetViews>
    <sheetView workbookViewId="0"/>
  </sheetViews>
  <sheetFormatPr defaultRowHeight="14.5" x14ac:dyDescent="0.35"/>
  <sheetData>
    <row r="1" spans="1:1" x14ac:dyDescent="0.35">
      <c r="A1">
        <f>POWER(Powers!A1,Powers!B1)</f>
        <v>501.65893466316015</v>
      </c>
    </row>
    <row r="2" spans="1:1" x14ac:dyDescent="0.35">
      <c r="A2">
        <f>POWER(Powers!A2,Powers!B2)</f>
        <v>147547.59493097817</v>
      </c>
    </row>
    <row r="3" spans="1:1" x14ac:dyDescent="0.35">
      <c r="A3">
        <f>POWER(Powers!A3,Powers!B3)</f>
        <v>2.3244762626059448</v>
      </c>
    </row>
    <row r="4" spans="1:1" x14ac:dyDescent="0.35">
      <c r="A4">
        <f>POWER(Powers!A4,Powers!B4)</f>
        <v>1.9073914932578955</v>
      </c>
    </row>
    <row r="5" spans="1:1" x14ac:dyDescent="0.35">
      <c r="A5">
        <f>POWER(Powers!A5,Powers!B5)</f>
        <v>32.477979046799447</v>
      </c>
    </row>
    <row r="6" spans="1:1" x14ac:dyDescent="0.35">
      <c r="A6">
        <f>POWER(Powers!A6,Powers!B6)</f>
        <v>266.54085595170716</v>
      </c>
    </row>
    <row r="7" spans="1:1" x14ac:dyDescent="0.35">
      <c r="A7">
        <f>POWER(Powers!A7,Powers!B7)</f>
        <v>792.2137007408943</v>
      </c>
    </row>
    <row r="8" spans="1:1" x14ac:dyDescent="0.35">
      <c r="A8">
        <f>POWER(Powers!A8,Powers!B8)</f>
        <v>1.2923554194076481E-4</v>
      </c>
    </row>
    <row r="9" spans="1:1" x14ac:dyDescent="0.35">
      <c r="A9">
        <f>POWER(Powers!A9,Powers!B9)</f>
        <v>2.1659894900385877</v>
      </c>
    </row>
    <row r="10" spans="1:1" x14ac:dyDescent="0.35">
      <c r="A10">
        <f>POWER(Powers!A10,Powers!B10)</f>
        <v>24.899718194343496</v>
      </c>
    </row>
    <row r="11" spans="1:1" x14ac:dyDescent="0.35">
      <c r="A11">
        <f>POWER(Powers!A11,Powers!B11)</f>
        <v>3.6037974554011459E-4</v>
      </c>
    </row>
    <row r="12" spans="1:1" x14ac:dyDescent="0.35">
      <c r="A12">
        <f>POWER(Powers!A12,Powers!B12)</f>
        <v>13322397.239502683</v>
      </c>
    </row>
    <row r="13" spans="1:1" x14ac:dyDescent="0.35">
      <c r="A13">
        <f>POWER(Powers!A13,Powers!B13)</f>
        <v>11.720311329347609</v>
      </c>
    </row>
    <row r="14" spans="1:1" x14ac:dyDescent="0.35">
      <c r="A14">
        <f>POWER(Powers!A14,Powers!B14)</f>
        <v>1.4001262832971689E-7</v>
      </c>
    </row>
    <row r="15" spans="1:1" x14ac:dyDescent="0.35">
      <c r="A15">
        <f>POWER(Powers!A15,Powers!B15)</f>
        <v>2.4012505616114961E-2</v>
      </c>
    </row>
    <row r="16" spans="1:1" x14ac:dyDescent="0.35">
      <c r="A16">
        <f>POWER(Powers!A16,Powers!B16)</f>
        <v>3.0020138901429642E-5</v>
      </c>
    </row>
    <row r="17" spans="1:1" x14ac:dyDescent="0.35">
      <c r="A17">
        <f>POWER(Powers!A17,Powers!B17)</f>
        <v>43.633473359835492</v>
      </c>
    </row>
    <row r="18" spans="1:1" x14ac:dyDescent="0.35">
      <c r="A18">
        <f>POWER(Powers!A18,Powers!B18)</f>
        <v>0.20697868421578822</v>
      </c>
    </row>
    <row r="19" spans="1:1" x14ac:dyDescent="0.35">
      <c r="A19">
        <f>POWER(Powers!A19,Powers!B19)</f>
        <v>3.0204042713774433</v>
      </c>
    </row>
    <row r="20" spans="1:1" x14ac:dyDescent="0.35">
      <c r="A20">
        <f>POWER(Powers!A20,Powers!B20)</f>
        <v>7.8071848275660582E-6</v>
      </c>
    </row>
    <row r="21" spans="1:1" x14ac:dyDescent="0.35">
      <c r="A21">
        <f>POWER(Powers!A21,Powers!B21)</f>
        <v>1.5168293107808501E-7</v>
      </c>
    </row>
    <row r="22" spans="1:1" x14ac:dyDescent="0.35">
      <c r="A22">
        <f>POWER(Powers!A22,Powers!B22)</f>
        <v>3.7494709624649954E-6</v>
      </c>
    </row>
    <row r="23" spans="1:1" x14ac:dyDescent="0.35">
      <c r="A23">
        <f>POWER(Powers!A23,Powers!B23)</f>
        <v>197.52449368869159</v>
      </c>
    </row>
    <row r="24" spans="1:1" x14ac:dyDescent="0.35">
      <c r="A24">
        <f>POWER(Powers!A24,Powers!B24)</f>
        <v>1.0023367096159079E-5</v>
      </c>
    </row>
    <row r="25" spans="1:1" x14ac:dyDescent="0.35">
      <c r="A25">
        <f>POWER(Powers!A25,Powers!B25)</f>
        <v>1.5563107195060616E-6</v>
      </c>
    </row>
    <row r="26" spans="1:1" x14ac:dyDescent="0.35">
      <c r="A26">
        <f>POWER(Powers!A26,Powers!B26)</f>
        <v>8.4120591265150983E-3</v>
      </c>
    </row>
    <row r="27" spans="1:1" x14ac:dyDescent="0.35">
      <c r="A27">
        <f>POWER(Powers!A27,Powers!B27)</f>
        <v>5.6394469321837053E-2</v>
      </c>
    </row>
    <row r="28" spans="1:1" x14ac:dyDescent="0.35">
      <c r="A28">
        <f>POWER(Powers!A28,Powers!B28)</f>
        <v>4.8526680921456263E-3</v>
      </c>
    </row>
    <row r="29" spans="1:1" x14ac:dyDescent="0.35">
      <c r="A29">
        <f>POWER(Powers!A29,Powers!B29)</f>
        <v>4.9919653686480096E-5</v>
      </c>
    </row>
    <row r="30" spans="1:1" x14ac:dyDescent="0.35">
      <c r="A30">
        <f>POWER(Powers!A30,Powers!B30)</f>
        <v>3.6062920240351546E-5</v>
      </c>
    </row>
    <row r="31" spans="1:1" x14ac:dyDescent="0.35">
      <c r="A31">
        <f>POWER(Powers!A31,Powers!B31)</f>
        <v>8.7573879048491357</v>
      </c>
    </row>
    <row r="32" spans="1:1" x14ac:dyDescent="0.35">
      <c r="A32">
        <f>POWER(Powers!A32,Powers!B32)</f>
        <v>314460.14974111918</v>
      </c>
    </row>
    <row r="33" spans="1:1" x14ac:dyDescent="0.35">
      <c r="A33">
        <f>POWER(Powers!A33,Powers!B33)</f>
        <v>2.0055239541385098E-6</v>
      </c>
    </row>
    <row r="34" spans="1:1" x14ac:dyDescent="0.35">
      <c r="A34">
        <f>POWER(Powers!A34,Powers!B34)</f>
        <v>6830939.4393829806</v>
      </c>
    </row>
    <row r="35" spans="1:1" x14ac:dyDescent="0.35">
      <c r="A35">
        <f>POWER(Powers!A35,Powers!B35)</f>
        <v>3.6118473129148815E-2</v>
      </c>
    </row>
    <row r="36" spans="1:1" x14ac:dyDescent="0.35">
      <c r="A36">
        <f>POWER(Powers!A36,Powers!B36)</f>
        <v>9.2888525509416021E-5</v>
      </c>
    </row>
    <row r="37" spans="1:1" x14ac:dyDescent="0.35">
      <c r="A37">
        <f>POWER(Powers!A37,Powers!B37)</f>
        <v>72.430564559747339</v>
      </c>
    </row>
    <row r="38" spans="1:1" x14ac:dyDescent="0.35">
      <c r="A38">
        <f>POWER(Powers!A38,Powers!B38)</f>
        <v>122.74786537022271</v>
      </c>
    </row>
    <row r="39" spans="1:1" x14ac:dyDescent="0.35">
      <c r="A39">
        <f>POWER(Powers!A39,Powers!B39)</f>
        <v>1087.0851124984883</v>
      </c>
    </row>
    <row r="40" spans="1:1" x14ac:dyDescent="0.35">
      <c r="A40">
        <f>POWER(Powers!A40,Powers!B40)</f>
        <v>1.3333711417172323E-5</v>
      </c>
    </row>
    <row r="41" spans="1:1" x14ac:dyDescent="0.35">
      <c r="A41">
        <f>POWER(Powers!A41,Powers!B41)</f>
        <v>35.876797750602876</v>
      </c>
    </row>
    <row r="42" spans="1:1" x14ac:dyDescent="0.35">
      <c r="A42">
        <f>POWER(Powers!A42,Powers!B42)</f>
        <v>5.985231665514289E-4</v>
      </c>
    </row>
    <row r="43" spans="1:1" x14ac:dyDescent="0.35">
      <c r="A43">
        <f>POWER(Powers!A43,Powers!B43)</f>
        <v>7.9051985316143901E-3</v>
      </c>
    </row>
    <row r="44" spans="1:1" x14ac:dyDescent="0.35">
      <c r="A44">
        <f>POWER(Powers!A44,Powers!B44)</f>
        <v>482.64421232554929</v>
      </c>
    </row>
    <row r="45" spans="1:1" x14ac:dyDescent="0.35">
      <c r="A45">
        <f>POWER(Powers!A45,Powers!B45)</f>
        <v>1.6798901069353908E-7</v>
      </c>
    </row>
    <row r="46" spans="1:1" x14ac:dyDescent="0.35">
      <c r="A46">
        <f>POWER(Powers!A46,Powers!B46)</f>
        <v>1.5433698168789803E-7</v>
      </c>
    </row>
    <row r="47" spans="1:1" x14ac:dyDescent="0.35">
      <c r="A47">
        <f>POWER(Powers!A47,Powers!B47)</f>
        <v>1.1574233339476103E-4</v>
      </c>
    </row>
    <row r="48" spans="1:1" x14ac:dyDescent="0.35">
      <c r="A48">
        <f>POWER(Powers!A48,Powers!B48)</f>
        <v>0.19360557074254794</v>
      </c>
    </row>
    <row r="49" spans="1:1" x14ac:dyDescent="0.35">
      <c r="A49">
        <f>POWER(Powers!A49,Powers!B49)</f>
        <v>0.29464062292592125</v>
      </c>
    </row>
    <row r="50" spans="1:1" x14ac:dyDescent="0.35">
      <c r="A50">
        <f>POWER(Powers!A50,Powers!B50)</f>
        <v>3.5998722897464115E-4</v>
      </c>
    </row>
    <row r="51" spans="1:1" x14ac:dyDescent="0.35">
      <c r="A51">
        <f>POWER(Powers!A51,Powers!B51)</f>
        <v>4.8242269853285584E-3</v>
      </c>
    </row>
    <row r="52" spans="1:1" x14ac:dyDescent="0.35">
      <c r="A52">
        <f>POWER(Powers!A52,Powers!B52)</f>
        <v>6725541.0981449354</v>
      </c>
    </row>
    <row r="53" spans="1:1" x14ac:dyDescent="0.35">
      <c r="A53">
        <f>POWER(Powers!A53,Powers!B53)</f>
        <v>803899.21306140593</v>
      </c>
    </row>
    <row r="54" spans="1:1" x14ac:dyDescent="0.35">
      <c r="A54">
        <f>POWER(Powers!A54,Powers!B54)</f>
        <v>450099.08714771859</v>
      </c>
    </row>
    <row r="55" spans="1:1" x14ac:dyDescent="0.35">
      <c r="A55">
        <f>POWER(Powers!A55,Powers!B55)</f>
        <v>0.16990095780453129</v>
      </c>
    </row>
    <row r="56" spans="1:1" x14ac:dyDescent="0.35">
      <c r="A56">
        <f>POWER(Powers!A56,Powers!B56)</f>
        <v>0.21104549926218233</v>
      </c>
    </row>
    <row r="57" spans="1:1" x14ac:dyDescent="0.35">
      <c r="A57">
        <f>POWER(Powers!A57,Powers!B57)</f>
        <v>6.8984363804938217E-5</v>
      </c>
    </row>
    <row r="58" spans="1:1" x14ac:dyDescent="0.35">
      <c r="A58">
        <f>POWER(Powers!A58,Powers!B58)</f>
        <v>1.120089735951611E-3</v>
      </c>
    </row>
    <row r="59" spans="1:1" x14ac:dyDescent="0.35">
      <c r="A59">
        <f>POWER(Powers!A59,Powers!B59)</f>
        <v>11.467166042381171</v>
      </c>
    </row>
    <row r="60" spans="1:1" x14ac:dyDescent="0.35">
      <c r="A60">
        <f>POWER(Powers!A60,Powers!B60)</f>
        <v>551736.38097772177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FA0-D3A5-44EC-A5AC-9B130EA8506E}">
  <dimension ref="A1:A322"/>
  <sheetViews>
    <sheetView workbookViewId="0"/>
  </sheetViews>
  <sheetFormatPr defaultRowHeight="14.5" x14ac:dyDescent="0.35"/>
  <sheetData>
    <row r="1" spans="1:1" x14ac:dyDescent="0.35">
      <c r="A1">
        <f>Pairs!A1-Pairs!B1</f>
        <v>0</v>
      </c>
    </row>
    <row r="2" spans="1:1" x14ac:dyDescent="0.35">
      <c r="A2">
        <f>Pairs!A2-Pairs!B2</f>
        <v>0</v>
      </c>
    </row>
    <row r="3" spans="1:1" x14ac:dyDescent="0.35">
      <c r="A3">
        <f>Pairs!A3-Pairs!B3</f>
        <v>0</v>
      </c>
    </row>
    <row r="4" spans="1:1" x14ac:dyDescent="0.35">
      <c r="A4">
        <f>Pairs!A4-Pairs!B4</f>
        <v>0</v>
      </c>
    </row>
    <row r="5" spans="1:1" x14ac:dyDescent="0.35">
      <c r="A5">
        <f>Pairs!A5-Pairs!B5</f>
        <v>0</v>
      </c>
    </row>
    <row r="6" spans="1:1" x14ac:dyDescent="0.35">
      <c r="A6">
        <f>Pairs!A6-Pairs!B6</f>
        <v>0</v>
      </c>
    </row>
    <row r="7" spans="1:1" x14ac:dyDescent="0.35">
      <c r="A7">
        <f>Pairs!A7-Pairs!B7</f>
        <v>0</v>
      </c>
    </row>
    <row r="8" spans="1:1" x14ac:dyDescent="0.35">
      <c r="A8">
        <f>Pairs!A8-Pairs!B8</f>
        <v>0</v>
      </c>
    </row>
    <row r="9" spans="1:1" x14ac:dyDescent="0.35">
      <c r="A9">
        <f>Pairs!A9-Pairs!B9</f>
        <v>0</v>
      </c>
    </row>
    <row r="10" spans="1:1" x14ac:dyDescent="0.35">
      <c r="A10">
        <f>Pairs!A10-Pairs!B10</f>
        <v>0</v>
      </c>
    </row>
    <row r="11" spans="1:1" x14ac:dyDescent="0.35">
      <c r="A11">
        <f>Pairs!A11-Pairs!B11</f>
        <v>0</v>
      </c>
    </row>
    <row r="12" spans="1:1" x14ac:dyDescent="0.35">
      <c r="A12">
        <f>Pairs!A12-Pairs!B12</f>
        <v>0</v>
      </c>
    </row>
    <row r="13" spans="1:1" x14ac:dyDescent="0.35">
      <c r="A13">
        <f>Pairs!A13-Pairs!B13</f>
        <v>0</v>
      </c>
    </row>
    <row r="14" spans="1:1" x14ac:dyDescent="0.35">
      <c r="A14">
        <f>Pairs!A14-Pairs!B14</f>
        <v>0</v>
      </c>
    </row>
    <row r="15" spans="1:1" x14ac:dyDescent="0.35">
      <c r="A15">
        <f>Pairs!A15-Pairs!B15</f>
        <v>-1.7763568394002505E-15</v>
      </c>
    </row>
    <row r="16" spans="1:1" x14ac:dyDescent="0.35">
      <c r="A16">
        <f>Pairs!A16-Pairs!B16</f>
        <v>0</v>
      </c>
    </row>
    <row r="17" spans="1:1" x14ac:dyDescent="0.35">
      <c r="A17">
        <f>Pairs!A17-Pairs!B17</f>
        <v>-2.2204460492503131E-15</v>
      </c>
    </row>
    <row r="18" spans="1:1" x14ac:dyDescent="0.35">
      <c r="A18">
        <f>Pairs!A18-Pairs!B18</f>
        <v>0</v>
      </c>
    </row>
    <row r="19" spans="1:1" x14ac:dyDescent="0.35">
      <c r="A19">
        <f>Pairs!A19-Pairs!B19</f>
        <v>-2.6645352591003757E-15</v>
      </c>
    </row>
    <row r="20" spans="1:1" x14ac:dyDescent="0.35">
      <c r="A20">
        <f>Pairs!A20-Pairs!B20</f>
        <v>0</v>
      </c>
    </row>
    <row r="21" spans="1:1" x14ac:dyDescent="0.35">
      <c r="A21">
        <f>Pairs!A21-Pairs!B21</f>
        <v>-3.5527136788005009E-15</v>
      </c>
    </row>
    <row r="22" spans="1:1" x14ac:dyDescent="0.35">
      <c r="A22">
        <f>Pairs!A22-Pairs!B22</f>
        <v>1.7763568394002505E-15</v>
      </c>
    </row>
    <row r="23" spans="1:1" x14ac:dyDescent="0.35">
      <c r="A23">
        <f>Pairs!A23-Pairs!B23</f>
        <v>-4.4408920985006262E-15</v>
      </c>
    </row>
    <row r="24" spans="1:1" x14ac:dyDescent="0.35">
      <c r="A24">
        <f>Pairs!A24-Pairs!B24</f>
        <v>2.2204460492503131E-15</v>
      </c>
    </row>
    <row r="25" spans="1:1" x14ac:dyDescent="0.35">
      <c r="A25">
        <f>Pairs!A25-Pairs!B25</f>
        <v>-5.3290705182007514E-15</v>
      </c>
    </row>
    <row r="26" spans="1:1" x14ac:dyDescent="0.35">
      <c r="A26">
        <f>Pairs!A26-Pairs!B26</f>
        <v>2.6645352591003757E-15</v>
      </c>
    </row>
    <row r="27" spans="1:1" x14ac:dyDescent="0.35">
      <c r="A27">
        <f>Pairs!A27-Pairs!B27</f>
        <v>-7.1054273576010019E-15</v>
      </c>
    </row>
    <row r="28" spans="1:1" x14ac:dyDescent="0.35">
      <c r="A28">
        <f>Pairs!A28-Pairs!B28</f>
        <v>3.5527136788005009E-15</v>
      </c>
    </row>
    <row r="29" spans="1:1" x14ac:dyDescent="0.35">
      <c r="A29">
        <f>Pairs!A29-Pairs!B29</f>
        <v>-1.0658141036401503E-14</v>
      </c>
    </row>
    <row r="30" spans="1:1" x14ac:dyDescent="0.35">
      <c r="A30">
        <f>Pairs!A30-Pairs!B30</f>
        <v>5.3290705182007514E-15</v>
      </c>
    </row>
    <row r="31" spans="1:1" x14ac:dyDescent="0.35">
      <c r="A31">
        <f>Pairs!A31-Pairs!B31</f>
        <v>-1.4210854715202004E-14</v>
      </c>
    </row>
    <row r="32" spans="1:1" x14ac:dyDescent="0.35">
      <c r="A32">
        <f>Pairs!A32-Pairs!B32</f>
        <v>7.1054273576010019E-15</v>
      </c>
    </row>
    <row r="33" spans="1:1" x14ac:dyDescent="0.35">
      <c r="A33">
        <f>Pairs!A33-Pairs!B33</f>
        <v>-2.2204460492503131E-14</v>
      </c>
    </row>
    <row r="34" spans="1:1" x14ac:dyDescent="0.35">
      <c r="A34">
        <f>Pairs!A34-Pairs!B34</f>
        <v>1.1102230246251565E-14</v>
      </c>
    </row>
    <row r="35" spans="1:1" x14ac:dyDescent="0.35">
      <c r="A35">
        <f>Pairs!A35-Pairs!B35</f>
        <v>-2.8421709430404007E-14</v>
      </c>
    </row>
    <row r="36" spans="1:1" x14ac:dyDescent="0.35">
      <c r="A36">
        <f>Pairs!A36-Pairs!B36</f>
        <v>1.4210854715202004E-14</v>
      </c>
    </row>
    <row r="37" spans="1:1" x14ac:dyDescent="0.35">
      <c r="A37">
        <f>Pairs!A37-Pairs!B37</f>
        <v>-5.6843418860808015E-14</v>
      </c>
    </row>
    <row r="38" spans="1:1" x14ac:dyDescent="0.35">
      <c r="A38">
        <f>Pairs!A38-Pairs!B38</f>
        <v>2.8421709430404007E-14</v>
      </c>
    </row>
    <row r="39" spans="1:1" x14ac:dyDescent="0.35">
      <c r="A39">
        <f>Pairs!A39-Pairs!B39</f>
        <v>-1.1368683772161603E-13</v>
      </c>
    </row>
    <row r="40" spans="1:1" x14ac:dyDescent="0.35">
      <c r="A40">
        <f>Pairs!A40-Pairs!B40</f>
        <v>5.6843418860808015E-14</v>
      </c>
    </row>
    <row r="41" spans="1:1" x14ac:dyDescent="0.35">
      <c r="A41">
        <f>Pairs!A41-Pairs!B41</f>
        <v>-2.2737367544323206E-13</v>
      </c>
    </row>
    <row r="42" spans="1:1" x14ac:dyDescent="0.35">
      <c r="A42">
        <f>Pairs!A42-Pairs!B42</f>
        <v>1.1368683772161603E-13</v>
      </c>
    </row>
    <row r="43" spans="1:1" x14ac:dyDescent="0.35">
      <c r="A43">
        <f>Pairs!A43-Pairs!B43</f>
        <v>-4.5474735088646412E-13</v>
      </c>
    </row>
    <row r="44" spans="1:1" x14ac:dyDescent="0.35">
      <c r="A44">
        <f>Pairs!A44-Pairs!B44</f>
        <v>2.2737367544323206E-13</v>
      </c>
    </row>
    <row r="45" spans="1:1" x14ac:dyDescent="0.35">
      <c r="A45">
        <f>Pairs!A45-Pairs!B45</f>
        <v>-9.0949470177292824E-13</v>
      </c>
    </row>
    <row r="46" spans="1:1" x14ac:dyDescent="0.35">
      <c r="A46">
        <f>Pairs!A46-Pairs!B46</f>
        <v>4.5474735088646412E-13</v>
      </c>
    </row>
    <row r="47" spans="1:1" x14ac:dyDescent="0.35">
      <c r="A47">
        <f>Pairs!A47-Pairs!B47</f>
        <v>0</v>
      </c>
    </row>
    <row r="48" spans="1:1" x14ac:dyDescent="0.35">
      <c r="A48">
        <f>Pairs!A48-Pairs!B48</f>
        <v>0</v>
      </c>
    </row>
    <row r="49" spans="1:1" x14ac:dyDescent="0.35">
      <c r="A49">
        <f>Pairs!A49-Pairs!B49</f>
        <v>0</v>
      </c>
    </row>
    <row r="50" spans="1:1" x14ac:dyDescent="0.35">
      <c r="A50">
        <f>Pairs!A50-Pairs!B50</f>
        <v>0</v>
      </c>
    </row>
    <row r="51" spans="1:1" x14ac:dyDescent="0.35">
      <c r="A51">
        <f>Pairs!A51-Pairs!B51</f>
        <v>0</v>
      </c>
    </row>
    <row r="52" spans="1:1" x14ac:dyDescent="0.35">
      <c r="A52">
        <f>Pairs!A52-Pairs!B52</f>
        <v>0</v>
      </c>
    </row>
    <row r="53" spans="1:1" x14ac:dyDescent="0.35">
      <c r="A53">
        <f>Pairs!A53-Pairs!B53</f>
        <v>0</v>
      </c>
    </row>
    <row r="54" spans="1:1" x14ac:dyDescent="0.35">
      <c r="A54">
        <f>Pairs!A54-Pairs!B54</f>
        <v>0</v>
      </c>
    </row>
    <row r="55" spans="1:1" x14ac:dyDescent="0.35">
      <c r="A55">
        <f>Pairs!A55-Pairs!B55</f>
        <v>0</v>
      </c>
    </row>
    <row r="56" spans="1:1" x14ac:dyDescent="0.35">
      <c r="A56">
        <f>Pairs!A56-Pairs!B56</f>
        <v>0</v>
      </c>
    </row>
    <row r="57" spans="1:1" x14ac:dyDescent="0.35">
      <c r="A57">
        <f>Pairs!A57-Pairs!B57</f>
        <v>0</v>
      </c>
    </row>
    <row r="58" spans="1:1" x14ac:dyDescent="0.35">
      <c r="A58">
        <f>Pairs!A58-Pairs!B58</f>
        <v>0</v>
      </c>
    </row>
    <row r="59" spans="1:1" x14ac:dyDescent="0.35">
      <c r="A59">
        <f>Pairs!A59-Pairs!B59</f>
        <v>0</v>
      </c>
    </row>
    <row r="60" spans="1:1" x14ac:dyDescent="0.35">
      <c r="A60">
        <f>Pairs!A60-Pairs!B60</f>
        <v>0</v>
      </c>
    </row>
    <row r="61" spans="1:1" x14ac:dyDescent="0.35">
      <c r="A61">
        <f>Pairs!A61-Pairs!B61</f>
        <v>-3.5527136788005009E-15</v>
      </c>
    </row>
    <row r="62" spans="1:1" x14ac:dyDescent="0.35">
      <c r="A62">
        <f>Pairs!A62-Pairs!B62</f>
        <v>3.5527136788005009E-15</v>
      </c>
    </row>
    <row r="63" spans="1:1" x14ac:dyDescent="0.35">
      <c r="A63">
        <f>Pairs!A63-Pairs!B63</f>
        <v>-4.4408920985006262E-15</v>
      </c>
    </row>
    <row r="64" spans="1:1" x14ac:dyDescent="0.35">
      <c r="A64">
        <f>Pairs!A64-Pairs!B64</f>
        <v>4.4408920985006262E-15</v>
      </c>
    </row>
    <row r="65" spans="1:1" x14ac:dyDescent="0.35">
      <c r="A65">
        <f>Pairs!A65-Pairs!B65</f>
        <v>-5.3290705182007514E-15</v>
      </c>
    </row>
    <row r="66" spans="1:1" x14ac:dyDescent="0.35">
      <c r="A66">
        <f>Pairs!A66-Pairs!B66</f>
        <v>5.3290705182007514E-15</v>
      </c>
    </row>
    <row r="67" spans="1:1" x14ac:dyDescent="0.35">
      <c r="A67">
        <f>Pairs!A67-Pairs!B67</f>
        <v>-7.1054273576010019E-15</v>
      </c>
    </row>
    <row r="68" spans="1:1" x14ac:dyDescent="0.35">
      <c r="A68">
        <f>Pairs!A68-Pairs!B68</f>
        <v>7.1054273576010019E-15</v>
      </c>
    </row>
    <row r="69" spans="1:1" x14ac:dyDescent="0.35">
      <c r="A69">
        <f>Pairs!A69-Pairs!B69</f>
        <v>-8.8817841970012523E-15</v>
      </c>
    </row>
    <row r="70" spans="1:1" x14ac:dyDescent="0.35">
      <c r="A70">
        <f>Pairs!A70-Pairs!B70</f>
        <v>8.8817841970012523E-15</v>
      </c>
    </row>
    <row r="71" spans="1:1" x14ac:dyDescent="0.35">
      <c r="A71">
        <f>Pairs!A71-Pairs!B71</f>
        <v>-1.0658141036401503E-14</v>
      </c>
    </row>
    <row r="72" spans="1:1" x14ac:dyDescent="0.35">
      <c r="A72">
        <f>Pairs!A72-Pairs!B72</f>
        <v>1.0658141036401503E-14</v>
      </c>
    </row>
    <row r="73" spans="1:1" x14ac:dyDescent="0.35">
      <c r="A73">
        <f>Pairs!A73-Pairs!B73</f>
        <v>-1.4210854715202004E-14</v>
      </c>
    </row>
    <row r="74" spans="1:1" x14ac:dyDescent="0.35">
      <c r="A74">
        <f>Pairs!A74-Pairs!B74</f>
        <v>1.4210854715202004E-14</v>
      </c>
    </row>
    <row r="75" spans="1:1" x14ac:dyDescent="0.35">
      <c r="A75">
        <f>Pairs!A75-Pairs!B75</f>
        <v>-2.1316282072803006E-14</v>
      </c>
    </row>
    <row r="76" spans="1:1" x14ac:dyDescent="0.35">
      <c r="A76">
        <f>Pairs!A76-Pairs!B76</f>
        <v>2.1316282072803006E-14</v>
      </c>
    </row>
    <row r="77" spans="1:1" x14ac:dyDescent="0.35">
      <c r="A77">
        <f>Pairs!A77-Pairs!B77</f>
        <v>-2.8421709430404007E-14</v>
      </c>
    </row>
    <row r="78" spans="1:1" x14ac:dyDescent="0.35">
      <c r="A78">
        <f>Pairs!A78-Pairs!B78</f>
        <v>2.8421709430404007E-14</v>
      </c>
    </row>
    <row r="79" spans="1:1" x14ac:dyDescent="0.35">
      <c r="A79">
        <f>Pairs!A79-Pairs!B79</f>
        <v>-4.4408920985006262E-14</v>
      </c>
    </row>
    <row r="80" spans="1:1" x14ac:dyDescent="0.35">
      <c r="A80">
        <f>Pairs!A80-Pairs!B80</f>
        <v>4.4408920985006262E-14</v>
      </c>
    </row>
    <row r="81" spans="1:1" x14ac:dyDescent="0.35">
      <c r="A81">
        <f>Pairs!A81-Pairs!B81</f>
        <v>-5.6843418860808015E-14</v>
      </c>
    </row>
    <row r="82" spans="1:1" x14ac:dyDescent="0.35">
      <c r="A82">
        <f>Pairs!A82-Pairs!B82</f>
        <v>5.6843418860808015E-14</v>
      </c>
    </row>
    <row r="83" spans="1:1" x14ac:dyDescent="0.35">
      <c r="A83">
        <f>Pairs!A83-Pairs!B83</f>
        <v>-1.1368683772161603E-13</v>
      </c>
    </row>
    <row r="84" spans="1:1" x14ac:dyDescent="0.35">
      <c r="A84">
        <f>Pairs!A84-Pairs!B84</f>
        <v>1.1368683772161603E-13</v>
      </c>
    </row>
    <row r="85" spans="1:1" x14ac:dyDescent="0.35">
      <c r="A85">
        <f>Pairs!A85-Pairs!B85</f>
        <v>-2.2737367544323206E-13</v>
      </c>
    </row>
    <row r="86" spans="1:1" x14ac:dyDescent="0.35">
      <c r="A86">
        <f>Pairs!A86-Pairs!B86</f>
        <v>2.2737367544323206E-13</v>
      </c>
    </row>
    <row r="87" spans="1:1" x14ac:dyDescent="0.35">
      <c r="A87">
        <f>Pairs!A87-Pairs!B87</f>
        <v>-4.5474735088646412E-13</v>
      </c>
    </row>
    <row r="88" spans="1:1" x14ac:dyDescent="0.35">
      <c r="A88">
        <f>Pairs!A88-Pairs!B88</f>
        <v>4.5474735088646412E-13</v>
      </c>
    </row>
    <row r="89" spans="1:1" x14ac:dyDescent="0.35">
      <c r="A89">
        <f>Pairs!A89-Pairs!B89</f>
        <v>-9.0949470177292824E-13</v>
      </c>
    </row>
    <row r="90" spans="1:1" x14ac:dyDescent="0.35">
      <c r="A90">
        <f>Pairs!A90-Pairs!B90</f>
        <v>9.0949470177292824E-13</v>
      </c>
    </row>
    <row r="91" spans="1:1" x14ac:dyDescent="0.35">
      <c r="A91">
        <f>Pairs!A91-Pairs!B91</f>
        <v>-1.8189894035458565E-12</v>
      </c>
    </row>
    <row r="92" spans="1:1" x14ac:dyDescent="0.35">
      <c r="A92">
        <f>Pairs!A92-Pairs!B92</f>
        <v>1.8189894035458565E-12</v>
      </c>
    </row>
    <row r="93" spans="1:1" x14ac:dyDescent="0.35">
      <c r="A93">
        <f>Pairs!A93-Pairs!B93</f>
        <v>0</v>
      </c>
    </row>
    <row r="94" spans="1:1" x14ac:dyDescent="0.35">
      <c r="A94">
        <f>Pairs!A94-Pairs!B94</f>
        <v>0</v>
      </c>
    </row>
    <row r="95" spans="1:1" x14ac:dyDescent="0.35">
      <c r="A95">
        <f>Pairs!A95-Pairs!B95</f>
        <v>0</v>
      </c>
    </row>
    <row r="96" spans="1:1" x14ac:dyDescent="0.35">
      <c r="A96">
        <f>Pairs!A96-Pairs!B96</f>
        <v>0</v>
      </c>
    </row>
    <row r="97" spans="1:1" x14ac:dyDescent="0.35">
      <c r="A97">
        <f>Pairs!A97-Pairs!B97</f>
        <v>0</v>
      </c>
    </row>
    <row r="98" spans="1:1" x14ac:dyDescent="0.35">
      <c r="A98">
        <f>Pairs!A98-Pairs!B98</f>
        <v>0</v>
      </c>
    </row>
    <row r="99" spans="1:1" x14ac:dyDescent="0.35">
      <c r="A99">
        <f>Pairs!A99-Pairs!B99</f>
        <v>0</v>
      </c>
    </row>
    <row r="100" spans="1:1" x14ac:dyDescent="0.35">
      <c r="A100">
        <f>Pairs!A100-Pairs!B100</f>
        <v>0</v>
      </c>
    </row>
    <row r="101" spans="1:1" x14ac:dyDescent="0.35">
      <c r="A101">
        <f>Pairs!A101-Pairs!B101</f>
        <v>0</v>
      </c>
    </row>
    <row r="102" spans="1:1" x14ac:dyDescent="0.35">
      <c r="A102">
        <f>Pairs!A102-Pairs!B102</f>
        <v>0</v>
      </c>
    </row>
    <row r="103" spans="1:1" x14ac:dyDescent="0.35">
      <c r="A103">
        <f>Pairs!A103-Pairs!B103</f>
        <v>0</v>
      </c>
    </row>
    <row r="104" spans="1:1" x14ac:dyDescent="0.35">
      <c r="A104">
        <f>Pairs!A104-Pairs!B104</f>
        <v>0</v>
      </c>
    </row>
    <row r="105" spans="1:1" x14ac:dyDescent="0.35">
      <c r="A105">
        <f>Pairs!A105-Pairs!B105</f>
        <v>0</v>
      </c>
    </row>
    <row r="106" spans="1:1" x14ac:dyDescent="0.35">
      <c r="A106">
        <f>Pairs!A106-Pairs!B106</f>
        <v>0</v>
      </c>
    </row>
    <row r="107" spans="1:1" x14ac:dyDescent="0.35">
      <c r="A107">
        <f>Pairs!A107-Pairs!B107</f>
        <v>-1.1102230246251565E-16</v>
      </c>
    </row>
    <row r="108" spans="1:1" x14ac:dyDescent="0.35">
      <c r="A108">
        <f>Pairs!A108-Pairs!B108</f>
        <v>1.1102230246251565E-16</v>
      </c>
    </row>
    <row r="109" spans="1:1" x14ac:dyDescent="0.35">
      <c r="A109">
        <f>Pairs!A109-Pairs!B109</f>
        <v>-1.3877787807814457E-16</v>
      </c>
    </row>
    <row r="110" spans="1:1" x14ac:dyDescent="0.35">
      <c r="A110">
        <f>Pairs!A110-Pairs!B110</f>
        <v>1.3877787807814457E-16</v>
      </c>
    </row>
    <row r="111" spans="1:1" x14ac:dyDescent="0.35">
      <c r="A111">
        <f>Pairs!A111-Pairs!B111</f>
        <v>-1.6653345369377348E-16</v>
      </c>
    </row>
    <row r="112" spans="1:1" x14ac:dyDescent="0.35">
      <c r="A112">
        <f>Pairs!A112-Pairs!B112</f>
        <v>1.6653345369377348E-16</v>
      </c>
    </row>
    <row r="113" spans="1:1" x14ac:dyDescent="0.35">
      <c r="A113">
        <f>Pairs!A113-Pairs!B113</f>
        <v>-2.2204460492503131E-16</v>
      </c>
    </row>
    <row r="114" spans="1:1" x14ac:dyDescent="0.35">
      <c r="A114">
        <f>Pairs!A114-Pairs!B114</f>
        <v>2.2204460492503131E-16</v>
      </c>
    </row>
    <row r="115" spans="1:1" x14ac:dyDescent="0.35">
      <c r="A115">
        <f>Pairs!A115-Pairs!B115</f>
        <v>-2.7755575615628914E-16</v>
      </c>
    </row>
    <row r="116" spans="1:1" x14ac:dyDescent="0.35">
      <c r="A116">
        <f>Pairs!A116-Pairs!B116</f>
        <v>2.7755575615628914E-16</v>
      </c>
    </row>
    <row r="117" spans="1:1" x14ac:dyDescent="0.35">
      <c r="A117">
        <f>Pairs!A117-Pairs!B117</f>
        <v>-3.3306690738754696E-16</v>
      </c>
    </row>
    <row r="118" spans="1:1" x14ac:dyDescent="0.35">
      <c r="A118">
        <f>Pairs!A118-Pairs!B118</f>
        <v>3.3306690738754696E-16</v>
      </c>
    </row>
    <row r="119" spans="1:1" x14ac:dyDescent="0.35">
      <c r="A119">
        <f>Pairs!A119-Pairs!B119</f>
        <v>-4.4408920985006262E-16</v>
      </c>
    </row>
    <row r="120" spans="1:1" x14ac:dyDescent="0.35">
      <c r="A120">
        <f>Pairs!A120-Pairs!B120</f>
        <v>4.4408920985006262E-16</v>
      </c>
    </row>
    <row r="121" spans="1:1" x14ac:dyDescent="0.35">
      <c r="A121">
        <f>Pairs!A121-Pairs!B121</f>
        <v>-6.6613381477509392E-16</v>
      </c>
    </row>
    <row r="122" spans="1:1" x14ac:dyDescent="0.35">
      <c r="A122">
        <f>Pairs!A122-Pairs!B122</f>
        <v>6.6613381477509392E-16</v>
      </c>
    </row>
    <row r="123" spans="1:1" x14ac:dyDescent="0.35">
      <c r="A123">
        <f>Pairs!A123-Pairs!B123</f>
        <v>-8.8817841970012523E-16</v>
      </c>
    </row>
    <row r="124" spans="1:1" x14ac:dyDescent="0.35">
      <c r="A124">
        <f>Pairs!A124-Pairs!B124</f>
        <v>8.8817841970012523E-16</v>
      </c>
    </row>
    <row r="125" spans="1:1" x14ac:dyDescent="0.35">
      <c r="A125">
        <f>Pairs!A125-Pairs!B125</f>
        <v>-1.3877787807814457E-15</v>
      </c>
    </row>
    <row r="126" spans="1:1" x14ac:dyDescent="0.35">
      <c r="A126">
        <f>Pairs!A126-Pairs!B126</f>
        <v>1.3877787807814457E-15</v>
      </c>
    </row>
    <row r="127" spans="1:1" x14ac:dyDescent="0.35">
      <c r="A127">
        <f>Pairs!A127-Pairs!B127</f>
        <v>-1.7763568394002505E-15</v>
      </c>
    </row>
    <row r="128" spans="1:1" x14ac:dyDescent="0.35">
      <c r="A128">
        <f>Pairs!A128-Pairs!B128</f>
        <v>1.7763568394002505E-15</v>
      </c>
    </row>
    <row r="129" spans="1:1" x14ac:dyDescent="0.35">
      <c r="A129">
        <f>Pairs!A129-Pairs!B129</f>
        <v>-3.5527136788005009E-15</v>
      </c>
    </row>
    <row r="130" spans="1:1" x14ac:dyDescent="0.35">
      <c r="A130">
        <f>Pairs!A130-Pairs!B130</f>
        <v>3.5527136788005009E-15</v>
      </c>
    </row>
    <row r="131" spans="1:1" x14ac:dyDescent="0.35">
      <c r="A131">
        <f>Pairs!A131-Pairs!B131</f>
        <v>-7.1054273576010019E-15</v>
      </c>
    </row>
    <row r="132" spans="1:1" x14ac:dyDescent="0.35">
      <c r="A132">
        <f>Pairs!A132-Pairs!B132</f>
        <v>7.1054273576010019E-15</v>
      </c>
    </row>
    <row r="133" spans="1:1" x14ac:dyDescent="0.35">
      <c r="A133">
        <f>Pairs!A133-Pairs!B133</f>
        <v>-1.4210854715202004E-14</v>
      </c>
    </row>
    <row r="134" spans="1:1" x14ac:dyDescent="0.35">
      <c r="A134">
        <f>Pairs!A134-Pairs!B134</f>
        <v>1.4210854715202004E-14</v>
      </c>
    </row>
    <row r="135" spans="1:1" x14ac:dyDescent="0.35">
      <c r="A135">
        <f>Pairs!A135-Pairs!B135</f>
        <v>-2.8421709430404007E-14</v>
      </c>
    </row>
    <row r="136" spans="1:1" x14ac:dyDescent="0.35">
      <c r="A136">
        <f>Pairs!A136-Pairs!B136</f>
        <v>2.8421709430404007E-14</v>
      </c>
    </row>
    <row r="137" spans="1:1" x14ac:dyDescent="0.35">
      <c r="A137">
        <f>Pairs!A137-Pairs!B137</f>
        <v>-5.6843418860808015E-14</v>
      </c>
    </row>
    <row r="138" spans="1:1" x14ac:dyDescent="0.35">
      <c r="A138">
        <f>Pairs!A138-Pairs!B138</f>
        <v>5.6843418860808015E-14</v>
      </c>
    </row>
    <row r="139" spans="1:1" x14ac:dyDescent="0.35">
      <c r="A139">
        <f>Pairs!A139-Pairs!B139</f>
        <v>0</v>
      </c>
    </row>
    <row r="140" spans="1:1" x14ac:dyDescent="0.35">
      <c r="A140">
        <f>Pairs!A140-Pairs!B140</f>
        <v>0</v>
      </c>
    </row>
    <row r="141" spans="1:1" x14ac:dyDescent="0.35">
      <c r="A141">
        <f>Pairs!A141-Pairs!B141</f>
        <v>0</v>
      </c>
    </row>
    <row r="142" spans="1:1" x14ac:dyDescent="0.35">
      <c r="A142">
        <f>Pairs!A142-Pairs!B142</f>
        <v>0</v>
      </c>
    </row>
    <row r="143" spans="1:1" x14ac:dyDescent="0.35">
      <c r="A143">
        <f>Pairs!A143-Pairs!B143</f>
        <v>0</v>
      </c>
    </row>
    <row r="144" spans="1:1" x14ac:dyDescent="0.35">
      <c r="A144">
        <f>Pairs!A144-Pairs!B144</f>
        <v>0</v>
      </c>
    </row>
    <row r="145" spans="1:1" x14ac:dyDescent="0.35">
      <c r="A145">
        <f>Pairs!A145-Pairs!B145</f>
        <v>0</v>
      </c>
    </row>
    <row r="146" spans="1:1" x14ac:dyDescent="0.35">
      <c r="A146">
        <f>Pairs!A146-Pairs!B146</f>
        <v>0</v>
      </c>
    </row>
    <row r="147" spans="1:1" x14ac:dyDescent="0.35">
      <c r="A147">
        <f>Pairs!A147-Pairs!B147</f>
        <v>0</v>
      </c>
    </row>
    <row r="148" spans="1:1" x14ac:dyDescent="0.35">
      <c r="A148">
        <f>Pairs!A148-Pairs!B148</f>
        <v>0</v>
      </c>
    </row>
    <row r="149" spans="1:1" x14ac:dyDescent="0.35">
      <c r="A149">
        <f>Pairs!A149-Pairs!B149</f>
        <v>0</v>
      </c>
    </row>
    <row r="150" spans="1:1" x14ac:dyDescent="0.35">
      <c r="A150">
        <f>Pairs!A150-Pairs!B150</f>
        <v>0</v>
      </c>
    </row>
    <row r="151" spans="1:1" x14ac:dyDescent="0.35">
      <c r="A151">
        <f>Pairs!A151-Pairs!B151</f>
        <v>0</v>
      </c>
    </row>
    <row r="152" spans="1:1" x14ac:dyDescent="0.35">
      <c r="A152">
        <f>Pairs!A152-Pairs!B152</f>
        <v>0</v>
      </c>
    </row>
    <row r="153" spans="1:1" x14ac:dyDescent="0.35">
      <c r="A153">
        <f>Pairs!A153-Pairs!B153</f>
        <v>-1.1368683772161603E-13</v>
      </c>
    </row>
    <row r="154" spans="1:1" x14ac:dyDescent="0.35">
      <c r="A154">
        <f>Pairs!A154-Pairs!B154</f>
        <v>1.1368683772161603E-13</v>
      </c>
    </row>
    <row r="155" spans="1:1" x14ac:dyDescent="0.35">
      <c r="A155">
        <f>Pairs!A155-Pairs!B155</f>
        <v>-1.4210854715202004E-13</v>
      </c>
    </row>
    <row r="156" spans="1:1" x14ac:dyDescent="0.35">
      <c r="A156">
        <f>Pairs!A156-Pairs!B156</f>
        <v>1.4210854715202004E-13</v>
      </c>
    </row>
    <row r="157" spans="1:1" x14ac:dyDescent="0.35">
      <c r="A157">
        <f>Pairs!A157-Pairs!B157</f>
        <v>-1.7053025658242404E-13</v>
      </c>
    </row>
    <row r="158" spans="1:1" x14ac:dyDescent="0.35">
      <c r="A158">
        <f>Pairs!A158-Pairs!B158</f>
        <v>1.7053025658242404E-13</v>
      </c>
    </row>
    <row r="159" spans="1:1" x14ac:dyDescent="0.35">
      <c r="A159">
        <f>Pairs!A159-Pairs!B159</f>
        <v>-2.2737367544323206E-13</v>
      </c>
    </row>
    <row r="160" spans="1:1" x14ac:dyDescent="0.35">
      <c r="A160">
        <f>Pairs!A160-Pairs!B160</f>
        <v>2.2737367544323206E-13</v>
      </c>
    </row>
    <row r="161" spans="1:1" x14ac:dyDescent="0.35">
      <c r="A161">
        <f>Pairs!A161-Pairs!B161</f>
        <v>-2.8421709430404007E-13</v>
      </c>
    </row>
    <row r="162" spans="1:1" x14ac:dyDescent="0.35">
      <c r="A162">
        <f>Pairs!A162-Pairs!B162</f>
        <v>2.8421709430404007E-13</v>
      </c>
    </row>
    <row r="163" spans="1:1" x14ac:dyDescent="0.35">
      <c r="A163">
        <f>Pairs!A163-Pairs!B163</f>
        <v>-3.4106051316484809E-13</v>
      </c>
    </row>
    <row r="164" spans="1:1" x14ac:dyDescent="0.35">
      <c r="A164">
        <f>Pairs!A164-Pairs!B164</f>
        <v>3.4106051316484809E-13</v>
      </c>
    </row>
    <row r="165" spans="1:1" x14ac:dyDescent="0.35">
      <c r="A165">
        <f>Pairs!A165-Pairs!B165</f>
        <v>-4.5474735088646412E-13</v>
      </c>
    </row>
    <row r="166" spans="1:1" x14ac:dyDescent="0.35">
      <c r="A166">
        <f>Pairs!A166-Pairs!B166</f>
        <v>4.5474735088646412E-13</v>
      </c>
    </row>
    <row r="167" spans="1:1" x14ac:dyDescent="0.35">
      <c r="A167">
        <f>Pairs!A167-Pairs!B167</f>
        <v>-6.8212102632969618E-13</v>
      </c>
    </row>
    <row r="168" spans="1:1" x14ac:dyDescent="0.35">
      <c r="A168">
        <f>Pairs!A168-Pairs!B168</f>
        <v>6.8212102632969618E-13</v>
      </c>
    </row>
    <row r="169" spans="1:1" x14ac:dyDescent="0.35">
      <c r="A169">
        <f>Pairs!A169-Pairs!B169</f>
        <v>-9.0949470177292824E-13</v>
      </c>
    </row>
    <row r="170" spans="1:1" x14ac:dyDescent="0.35">
      <c r="A170">
        <f>Pairs!A170-Pairs!B170</f>
        <v>9.0949470177292824E-13</v>
      </c>
    </row>
    <row r="171" spans="1:1" x14ac:dyDescent="0.35">
      <c r="A171">
        <f>Pairs!A171-Pairs!B171</f>
        <v>-1.4210854715202004E-12</v>
      </c>
    </row>
    <row r="172" spans="1:1" x14ac:dyDescent="0.35">
      <c r="A172">
        <f>Pairs!A172-Pairs!B172</f>
        <v>1.4210854715202004E-12</v>
      </c>
    </row>
    <row r="173" spans="1:1" x14ac:dyDescent="0.35">
      <c r="A173">
        <f>Pairs!A173-Pairs!B173</f>
        <v>-1.8189894035458565E-12</v>
      </c>
    </row>
    <row r="174" spans="1:1" x14ac:dyDescent="0.35">
      <c r="A174">
        <f>Pairs!A174-Pairs!B174</f>
        <v>1.8189894035458565E-12</v>
      </c>
    </row>
    <row r="175" spans="1:1" x14ac:dyDescent="0.35">
      <c r="A175">
        <f>Pairs!A175-Pairs!B175</f>
        <v>-3.637978807091713E-12</v>
      </c>
    </row>
    <row r="176" spans="1:1" x14ac:dyDescent="0.35">
      <c r="A176">
        <f>Pairs!A176-Pairs!B176</f>
        <v>3.637978807091713E-12</v>
      </c>
    </row>
    <row r="177" spans="1:1" x14ac:dyDescent="0.35">
      <c r="A177">
        <f>Pairs!A177-Pairs!B177</f>
        <v>-7.2759576141834259E-12</v>
      </c>
    </row>
    <row r="178" spans="1:1" x14ac:dyDescent="0.35">
      <c r="A178">
        <f>Pairs!A178-Pairs!B178</f>
        <v>7.2759576141834259E-12</v>
      </c>
    </row>
    <row r="179" spans="1:1" x14ac:dyDescent="0.35">
      <c r="A179">
        <f>Pairs!A179-Pairs!B179</f>
        <v>-1.4551915228366852E-11</v>
      </c>
    </row>
    <row r="180" spans="1:1" x14ac:dyDescent="0.35">
      <c r="A180">
        <f>Pairs!A180-Pairs!B180</f>
        <v>1.4551915228366852E-11</v>
      </c>
    </row>
    <row r="181" spans="1:1" x14ac:dyDescent="0.35">
      <c r="A181">
        <f>Pairs!A181-Pairs!B181</f>
        <v>-2.9103830456733704E-11</v>
      </c>
    </row>
    <row r="182" spans="1:1" x14ac:dyDescent="0.35">
      <c r="A182">
        <f>Pairs!A182-Pairs!B182</f>
        <v>2.9103830456733704E-11</v>
      </c>
    </row>
    <row r="183" spans="1:1" x14ac:dyDescent="0.35">
      <c r="A183">
        <f>Pairs!A183-Pairs!B183</f>
        <v>-5.8207660913467407E-11</v>
      </c>
    </row>
    <row r="184" spans="1:1" x14ac:dyDescent="0.35">
      <c r="A184">
        <f>Pairs!A184-Pairs!B184</f>
        <v>5.8207660913467407E-11</v>
      </c>
    </row>
    <row r="185" spans="1:1" x14ac:dyDescent="0.35">
      <c r="A185">
        <f>Pairs!A185-Pairs!B185</f>
        <v>0</v>
      </c>
    </row>
    <row r="186" spans="1:1" x14ac:dyDescent="0.35">
      <c r="A186">
        <f>Pairs!A186-Pairs!B186</f>
        <v>0</v>
      </c>
    </row>
    <row r="187" spans="1:1" x14ac:dyDescent="0.35">
      <c r="A187">
        <f>Pairs!A187-Pairs!B187</f>
        <v>0</v>
      </c>
    </row>
    <row r="188" spans="1:1" x14ac:dyDescent="0.35">
      <c r="A188">
        <f>Pairs!A188-Pairs!B188</f>
        <v>0</v>
      </c>
    </row>
    <row r="189" spans="1:1" x14ac:dyDescent="0.35">
      <c r="A189">
        <f>Pairs!A189-Pairs!B189</f>
        <v>0</v>
      </c>
    </row>
    <row r="190" spans="1:1" x14ac:dyDescent="0.35">
      <c r="A190">
        <f>Pairs!A190-Pairs!B190</f>
        <v>0</v>
      </c>
    </row>
    <row r="191" spans="1:1" x14ac:dyDescent="0.35">
      <c r="A191">
        <f>Pairs!A191-Pairs!B191</f>
        <v>0</v>
      </c>
    </row>
    <row r="192" spans="1:1" x14ac:dyDescent="0.35">
      <c r="A192">
        <f>Pairs!A192-Pairs!B192</f>
        <v>0</v>
      </c>
    </row>
    <row r="193" spans="1:1" x14ac:dyDescent="0.35">
      <c r="A193">
        <f>Pairs!A193-Pairs!B193</f>
        <v>0</v>
      </c>
    </row>
    <row r="194" spans="1:1" x14ac:dyDescent="0.35">
      <c r="A194">
        <f>Pairs!A194-Pairs!B194</f>
        <v>0</v>
      </c>
    </row>
    <row r="195" spans="1:1" x14ac:dyDescent="0.35">
      <c r="A195">
        <f>Pairs!A195-Pairs!B195</f>
        <v>0</v>
      </c>
    </row>
    <row r="196" spans="1:1" x14ac:dyDescent="0.35">
      <c r="A196">
        <f>Pairs!A196-Pairs!B196</f>
        <v>0</v>
      </c>
    </row>
    <row r="197" spans="1:1" x14ac:dyDescent="0.35">
      <c r="A197">
        <f>Pairs!A197-Pairs!B197</f>
        <v>0</v>
      </c>
    </row>
    <row r="198" spans="1:1" x14ac:dyDescent="0.35">
      <c r="A198">
        <f>Pairs!A198-Pairs!B198</f>
        <v>0</v>
      </c>
    </row>
    <row r="199" spans="1:1" x14ac:dyDescent="0.35">
      <c r="A199">
        <f>Pairs!A199-Pairs!B199</f>
        <v>-1.52587890625E-5</v>
      </c>
    </row>
    <row r="200" spans="1:1" x14ac:dyDescent="0.35">
      <c r="A200">
        <f>Pairs!A200-Pairs!B200</f>
        <v>1.52587890625E-5</v>
      </c>
    </row>
    <row r="201" spans="1:1" x14ac:dyDescent="0.35">
      <c r="A201">
        <f>Pairs!A201-Pairs!B201</f>
        <v>-1.9073486328125E-5</v>
      </c>
    </row>
    <row r="202" spans="1:1" x14ac:dyDescent="0.35">
      <c r="A202">
        <f>Pairs!A202-Pairs!B202</f>
        <v>1.9073486328125E-5</v>
      </c>
    </row>
    <row r="203" spans="1:1" x14ac:dyDescent="0.35">
      <c r="A203">
        <f>Pairs!A203-Pairs!B203</f>
        <v>-2.288818359375E-5</v>
      </c>
    </row>
    <row r="204" spans="1:1" x14ac:dyDescent="0.35">
      <c r="A204">
        <f>Pairs!A204-Pairs!B204</f>
        <v>2.288818359375E-5</v>
      </c>
    </row>
    <row r="205" spans="1:1" x14ac:dyDescent="0.35">
      <c r="A205">
        <f>Pairs!A205-Pairs!B205</f>
        <v>-3.0517578125E-5</v>
      </c>
    </row>
    <row r="206" spans="1:1" x14ac:dyDescent="0.35">
      <c r="A206">
        <f>Pairs!A206-Pairs!B206</f>
        <v>3.0517578125E-5</v>
      </c>
    </row>
    <row r="207" spans="1:1" x14ac:dyDescent="0.35">
      <c r="A207">
        <f>Pairs!A207-Pairs!B207</f>
        <v>-3.814697265625E-5</v>
      </c>
    </row>
    <row r="208" spans="1:1" x14ac:dyDescent="0.35">
      <c r="A208">
        <f>Pairs!A208-Pairs!B208</f>
        <v>3.814697265625E-5</v>
      </c>
    </row>
    <row r="209" spans="1:1" x14ac:dyDescent="0.35">
      <c r="A209">
        <f>Pairs!A209-Pairs!B209</f>
        <v>-4.57763671875E-5</v>
      </c>
    </row>
    <row r="210" spans="1:1" x14ac:dyDescent="0.35">
      <c r="A210">
        <f>Pairs!A210-Pairs!B210</f>
        <v>4.57763671875E-5</v>
      </c>
    </row>
    <row r="211" spans="1:1" x14ac:dyDescent="0.35">
      <c r="A211">
        <f>Pairs!A211-Pairs!B211</f>
        <v>-6.103515625E-5</v>
      </c>
    </row>
    <row r="212" spans="1:1" x14ac:dyDescent="0.35">
      <c r="A212">
        <f>Pairs!A212-Pairs!B212</f>
        <v>6.103515625E-5</v>
      </c>
    </row>
    <row r="213" spans="1:1" x14ac:dyDescent="0.35">
      <c r="A213">
        <f>Pairs!A213-Pairs!B213</f>
        <v>-9.1552734375E-5</v>
      </c>
    </row>
    <row r="214" spans="1:1" x14ac:dyDescent="0.35">
      <c r="A214">
        <f>Pairs!A214-Pairs!B214</f>
        <v>9.1552734375E-5</v>
      </c>
    </row>
    <row r="215" spans="1:1" x14ac:dyDescent="0.35">
      <c r="A215">
        <f>Pairs!A215-Pairs!B215</f>
        <v>-1.220703125E-4</v>
      </c>
    </row>
    <row r="216" spans="1:1" x14ac:dyDescent="0.35">
      <c r="A216">
        <f>Pairs!A216-Pairs!B216</f>
        <v>1.220703125E-4</v>
      </c>
    </row>
    <row r="217" spans="1:1" x14ac:dyDescent="0.35">
      <c r="A217">
        <f>Pairs!A217-Pairs!B217</f>
        <v>-1.9073486328125E-4</v>
      </c>
    </row>
    <row r="218" spans="1:1" x14ac:dyDescent="0.35">
      <c r="A218">
        <f>Pairs!A218-Pairs!B218</f>
        <v>1.9073486328125E-4</v>
      </c>
    </row>
    <row r="219" spans="1:1" x14ac:dyDescent="0.35">
      <c r="A219">
        <f>Pairs!A219-Pairs!B219</f>
        <v>-2.44140625E-4</v>
      </c>
    </row>
    <row r="220" spans="1:1" x14ac:dyDescent="0.35">
      <c r="A220">
        <f>Pairs!A220-Pairs!B220</f>
        <v>2.44140625E-4</v>
      </c>
    </row>
    <row r="221" spans="1:1" x14ac:dyDescent="0.35">
      <c r="A221">
        <f>Pairs!A221-Pairs!B221</f>
        <v>-4.8828125E-4</v>
      </c>
    </row>
    <row r="222" spans="1:1" x14ac:dyDescent="0.35">
      <c r="A222">
        <f>Pairs!A222-Pairs!B222</f>
        <v>4.8828125E-4</v>
      </c>
    </row>
    <row r="223" spans="1:1" x14ac:dyDescent="0.35">
      <c r="A223">
        <f>Pairs!A223-Pairs!B223</f>
        <v>-9.765625E-4</v>
      </c>
    </row>
    <row r="224" spans="1:1" x14ac:dyDescent="0.35">
      <c r="A224">
        <f>Pairs!A224-Pairs!B224</f>
        <v>9.765625E-4</v>
      </c>
    </row>
    <row r="225" spans="1:1" x14ac:dyDescent="0.35">
      <c r="A225">
        <f>Pairs!A225-Pairs!B225</f>
        <v>-1.953125E-3</v>
      </c>
    </row>
    <row r="226" spans="1:1" x14ac:dyDescent="0.35">
      <c r="A226">
        <f>Pairs!A226-Pairs!B226</f>
        <v>1.953125E-3</v>
      </c>
    </row>
    <row r="227" spans="1:1" x14ac:dyDescent="0.35">
      <c r="A227">
        <f>Pairs!A227-Pairs!B227</f>
        <v>-3.90625E-3</v>
      </c>
    </row>
    <row r="228" spans="1:1" x14ac:dyDescent="0.35">
      <c r="A228">
        <f>Pairs!A228-Pairs!B228</f>
        <v>3.90625E-3</v>
      </c>
    </row>
    <row r="229" spans="1:1" x14ac:dyDescent="0.35">
      <c r="A229">
        <f>Pairs!A229-Pairs!B229</f>
        <v>-7.8125E-3</v>
      </c>
    </row>
    <row r="230" spans="1:1" x14ac:dyDescent="0.35">
      <c r="A230">
        <f>Pairs!A230-Pairs!B230</f>
        <v>7.8125E-3</v>
      </c>
    </row>
    <row r="231" spans="1:1" x14ac:dyDescent="0.35">
      <c r="A231">
        <f>Pairs!A231-Pairs!B231</f>
        <v>0</v>
      </c>
    </row>
    <row r="232" spans="1:1" x14ac:dyDescent="0.35">
      <c r="A232">
        <f>Pairs!A232-Pairs!B232</f>
        <v>0</v>
      </c>
    </row>
    <row r="233" spans="1:1" x14ac:dyDescent="0.35">
      <c r="A233">
        <f>Pairs!A233-Pairs!B233</f>
        <v>0</v>
      </c>
    </row>
    <row r="234" spans="1:1" x14ac:dyDescent="0.35">
      <c r="A234">
        <f>Pairs!A234-Pairs!B234</f>
        <v>0</v>
      </c>
    </row>
    <row r="235" spans="1:1" x14ac:dyDescent="0.35">
      <c r="A235">
        <f>Pairs!A235-Pairs!B235</f>
        <v>0</v>
      </c>
    </row>
    <row r="236" spans="1:1" x14ac:dyDescent="0.35">
      <c r="A236">
        <f>Pairs!A236-Pairs!B236</f>
        <v>0</v>
      </c>
    </row>
    <row r="237" spans="1:1" x14ac:dyDescent="0.35">
      <c r="A237">
        <f>Pairs!A237-Pairs!B237</f>
        <v>0</v>
      </c>
    </row>
    <row r="238" spans="1:1" x14ac:dyDescent="0.35">
      <c r="A238">
        <f>Pairs!A238-Pairs!B238</f>
        <v>0</v>
      </c>
    </row>
    <row r="239" spans="1:1" x14ac:dyDescent="0.35">
      <c r="A239">
        <f>Pairs!A239-Pairs!B239</f>
        <v>0</v>
      </c>
    </row>
    <row r="240" spans="1:1" x14ac:dyDescent="0.35">
      <c r="A240">
        <f>Pairs!A240-Pairs!B240</f>
        <v>0</v>
      </c>
    </row>
    <row r="241" spans="1:1" x14ac:dyDescent="0.35">
      <c r="A241">
        <f>Pairs!A241-Pairs!B241</f>
        <v>0</v>
      </c>
    </row>
    <row r="242" spans="1:1" x14ac:dyDescent="0.35">
      <c r="A242">
        <f>Pairs!A242-Pairs!B242</f>
        <v>0</v>
      </c>
    </row>
    <row r="243" spans="1:1" x14ac:dyDescent="0.35">
      <c r="A243">
        <f>Pairs!A243-Pairs!B243</f>
        <v>0</v>
      </c>
    </row>
    <row r="244" spans="1:1" x14ac:dyDescent="0.35">
      <c r="A244">
        <f>Pairs!A244-Pairs!B244</f>
        <v>0</v>
      </c>
    </row>
    <row r="245" spans="1:1" x14ac:dyDescent="0.35">
      <c r="A245">
        <f>Pairs!A245-Pairs!B245</f>
        <v>-1.0339757656912846E-25</v>
      </c>
    </row>
    <row r="246" spans="1:1" x14ac:dyDescent="0.35">
      <c r="A246">
        <f>Pairs!A246-Pairs!B246</f>
        <v>1.0339757656912846E-25</v>
      </c>
    </row>
    <row r="247" spans="1:1" x14ac:dyDescent="0.35">
      <c r="A247">
        <f>Pairs!A247-Pairs!B247</f>
        <v>-1.2924697071141057E-25</v>
      </c>
    </row>
    <row r="248" spans="1:1" x14ac:dyDescent="0.35">
      <c r="A248">
        <f>Pairs!A248-Pairs!B248</f>
        <v>1.2924697071141057E-25</v>
      </c>
    </row>
    <row r="249" spans="1:1" x14ac:dyDescent="0.35">
      <c r="A249">
        <f>Pairs!A249-Pairs!B249</f>
        <v>-1.5509636485369269E-25</v>
      </c>
    </row>
    <row r="250" spans="1:1" x14ac:dyDescent="0.35">
      <c r="A250">
        <f>Pairs!A250-Pairs!B250</f>
        <v>1.5509636485369269E-25</v>
      </c>
    </row>
    <row r="251" spans="1:1" x14ac:dyDescent="0.35">
      <c r="A251">
        <f>Pairs!A251-Pairs!B251</f>
        <v>-2.0679515313825692E-25</v>
      </c>
    </row>
    <row r="252" spans="1:1" x14ac:dyDescent="0.35">
      <c r="A252">
        <f>Pairs!A252-Pairs!B252</f>
        <v>2.0679515313825692E-25</v>
      </c>
    </row>
    <row r="253" spans="1:1" x14ac:dyDescent="0.35">
      <c r="A253">
        <f>Pairs!A253-Pairs!B253</f>
        <v>-2.5849394142282115E-25</v>
      </c>
    </row>
    <row r="254" spans="1:1" x14ac:dyDescent="0.35">
      <c r="A254">
        <f>Pairs!A254-Pairs!B254</f>
        <v>2.5849394142282115E-25</v>
      </c>
    </row>
    <row r="255" spans="1:1" x14ac:dyDescent="0.35">
      <c r="A255">
        <f>Pairs!A255-Pairs!B255</f>
        <v>-3.1019272970738538E-25</v>
      </c>
    </row>
    <row r="256" spans="1:1" x14ac:dyDescent="0.35">
      <c r="A256">
        <f>Pairs!A256-Pairs!B256</f>
        <v>3.1019272970738538E-25</v>
      </c>
    </row>
    <row r="257" spans="1:1" x14ac:dyDescent="0.35">
      <c r="A257">
        <f>Pairs!A257-Pairs!B257</f>
        <v>-4.1359030627651384E-25</v>
      </c>
    </row>
    <row r="258" spans="1:1" x14ac:dyDescent="0.35">
      <c r="A258">
        <f>Pairs!A258-Pairs!B258</f>
        <v>4.1359030627651384E-25</v>
      </c>
    </row>
    <row r="259" spans="1:1" x14ac:dyDescent="0.35">
      <c r="A259">
        <f>Pairs!A259-Pairs!B259</f>
        <v>-6.2038545941477076E-25</v>
      </c>
    </row>
    <row r="260" spans="1:1" x14ac:dyDescent="0.35">
      <c r="A260">
        <f>Pairs!A260-Pairs!B260</f>
        <v>6.2038545941477076E-25</v>
      </c>
    </row>
    <row r="261" spans="1:1" x14ac:dyDescent="0.35">
      <c r="A261">
        <f>Pairs!A261-Pairs!B261</f>
        <v>-8.2718061255302767E-25</v>
      </c>
    </row>
    <row r="262" spans="1:1" x14ac:dyDescent="0.35">
      <c r="A262">
        <f>Pairs!A262-Pairs!B262</f>
        <v>8.2718061255302767E-25</v>
      </c>
    </row>
    <row r="263" spans="1:1" x14ac:dyDescent="0.35">
      <c r="A263">
        <f>Pairs!A263-Pairs!B263</f>
        <v>-1.2924697071141057E-24</v>
      </c>
    </row>
    <row r="264" spans="1:1" x14ac:dyDescent="0.35">
      <c r="A264">
        <f>Pairs!A264-Pairs!B264</f>
        <v>1.2924697071141057E-24</v>
      </c>
    </row>
    <row r="265" spans="1:1" x14ac:dyDescent="0.35">
      <c r="A265">
        <f>Pairs!A265-Pairs!B265</f>
        <v>-1.6543612251060553E-24</v>
      </c>
    </row>
    <row r="266" spans="1:1" x14ac:dyDescent="0.35">
      <c r="A266">
        <f>Pairs!A266-Pairs!B266</f>
        <v>1.6543612251060553E-24</v>
      </c>
    </row>
    <row r="267" spans="1:1" x14ac:dyDescent="0.35">
      <c r="A267">
        <f>Pairs!A267-Pairs!B267</f>
        <v>-3.3087224502121107E-24</v>
      </c>
    </row>
    <row r="268" spans="1:1" x14ac:dyDescent="0.35">
      <c r="A268">
        <f>Pairs!A268-Pairs!B268</f>
        <v>3.3087224502121107E-24</v>
      </c>
    </row>
    <row r="269" spans="1:1" x14ac:dyDescent="0.35">
      <c r="A269">
        <f>Pairs!A269-Pairs!B269</f>
        <v>-6.6174449004242214E-24</v>
      </c>
    </row>
    <row r="270" spans="1:1" x14ac:dyDescent="0.35">
      <c r="A270">
        <f>Pairs!A270-Pairs!B270</f>
        <v>6.6174449004242214E-24</v>
      </c>
    </row>
    <row r="271" spans="1:1" x14ac:dyDescent="0.35">
      <c r="A271">
        <f>Pairs!A271-Pairs!B271</f>
        <v>-1.3234889800848443E-23</v>
      </c>
    </row>
    <row r="272" spans="1:1" x14ac:dyDescent="0.35">
      <c r="A272">
        <f>Pairs!A272-Pairs!B272</f>
        <v>1.3234889800848443E-23</v>
      </c>
    </row>
    <row r="273" spans="1:1" x14ac:dyDescent="0.35">
      <c r="A273">
        <f>Pairs!A273-Pairs!B273</f>
        <v>-2.6469779601696886E-23</v>
      </c>
    </row>
    <row r="274" spans="1:1" x14ac:dyDescent="0.35">
      <c r="A274">
        <f>Pairs!A274-Pairs!B274</f>
        <v>2.6469779601696886E-23</v>
      </c>
    </row>
    <row r="275" spans="1:1" x14ac:dyDescent="0.35">
      <c r="A275">
        <f>Pairs!A275-Pairs!B275</f>
        <v>-5.2939559203393771E-23</v>
      </c>
    </row>
    <row r="276" spans="1:1" x14ac:dyDescent="0.35">
      <c r="A276">
        <f>Pairs!A276-Pairs!B276</f>
        <v>5.2939559203393771E-23</v>
      </c>
    </row>
    <row r="277" spans="1:1" x14ac:dyDescent="0.35">
      <c r="A277">
        <f>Pairs!A277-Pairs!B277</f>
        <v>0</v>
      </c>
    </row>
    <row r="278" spans="1:1" x14ac:dyDescent="0.35">
      <c r="A278">
        <f>Pairs!A278-Pairs!B278</f>
        <v>0</v>
      </c>
    </row>
    <row r="279" spans="1:1" x14ac:dyDescent="0.35">
      <c r="A279">
        <f>Pairs!A279-Pairs!B279</f>
        <v>0</v>
      </c>
    </row>
    <row r="280" spans="1:1" x14ac:dyDescent="0.35">
      <c r="A280">
        <f>Pairs!A280-Pairs!B280</f>
        <v>0</v>
      </c>
    </row>
    <row r="281" spans="1:1" x14ac:dyDescent="0.35">
      <c r="A281">
        <f>Pairs!A281-Pairs!B281</f>
        <v>0</v>
      </c>
    </row>
    <row r="282" spans="1:1" x14ac:dyDescent="0.35">
      <c r="A282">
        <f>Pairs!A282-Pairs!B282</f>
        <v>0</v>
      </c>
    </row>
    <row r="283" spans="1:1" x14ac:dyDescent="0.35">
      <c r="A283">
        <f>Pairs!A283-Pairs!B283</f>
        <v>0</v>
      </c>
    </row>
    <row r="284" spans="1:1" x14ac:dyDescent="0.35">
      <c r="A284">
        <f>Pairs!A284-Pairs!B284</f>
        <v>0</v>
      </c>
    </row>
    <row r="285" spans="1:1" x14ac:dyDescent="0.35">
      <c r="A285">
        <f>Pairs!A285-Pairs!B285</f>
        <v>0</v>
      </c>
    </row>
    <row r="286" spans="1:1" x14ac:dyDescent="0.35">
      <c r="A286">
        <f>Pairs!A286-Pairs!B286</f>
        <v>0</v>
      </c>
    </row>
    <row r="287" spans="1:1" x14ac:dyDescent="0.35">
      <c r="A287">
        <f>Pairs!A287-Pairs!B287</f>
        <v>0</v>
      </c>
    </row>
    <row r="288" spans="1:1" x14ac:dyDescent="0.35">
      <c r="A288">
        <f>Pairs!A288-Pairs!B288</f>
        <v>0</v>
      </c>
    </row>
    <row r="289" spans="1:1" x14ac:dyDescent="0.35">
      <c r="A289">
        <f>Pairs!A289-Pairs!B289</f>
        <v>0</v>
      </c>
    </row>
    <row r="290" spans="1:1" x14ac:dyDescent="0.35">
      <c r="A290">
        <f>Pairs!A290-Pairs!B290</f>
        <v>0</v>
      </c>
    </row>
    <row r="291" spans="1:1" x14ac:dyDescent="0.35">
      <c r="A291">
        <f>Pairs!A291-Pairs!B291</f>
        <v>-1.1896135267822265E+285</v>
      </c>
    </row>
    <row r="292" spans="1:1" x14ac:dyDescent="0.35">
      <c r="A292">
        <f>Pairs!A292-Pairs!B292</f>
        <v>1.1896135267822265E+285</v>
      </c>
    </row>
    <row r="293" spans="1:1" x14ac:dyDescent="0.35">
      <c r="A293">
        <f>Pairs!A293-Pairs!B293</f>
        <v>-1.4870169084777831E+285</v>
      </c>
    </row>
    <row r="294" spans="1:1" x14ac:dyDescent="0.35">
      <c r="A294">
        <f>Pairs!A294-Pairs!B294</f>
        <v>1.4870169084777831E+285</v>
      </c>
    </row>
    <row r="295" spans="1:1" x14ac:dyDescent="0.35">
      <c r="A295">
        <f>Pairs!A295-Pairs!B295</f>
        <v>-1.7844202901733397E+285</v>
      </c>
    </row>
    <row r="296" spans="1:1" x14ac:dyDescent="0.35">
      <c r="A296">
        <f>Pairs!A296-Pairs!B296</f>
        <v>1.7844202901733397E+285</v>
      </c>
    </row>
    <row r="297" spans="1:1" x14ac:dyDescent="0.35">
      <c r="A297">
        <f>Pairs!A297-Pairs!B297</f>
        <v>-2.3792270535644529E+285</v>
      </c>
    </row>
    <row r="298" spans="1:1" x14ac:dyDescent="0.35">
      <c r="A298">
        <f>Pairs!A298-Pairs!B298</f>
        <v>2.3792270535644529E+285</v>
      </c>
    </row>
    <row r="299" spans="1:1" x14ac:dyDescent="0.35">
      <c r="A299">
        <f>Pairs!A299-Pairs!B299</f>
        <v>-2.9740338169555661E+285</v>
      </c>
    </row>
    <row r="300" spans="1:1" x14ac:dyDescent="0.35">
      <c r="A300">
        <f>Pairs!A300-Pairs!B300</f>
        <v>2.9740338169555661E+285</v>
      </c>
    </row>
    <row r="301" spans="1:1" x14ac:dyDescent="0.35">
      <c r="A301">
        <f>Pairs!A301-Pairs!B301</f>
        <v>-3.5688405803466794E+285</v>
      </c>
    </row>
    <row r="302" spans="1:1" x14ac:dyDescent="0.35">
      <c r="A302">
        <f>Pairs!A302-Pairs!B302</f>
        <v>3.5688405803466794E+285</v>
      </c>
    </row>
    <row r="303" spans="1:1" x14ac:dyDescent="0.35">
      <c r="A303">
        <f>Pairs!A303-Pairs!B303</f>
        <v>-4.7584541071289058E+285</v>
      </c>
    </row>
    <row r="304" spans="1:1" x14ac:dyDescent="0.35">
      <c r="A304">
        <f>Pairs!A304-Pairs!B304</f>
        <v>4.7584541071289058E+285</v>
      </c>
    </row>
    <row r="305" spans="1:1" x14ac:dyDescent="0.35">
      <c r="A305">
        <f>Pairs!A305-Pairs!B305</f>
        <v>-7.1376811606933587E+285</v>
      </c>
    </row>
    <row r="306" spans="1:1" x14ac:dyDescent="0.35">
      <c r="A306">
        <f>Pairs!A306-Pairs!B306</f>
        <v>7.1376811606933587E+285</v>
      </c>
    </row>
    <row r="307" spans="1:1" x14ac:dyDescent="0.35">
      <c r="A307">
        <f>Pairs!A307-Pairs!B307</f>
        <v>-9.5169082142578116E+285</v>
      </c>
    </row>
    <row r="308" spans="1:1" x14ac:dyDescent="0.35">
      <c r="A308">
        <f>Pairs!A308-Pairs!B308</f>
        <v>9.5169082142578116E+285</v>
      </c>
    </row>
    <row r="309" spans="1:1" x14ac:dyDescent="0.35">
      <c r="A309">
        <f>Pairs!A309-Pairs!B309</f>
        <v>-1.4870169084777831E+286</v>
      </c>
    </row>
    <row r="310" spans="1:1" x14ac:dyDescent="0.35">
      <c r="A310">
        <f>Pairs!A310-Pairs!B310</f>
        <v>1.4870169084777831E+286</v>
      </c>
    </row>
    <row r="311" spans="1:1" x14ac:dyDescent="0.35">
      <c r="A311">
        <f>Pairs!A311-Pairs!B311</f>
        <v>-1.9033816428515623E+286</v>
      </c>
    </row>
    <row r="312" spans="1:1" x14ac:dyDescent="0.35">
      <c r="A312">
        <f>Pairs!A312-Pairs!B312</f>
        <v>1.9033816428515623E+286</v>
      </c>
    </row>
    <row r="313" spans="1:1" x14ac:dyDescent="0.35">
      <c r="A313">
        <f>Pairs!A313-Pairs!B313</f>
        <v>-3.8067632857031246E+286</v>
      </c>
    </row>
    <row r="314" spans="1:1" x14ac:dyDescent="0.35">
      <c r="A314">
        <f>Pairs!A314-Pairs!B314</f>
        <v>3.8067632857031246E+286</v>
      </c>
    </row>
    <row r="315" spans="1:1" x14ac:dyDescent="0.35">
      <c r="A315">
        <f>Pairs!A315-Pairs!B315</f>
        <v>-7.6135265714062493E+286</v>
      </c>
    </row>
    <row r="316" spans="1:1" x14ac:dyDescent="0.35">
      <c r="A316">
        <f>Pairs!A316-Pairs!B316</f>
        <v>7.6135265714062493E+286</v>
      </c>
    </row>
    <row r="317" spans="1:1" x14ac:dyDescent="0.35">
      <c r="A317">
        <f>Pairs!A317-Pairs!B317</f>
        <v>-1.5227053142812499E+287</v>
      </c>
    </row>
    <row r="318" spans="1:1" x14ac:dyDescent="0.35">
      <c r="A318">
        <f>Pairs!A318-Pairs!B318</f>
        <v>1.5227053142812499E+287</v>
      </c>
    </row>
    <row r="319" spans="1:1" x14ac:dyDescent="0.35">
      <c r="A319">
        <f>Pairs!A319-Pairs!B319</f>
        <v>-3.0454106285624997E+287</v>
      </c>
    </row>
    <row r="320" spans="1:1" x14ac:dyDescent="0.35">
      <c r="A320">
        <f>Pairs!A320-Pairs!B320</f>
        <v>3.0454106285624997E+287</v>
      </c>
    </row>
    <row r="321" spans="1:1" x14ac:dyDescent="0.35">
      <c r="A321">
        <f>Pairs!A321-Pairs!B321</f>
        <v>-6.0908212571249994E+287</v>
      </c>
    </row>
    <row r="322" spans="1:1" x14ac:dyDescent="0.35">
      <c r="A322">
        <f>Pairs!A322-Pairs!B322</f>
        <v>6.0908212571249994E+287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B462-A5EB-4662-A877-4059639F3E0A}">
  <dimension ref="A1:A322"/>
  <sheetViews>
    <sheetView workbookViewId="0"/>
  </sheetViews>
  <sheetFormatPr defaultRowHeight="14.5" x14ac:dyDescent="0.35"/>
  <sheetData>
    <row r="1" spans="1:1" x14ac:dyDescent="0.35">
      <c r="A1">
        <f>1*SUM(Pairs!B1,-Pairs!A1)</f>
        <v>0</v>
      </c>
    </row>
    <row r="2" spans="1:1" x14ac:dyDescent="0.35">
      <c r="A2">
        <f>1*SUM(Pairs!B2,-Pairs!A2)</f>
        <v>0</v>
      </c>
    </row>
    <row r="3" spans="1:1" x14ac:dyDescent="0.35">
      <c r="A3">
        <f>1*SUM(Pairs!B3,-Pairs!A3)</f>
        <v>0</v>
      </c>
    </row>
    <row r="4" spans="1:1" x14ac:dyDescent="0.35">
      <c r="A4">
        <f>1*SUM(Pairs!B4,-Pairs!A4)</f>
        <v>0</v>
      </c>
    </row>
    <row r="5" spans="1:1" x14ac:dyDescent="0.35">
      <c r="A5">
        <f>1*SUM(Pairs!B5,-Pairs!A5)</f>
        <v>0</v>
      </c>
    </row>
    <row r="6" spans="1:1" x14ac:dyDescent="0.35">
      <c r="A6">
        <f>1*SUM(Pairs!B6,-Pairs!A6)</f>
        <v>0</v>
      </c>
    </row>
    <row r="7" spans="1:1" x14ac:dyDescent="0.35">
      <c r="A7">
        <f>1*SUM(Pairs!B7,-Pairs!A7)</f>
        <v>0</v>
      </c>
    </row>
    <row r="8" spans="1:1" x14ac:dyDescent="0.35">
      <c r="A8">
        <f>1*SUM(Pairs!B8,-Pairs!A8)</f>
        <v>0</v>
      </c>
    </row>
    <row r="9" spans="1:1" x14ac:dyDescent="0.35">
      <c r="A9">
        <f>1*SUM(Pairs!B9,-Pairs!A9)</f>
        <v>0</v>
      </c>
    </row>
    <row r="10" spans="1:1" x14ac:dyDescent="0.35">
      <c r="A10">
        <f>1*SUM(Pairs!B10,-Pairs!A10)</f>
        <v>0</v>
      </c>
    </row>
    <row r="11" spans="1:1" x14ac:dyDescent="0.35">
      <c r="A11">
        <f>1*SUM(Pairs!B11,-Pairs!A11)</f>
        <v>0</v>
      </c>
    </row>
    <row r="12" spans="1:1" x14ac:dyDescent="0.35">
      <c r="A12">
        <f>1*SUM(Pairs!B12,-Pairs!A12)</f>
        <v>0</v>
      </c>
    </row>
    <row r="13" spans="1:1" x14ac:dyDescent="0.35">
      <c r="A13">
        <f>1*SUM(Pairs!B13,-Pairs!A13)</f>
        <v>0</v>
      </c>
    </row>
    <row r="14" spans="1:1" x14ac:dyDescent="0.35">
      <c r="A14">
        <f>1*SUM(Pairs!B14,-Pairs!A14)</f>
        <v>0</v>
      </c>
    </row>
    <row r="15" spans="1:1" x14ac:dyDescent="0.35">
      <c r="A15">
        <f>1*SUM(Pairs!B15,-Pairs!A15)</f>
        <v>1.7763568394002505E-15</v>
      </c>
    </row>
    <row r="16" spans="1:1" x14ac:dyDescent="0.35">
      <c r="A16">
        <f>1*SUM(Pairs!B16,-Pairs!A16)</f>
        <v>-8.8817841970012523E-16</v>
      </c>
    </row>
    <row r="17" spans="1:1" x14ac:dyDescent="0.35">
      <c r="A17">
        <f>1*SUM(Pairs!B17,-Pairs!A17)</f>
        <v>2.2204460492503131E-15</v>
      </c>
    </row>
    <row r="18" spans="1:1" x14ac:dyDescent="0.35">
      <c r="A18">
        <f>1*SUM(Pairs!B18,-Pairs!A18)</f>
        <v>-1.1102230246251565E-15</v>
      </c>
    </row>
    <row r="19" spans="1:1" x14ac:dyDescent="0.35">
      <c r="A19">
        <f>1*SUM(Pairs!B19,-Pairs!A19)</f>
        <v>2.6645352591003757E-15</v>
      </c>
    </row>
    <row r="20" spans="1:1" x14ac:dyDescent="0.35">
      <c r="A20">
        <f>1*SUM(Pairs!B20,-Pairs!A20)</f>
        <v>-1.3322676295501878E-15</v>
      </c>
    </row>
    <row r="21" spans="1:1" x14ac:dyDescent="0.35">
      <c r="A21">
        <f>1*SUM(Pairs!B21,-Pairs!A21)</f>
        <v>3.5527136788005009E-15</v>
      </c>
    </row>
    <row r="22" spans="1:1" x14ac:dyDescent="0.35">
      <c r="A22">
        <f>1*SUM(Pairs!B22,-Pairs!A22)</f>
        <v>-1.7763568394002505E-15</v>
      </c>
    </row>
    <row r="23" spans="1:1" x14ac:dyDescent="0.35">
      <c r="A23">
        <f>1*SUM(Pairs!B23,-Pairs!A23)</f>
        <v>4.4408920985006262E-15</v>
      </c>
    </row>
    <row r="24" spans="1:1" x14ac:dyDescent="0.35">
      <c r="A24">
        <f>1*SUM(Pairs!B24,-Pairs!A24)</f>
        <v>-2.2204460492503131E-15</v>
      </c>
    </row>
    <row r="25" spans="1:1" x14ac:dyDescent="0.35">
      <c r="A25">
        <f>1*SUM(Pairs!B25,-Pairs!A25)</f>
        <v>5.3290705182007514E-15</v>
      </c>
    </row>
    <row r="26" spans="1:1" x14ac:dyDescent="0.35">
      <c r="A26">
        <f>1*SUM(Pairs!B26,-Pairs!A26)</f>
        <v>-2.6645352591003757E-15</v>
      </c>
    </row>
    <row r="27" spans="1:1" x14ac:dyDescent="0.35">
      <c r="A27">
        <f>1*SUM(Pairs!B27,-Pairs!A27)</f>
        <v>7.1054273576010019E-15</v>
      </c>
    </row>
    <row r="28" spans="1:1" x14ac:dyDescent="0.35">
      <c r="A28">
        <f>1*SUM(Pairs!B28,-Pairs!A28)</f>
        <v>-3.5527136788005009E-15</v>
      </c>
    </row>
    <row r="29" spans="1:1" x14ac:dyDescent="0.35">
      <c r="A29">
        <f>1*SUM(Pairs!B29,-Pairs!A29)</f>
        <v>1.0658141036401503E-14</v>
      </c>
    </row>
    <row r="30" spans="1:1" x14ac:dyDescent="0.35">
      <c r="A30">
        <f>1*SUM(Pairs!B30,-Pairs!A30)</f>
        <v>-5.3290705182007514E-15</v>
      </c>
    </row>
    <row r="31" spans="1:1" x14ac:dyDescent="0.35">
      <c r="A31">
        <f>1*SUM(Pairs!B31,-Pairs!A31)</f>
        <v>1.4210854715202004E-14</v>
      </c>
    </row>
    <row r="32" spans="1:1" x14ac:dyDescent="0.35">
      <c r="A32">
        <f>1*SUM(Pairs!B32,-Pairs!A32)</f>
        <v>-7.1054273576010019E-15</v>
      </c>
    </row>
    <row r="33" spans="1:1" x14ac:dyDescent="0.35">
      <c r="A33">
        <f>1*SUM(Pairs!B33,-Pairs!A33)</f>
        <v>2.2204460492503131E-14</v>
      </c>
    </row>
    <row r="34" spans="1:1" x14ac:dyDescent="0.35">
      <c r="A34">
        <f>1*SUM(Pairs!B34,-Pairs!A34)</f>
        <v>-1.1102230246251565E-14</v>
      </c>
    </row>
    <row r="35" spans="1:1" x14ac:dyDescent="0.35">
      <c r="A35">
        <f>1*SUM(Pairs!B35,-Pairs!A35)</f>
        <v>2.8421709430404007E-14</v>
      </c>
    </row>
    <row r="36" spans="1:1" x14ac:dyDescent="0.35">
      <c r="A36">
        <f>1*SUM(Pairs!B36,-Pairs!A36)</f>
        <v>-1.4210854715202004E-14</v>
      </c>
    </row>
    <row r="37" spans="1:1" x14ac:dyDescent="0.35">
      <c r="A37">
        <f>1*SUM(Pairs!B37,-Pairs!A37)</f>
        <v>5.6843418860808015E-14</v>
      </c>
    </row>
    <row r="38" spans="1:1" x14ac:dyDescent="0.35">
      <c r="A38">
        <f>1*SUM(Pairs!B38,-Pairs!A38)</f>
        <v>-2.8421709430404007E-14</v>
      </c>
    </row>
    <row r="39" spans="1:1" x14ac:dyDescent="0.35">
      <c r="A39">
        <f>1*SUM(Pairs!B39,-Pairs!A39)</f>
        <v>1.1368683772161603E-13</v>
      </c>
    </row>
    <row r="40" spans="1:1" x14ac:dyDescent="0.35">
      <c r="A40">
        <f>1*SUM(Pairs!B40,-Pairs!A40)</f>
        <v>-5.6843418860808015E-14</v>
      </c>
    </row>
    <row r="41" spans="1:1" x14ac:dyDescent="0.35">
      <c r="A41">
        <f>1*SUM(Pairs!B41,-Pairs!A41)</f>
        <v>2.2737367544323206E-13</v>
      </c>
    </row>
    <row r="42" spans="1:1" x14ac:dyDescent="0.35">
      <c r="A42">
        <f>1*SUM(Pairs!B42,-Pairs!A42)</f>
        <v>-1.1368683772161603E-13</v>
      </c>
    </row>
    <row r="43" spans="1:1" x14ac:dyDescent="0.35">
      <c r="A43">
        <f>1*SUM(Pairs!B43,-Pairs!A43)</f>
        <v>4.5474735088646412E-13</v>
      </c>
    </row>
    <row r="44" spans="1:1" x14ac:dyDescent="0.35">
      <c r="A44">
        <f>1*SUM(Pairs!B44,-Pairs!A44)</f>
        <v>-2.2737367544323206E-13</v>
      </c>
    </row>
    <row r="45" spans="1:1" x14ac:dyDescent="0.35">
      <c r="A45">
        <f>1*SUM(Pairs!B45,-Pairs!A45)</f>
        <v>9.0949470177292824E-13</v>
      </c>
    </row>
    <row r="46" spans="1:1" x14ac:dyDescent="0.35">
      <c r="A46">
        <f>1*SUM(Pairs!B46,-Pairs!A46)</f>
        <v>-4.5474735088646412E-13</v>
      </c>
    </row>
    <row r="47" spans="1:1" x14ac:dyDescent="0.35">
      <c r="A47">
        <f>1*SUM(Pairs!B47,-Pairs!A47)</f>
        <v>0</v>
      </c>
    </row>
    <row r="48" spans="1:1" x14ac:dyDescent="0.35">
      <c r="A48">
        <f>1*SUM(Pairs!B48,-Pairs!A48)</f>
        <v>0</v>
      </c>
    </row>
    <row r="49" spans="1:1" x14ac:dyDescent="0.35">
      <c r="A49">
        <f>1*SUM(Pairs!B49,-Pairs!A49)</f>
        <v>0</v>
      </c>
    </row>
    <row r="50" spans="1:1" x14ac:dyDescent="0.35">
      <c r="A50">
        <f>1*SUM(Pairs!B50,-Pairs!A50)</f>
        <v>0</v>
      </c>
    </row>
    <row r="51" spans="1:1" x14ac:dyDescent="0.35">
      <c r="A51">
        <f>1*SUM(Pairs!B51,-Pairs!A51)</f>
        <v>0</v>
      </c>
    </row>
    <row r="52" spans="1:1" x14ac:dyDescent="0.35">
      <c r="A52">
        <f>1*SUM(Pairs!B52,-Pairs!A52)</f>
        <v>0</v>
      </c>
    </row>
    <row r="53" spans="1:1" x14ac:dyDescent="0.35">
      <c r="A53">
        <f>1*SUM(Pairs!B53,-Pairs!A53)</f>
        <v>0</v>
      </c>
    </row>
    <row r="54" spans="1:1" x14ac:dyDescent="0.35">
      <c r="A54">
        <f>1*SUM(Pairs!B54,-Pairs!A54)</f>
        <v>0</v>
      </c>
    </row>
    <row r="55" spans="1:1" x14ac:dyDescent="0.35">
      <c r="A55">
        <f>1*SUM(Pairs!B55,-Pairs!A55)</f>
        <v>0</v>
      </c>
    </row>
    <row r="56" spans="1:1" x14ac:dyDescent="0.35">
      <c r="A56">
        <f>1*SUM(Pairs!B56,-Pairs!A56)</f>
        <v>0</v>
      </c>
    </row>
    <row r="57" spans="1:1" x14ac:dyDescent="0.35">
      <c r="A57">
        <f>1*SUM(Pairs!B57,-Pairs!A57)</f>
        <v>0</v>
      </c>
    </row>
    <row r="58" spans="1:1" x14ac:dyDescent="0.35">
      <c r="A58">
        <f>1*SUM(Pairs!B58,-Pairs!A58)</f>
        <v>0</v>
      </c>
    </row>
    <row r="59" spans="1:1" x14ac:dyDescent="0.35">
      <c r="A59">
        <f>1*SUM(Pairs!B59,-Pairs!A59)</f>
        <v>0</v>
      </c>
    </row>
    <row r="60" spans="1:1" x14ac:dyDescent="0.35">
      <c r="A60">
        <f>1*SUM(Pairs!B60,-Pairs!A60)</f>
        <v>0</v>
      </c>
    </row>
    <row r="61" spans="1:1" x14ac:dyDescent="0.35">
      <c r="A61">
        <f>1*SUM(Pairs!B61,-Pairs!A61)</f>
        <v>3.5527136788005009E-15</v>
      </c>
    </row>
    <row r="62" spans="1:1" x14ac:dyDescent="0.35">
      <c r="A62">
        <f>1*SUM(Pairs!B62,-Pairs!A62)</f>
        <v>-3.5527136788005009E-15</v>
      </c>
    </row>
    <row r="63" spans="1:1" x14ac:dyDescent="0.35">
      <c r="A63">
        <f>1*SUM(Pairs!B63,-Pairs!A63)</f>
        <v>4.4408920985006262E-15</v>
      </c>
    </row>
    <row r="64" spans="1:1" x14ac:dyDescent="0.35">
      <c r="A64">
        <f>1*SUM(Pairs!B64,-Pairs!A64)</f>
        <v>-4.4408920985006262E-15</v>
      </c>
    </row>
    <row r="65" spans="1:1" x14ac:dyDescent="0.35">
      <c r="A65">
        <f>1*SUM(Pairs!B65,-Pairs!A65)</f>
        <v>5.3290705182007514E-15</v>
      </c>
    </row>
    <row r="66" spans="1:1" x14ac:dyDescent="0.35">
      <c r="A66">
        <f>1*SUM(Pairs!B66,-Pairs!A66)</f>
        <v>-5.3290705182007514E-15</v>
      </c>
    </row>
    <row r="67" spans="1:1" x14ac:dyDescent="0.35">
      <c r="A67">
        <f>1*SUM(Pairs!B67,-Pairs!A67)</f>
        <v>7.1054273576010019E-15</v>
      </c>
    </row>
    <row r="68" spans="1:1" x14ac:dyDescent="0.35">
      <c r="A68">
        <f>1*SUM(Pairs!B68,-Pairs!A68)</f>
        <v>-7.1054273576010019E-15</v>
      </c>
    </row>
    <row r="69" spans="1:1" x14ac:dyDescent="0.35">
      <c r="A69">
        <f>1*SUM(Pairs!B69,-Pairs!A69)</f>
        <v>8.8817841970012523E-15</v>
      </c>
    </row>
    <row r="70" spans="1:1" x14ac:dyDescent="0.35">
      <c r="A70">
        <f>1*SUM(Pairs!B70,-Pairs!A70)</f>
        <v>-8.8817841970012523E-15</v>
      </c>
    </row>
    <row r="71" spans="1:1" x14ac:dyDescent="0.35">
      <c r="A71">
        <f>1*SUM(Pairs!B71,-Pairs!A71)</f>
        <v>1.0658141036401503E-14</v>
      </c>
    </row>
    <row r="72" spans="1:1" x14ac:dyDescent="0.35">
      <c r="A72">
        <f>1*SUM(Pairs!B72,-Pairs!A72)</f>
        <v>-1.0658141036401503E-14</v>
      </c>
    </row>
    <row r="73" spans="1:1" x14ac:dyDescent="0.35">
      <c r="A73">
        <f>1*SUM(Pairs!B73,-Pairs!A73)</f>
        <v>1.4210854715202004E-14</v>
      </c>
    </row>
    <row r="74" spans="1:1" x14ac:dyDescent="0.35">
      <c r="A74">
        <f>1*SUM(Pairs!B74,-Pairs!A74)</f>
        <v>-1.4210854715202004E-14</v>
      </c>
    </row>
    <row r="75" spans="1:1" x14ac:dyDescent="0.35">
      <c r="A75">
        <f>1*SUM(Pairs!B75,-Pairs!A75)</f>
        <v>2.1316282072803006E-14</v>
      </c>
    </row>
    <row r="76" spans="1:1" x14ac:dyDescent="0.35">
      <c r="A76">
        <f>1*SUM(Pairs!B76,-Pairs!A76)</f>
        <v>-2.1316282072803006E-14</v>
      </c>
    </row>
    <row r="77" spans="1:1" x14ac:dyDescent="0.35">
      <c r="A77">
        <f>1*SUM(Pairs!B77,-Pairs!A77)</f>
        <v>2.8421709430404007E-14</v>
      </c>
    </row>
    <row r="78" spans="1:1" x14ac:dyDescent="0.35">
      <c r="A78">
        <f>1*SUM(Pairs!B78,-Pairs!A78)</f>
        <v>-2.8421709430404007E-14</v>
      </c>
    </row>
    <row r="79" spans="1:1" x14ac:dyDescent="0.35">
      <c r="A79">
        <f>1*SUM(Pairs!B79,-Pairs!A79)</f>
        <v>4.4408920985006262E-14</v>
      </c>
    </row>
    <row r="80" spans="1:1" x14ac:dyDescent="0.35">
      <c r="A80">
        <f>1*SUM(Pairs!B80,-Pairs!A80)</f>
        <v>-4.4408920985006262E-14</v>
      </c>
    </row>
    <row r="81" spans="1:1" x14ac:dyDescent="0.35">
      <c r="A81">
        <f>1*SUM(Pairs!B81,-Pairs!A81)</f>
        <v>5.6843418860808015E-14</v>
      </c>
    </row>
    <row r="82" spans="1:1" x14ac:dyDescent="0.35">
      <c r="A82">
        <f>1*SUM(Pairs!B82,-Pairs!A82)</f>
        <v>-5.6843418860808015E-14</v>
      </c>
    </row>
    <row r="83" spans="1:1" x14ac:dyDescent="0.35">
      <c r="A83">
        <f>1*SUM(Pairs!B83,-Pairs!A83)</f>
        <v>1.1368683772161603E-13</v>
      </c>
    </row>
    <row r="84" spans="1:1" x14ac:dyDescent="0.35">
      <c r="A84">
        <f>1*SUM(Pairs!B84,-Pairs!A84)</f>
        <v>-1.1368683772161603E-13</v>
      </c>
    </row>
    <row r="85" spans="1:1" x14ac:dyDescent="0.35">
      <c r="A85">
        <f>1*SUM(Pairs!B85,-Pairs!A85)</f>
        <v>2.2737367544323206E-13</v>
      </c>
    </row>
    <row r="86" spans="1:1" x14ac:dyDescent="0.35">
      <c r="A86">
        <f>1*SUM(Pairs!B86,-Pairs!A86)</f>
        <v>-2.2737367544323206E-13</v>
      </c>
    </row>
    <row r="87" spans="1:1" x14ac:dyDescent="0.35">
      <c r="A87">
        <f>1*SUM(Pairs!B87,-Pairs!A87)</f>
        <v>4.5474735088646412E-13</v>
      </c>
    </row>
    <row r="88" spans="1:1" x14ac:dyDescent="0.35">
      <c r="A88">
        <f>1*SUM(Pairs!B88,-Pairs!A88)</f>
        <v>-4.5474735088646412E-13</v>
      </c>
    </row>
    <row r="89" spans="1:1" x14ac:dyDescent="0.35">
      <c r="A89">
        <f>1*SUM(Pairs!B89,-Pairs!A89)</f>
        <v>9.0949470177292824E-13</v>
      </c>
    </row>
    <row r="90" spans="1:1" x14ac:dyDescent="0.35">
      <c r="A90">
        <f>1*SUM(Pairs!B90,-Pairs!A90)</f>
        <v>-9.0949470177292824E-13</v>
      </c>
    </row>
    <row r="91" spans="1:1" x14ac:dyDescent="0.35">
      <c r="A91">
        <f>1*SUM(Pairs!B91,-Pairs!A91)</f>
        <v>1.8189894035458565E-12</v>
      </c>
    </row>
    <row r="92" spans="1:1" x14ac:dyDescent="0.35">
      <c r="A92">
        <f>1*SUM(Pairs!B92,-Pairs!A92)</f>
        <v>-1.8189894035458565E-12</v>
      </c>
    </row>
    <row r="93" spans="1:1" x14ac:dyDescent="0.35">
      <c r="A93">
        <f>1*SUM(Pairs!B93,-Pairs!A93)</f>
        <v>0</v>
      </c>
    </row>
    <row r="94" spans="1:1" x14ac:dyDescent="0.35">
      <c r="A94">
        <f>1*SUM(Pairs!B94,-Pairs!A94)</f>
        <v>0</v>
      </c>
    </row>
    <row r="95" spans="1:1" x14ac:dyDescent="0.35">
      <c r="A95">
        <f>1*SUM(Pairs!B95,-Pairs!A95)</f>
        <v>0</v>
      </c>
    </row>
    <row r="96" spans="1:1" x14ac:dyDescent="0.35">
      <c r="A96">
        <f>1*SUM(Pairs!B96,-Pairs!A96)</f>
        <v>0</v>
      </c>
    </row>
    <row r="97" spans="1:1" x14ac:dyDescent="0.35">
      <c r="A97">
        <f>1*SUM(Pairs!B97,-Pairs!A97)</f>
        <v>0</v>
      </c>
    </row>
    <row r="98" spans="1:1" x14ac:dyDescent="0.35">
      <c r="A98">
        <f>1*SUM(Pairs!B98,-Pairs!A98)</f>
        <v>0</v>
      </c>
    </row>
    <row r="99" spans="1:1" x14ac:dyDescent="0.35">
      <c r="A99">
        <f>1*SUM(Pairs!B99,-Pairs!A99)</f>
        <v>0</v>
      </c>
    </row>
    <row r="100" spans="1:1" x14ac:dyDescent="0.35">
      <c r="A100">
        <f>1*SUM(Pairs!B100,-Pairs!A100)</f>
        <v>0</v>
      </c>
    </row>
    <row r="101" spans="1:1" x14ac:dyDescent="0.35">
      <c r="A101">
        <f>1*SUM(Pairs!B101,-Pairs!A101)</f>
        <v>0</v>
      </c>
    </row>
    <row r="102" spans="1:1" x14ac:dyDescent="0.35">
      <c r="A102">
        <f>1*SUM(Pairs!B102,-Pairs!A102)</f>
        <v>0</v>
      </c>
    </row>
    <row r="103" spans="1:1" x14ac:dyDescent="0.35">
      <c r="A103">
        <f>1*SUM(Pairs!B103,-Pairs!A103)</f>
        <v>0</v>
      </c>
    </row>
    <row r="104" spans="1:1" x14ac:dyDescent="0.35">
      <c r="A104">
        <f>1*SUM(Pairs!B104,-Pairs!A104)</f>
        <v>0</v>
      </c>
    </row>
    <row r="105" spans="1:1" x14ac:dyDescent="0.35">
      <c r="A105">
        <f>1*SUM(Pairs!B105,-Pairs!A105)</f>
        <v>0</v>
      </c>
    </row>
    <row r="106" spans="1:1" x14ac:dyDescent="0.35">
      <c r="A106">
        <f>1*SUM(Pairs!B106,-Pairs!A106)</f>
        <v>0</v>
      </c>
    </row>
    <row r="107" spans="1:1" x14ac:dyDescent="0.35">
      <c r="A107">
        <f>1*SUM(Pairs!B107,-Pairs!A107)</f>
        <v>1.1102230246251565E-16</v>
      </c>
    </row>
    <row r="108" spans="1:1" x14ac:dyDescent="0.35">
      <c r="A108">
        <f>1*SUM(Pairs!B108,-Pairs!A108)</f>
        <v>-1.1102230246251565E-16</v>
      </c>
    </row>
    <row r="109" spans="1:1" x14ac:dyDescent="0.35">
      <c r="A109">
        <f>1*SUM(Pairs!B109,-Pairs!A109)</f>
        <v>1.3877787807814457E-16</v>
      </c>
    </row>
    <row r="110" spans="1:1" x14ac:dyDescent="0.35">
      <c r="A110">
        <f>1*SUM(Pairs!B110,-Pairs!A110)</f>
        <v>-1.3877787807814457E-16</v>
      </c>
    </row>
    <row r="111" spans="1:1" x14ac:dyDescent="0.35">
      <c r="A111">
        <f>1*SUM(Pairs!B111,-Pairs!A111)</f>
        <v>1.6653345369377348E-16</v>
      </c>
    </row>
    <row r="112" spans="1:1" x14ac:dyDescent="0.35">
      <c r="A112">
        <f>1*SUM(Pairs!B112,-Pairs!A112)</f>
        <v>-1.6653345369377348E-16</v>
      </c>
    </row>
    <row r="113" spans="1:1" x14ac:dyDescent="0.35">
      <c r="A113">
        <f>1*SUM(Pairs!B113,-Pairs!A113)</f>
        <v>2.2204460492503131E-16</v>
      </c>
    </row>
    <row r="114" spans="1:1" x14ac:dyDescent="0.35">
      <c r="A114">
        <f>1*SUM(Pairs!B114,-Pairs!A114)</f>
        <v>-2.2204460492503131E-16</v>
      </c>
    </row>
    <row r="115" spans="1:1" x14ac:dyDescent="0.35">
      <c r="A115">
        <f>1*SUM(Pairs!B115,-Pairs!A115)</f>
        <v>2.7755575615628914E-16</v>
      </c>
    </row>
    <row r="116" spans="1:1" x14ac:dyDescent="0.35">
      <c r="A116">
        <f>1*SUM(Pairs!B116,-Pairs!A116)</f>
        <v>-2.7755575615628914E-16</v>
      </c>
    </row>
    <row r="117" spans="1:1" x14ac:dyDescent="0.35">
      <c r="A117">
        <f>1*SUM(Pairs!B117,-Pairs!A117)</f>
        <v>3.3306690738754696E-16</v>
      </c>
    </row>
    <row r="118" spans="1:1" x14ac:dyDescent="0.35">
      <c r="A118">
        <f>1*SUM(Pairs!B118,-Pairs!A118)</f>
        <v>-3.3306690738754696E-16</v>
      </c>
    </row>
    <row r="119" spans="1:1" x14ac:dyDescent="0.35">
      <c r="A119">
        <f>1*SUM(Pairs!B119,-Pairs!A119)</f>
        <v>4.4408920985006262E-16</v>
      </c>
    </row>
    <row r="120" spans="1:1" x14ac:dyDescent="0.35">
      <c r="A120">
        <f>1*SUM(Pairs!B120,-Pairs!A120)</f>
        <v>-4.4408920985006262E-16</v>
      </c>
    </row>
    <row r="121" spans="1:1" x14ac:dyDescent="0.35">
      <c r="A121">
        <f>1*SUM(Pairs!B121,-Pairs!A121)</f>
        <v>6.6613381477509392E-16</v>
      </c>
    </row>
    <row r="122" spans="1:1" x14ac:dyDescent="0.35">
      <c r="A122">
        <f>1*SUM(Pairs!B122,-Pairs!A122)</f>
        <v>-6.6613381477509392E-16</v>
      </c>
    </row>
    <row r="123" spans="1:1" x14ac:dyDescent="0.35">
      <c r="A123">
        <f>1*SUM(Pairs!B123,-Pairs!A123)</f>
        <v>8.8817841970012523E-16</v>
      </c>
    </row>
    <row r="124" spans="1:1" x14ac:dyDescent="0.35">
      <c r="A124">
        <f>1*SUM(Pairs!B124,-Pairs!A124)</f>
        <v>-8.8817841970012523E-16</v>
      </c>
    </row>
    <row r="125" spans="1:1" x14ac:dyDescent="0.35">
      <c r="A125">
        <f>1*SUM(Pairs!B125,-Pairs!A125)</f>
        <v>1.3877787807814457E-15</v>
      </c>
    </row>
    <row r="126" spans="1:1" x14ac:dyDescent="0.35">
      <c r="A126">
        <f>1*SUM(Pairs!B126,-Pairs!A126)</f>
        <v>-1.3877787807814457E-15</v>
      </c>
    </row>
    <row r="127" spans="1:1" x14ac:dyDescent="0.35">
      <c r="A127">
        <f>1*SUM(Pairs!B127,-Pairs!A127)</f>
        <v>1.7763568394002505E-15</v>
      </c>
    </row>
    <row r="128" spans="1:1" x14ac:dyDescent="0.35">
      <c r="A128">
        <f>1*SUM(Pairs!B128,-Pairs!A128)</f>
        <v>-1.7763568394002505E-15</v>
      </c>
    </row>
    <row r="129" spans="1:1" x14ac:dyDescent="0.35">
      <c r="A129">
        <f>1*SUM(Pairs!B129,-Pairs!A129)</f>
        <v>3.5527136788005009E-15</v>
      </c>
    </row>
    <row r="130" spans="1:1" x14ac:dyDescent="0.35">
      <c r="A130">
        <f>1*SUM(Pairs!B130,-Pairs!A130)</f>
        <v>-3.5527136788005009E-15</v>
      </c>
    </row>
    <row r="131" spans="1:1" x14ac:dyDescent="0.35">
      <c r="A131">
        <f>1*SUM(Pairs!B131,-Pairs!A131)</f>
        <v>7.1054273576010019E-15</v>
      </c>
    </row>
    <row r="132" spans="1:1" x14ac:dyDescent="0.35">
      <c r="A132">
        <f>1*SUM(Pairs!B132,-Pairs!A132)</f>
        <v>-7.1054273576010019E-15</v>
      </c>
    </row>
    <row r="133" spans="1:1" x14ac:dyDescent="0.35">
      <c r="A133">
        <f>1*SUM(Pairs!B133,-Pairs!A133)</f>
        <v>1.4210854715202004E-14</v>
      </c>
    </row>
    <row r="134" spans="1:1" x14ac:dyDescent="0.35">
      <c r="A134">
        <f>1*SUM(Pairs!B134,-Pairs!A134)</f>
        <v>-1.4210854715202004E-14</v>
      </c>
    </row>
    <row r="135" spans="1:1" x14ac:dyDescent="0.35">
      <c r="A135">
        <f>1*SUM(Pairs!B135,-Pairs!A135)</f>
        <v>2.8421709430404007E-14</v>
      </c>
    </row>
    <row r="136" spans="1:1" x14ac:dyDescent="0.35">
      <c r="A136">
        <f>1*SUM(Pairs!B136,-Pairs!A136)</f>
        <v>-2.8421709430404007E-14</v>
      </c>
    </row>
    <row r="137" spans="1:1" x14ac:dyDescent="0.35">
      <c r="A137">
        <f>1*SUM(Pairs!B137,-Pairs!A137)</f>
        <v>5.6843418860808015E-14</v>
      </c>
    </row>
    <row r="138" spans="1:1" x14ac:dyDescent="0.35">
      <c r="A138">
        <f>1*SUM(Pairs!B138,-Pairs!A138)</f>
        <v>-5.6843418860808015E-14</v>
      </c>
    </row>
    <row r="139" spans="1:1" x14ac:dyDescent="0.35">
      <c r="A139">
        <f>1*SUM(Pairs!B139,-Pairs!A139)</f>
        <v>0</v>
      </c>
    </row>
    <row r="140" spans="1:1" x14ac:dyDescent="0.35">
      <c r="A140">
        <f>1*SUM(Pairs!B140,-Pairs!A140)</f>
        <v>0</v>
      </c>
    </row>
    <row r="141" spans="1:1" x14ac:dyDescent="0.35">
      <c r="A141">
        <f>1*SUM(Pairs!B141,-Pairs!A141)</f>
        <v>0</v>
      </c>
    </row>
    <row r="142" spans="1:1" x14ac:dyDescent="0.35">
      <c r="A142">
        <f>1*SUM(Pairs!B142,-Pairs!A142)</f>
        <v>0</v>
      </c>
    </row>
    <row r="143" spans="1:1" x14ac:dyDescent="0.35">
      <c r="A143">
        <f>1*SUM(Pairs!B143,-Pairs!A143)</f>
        <v>0</v>
      </c>
    </row>
    <row r="144" spans="1:1" x14ac:dyDescent="0.35">
      <c r="A144">
        <f>1*SUM(Pairs!B144,-Pairs!A144)</f>
        <v>0</v>
      </c>
    </row>
    <row r="145" spans="1:1" x14ac:dyDescent="0.35">
      <c r="A145">
        <f>1*SUM(Pairs!B145,-Pairs!A145)</f>
        <v>0</v>
      </c>
    </row>
    <row r="146" spans="1:1" x14ac:dyDescent="0.35">
      <c r="A146">
        <f>1*SUM(Pairs!B146,-Pairs!A146)</f>
        <v>0</v>
      </c>
    </row>
    <row r="147" spans="1:1" x14ac:dyDescent="0.35">
      <c r="A147">
        <f>1*SUM(Pairs!B147,-Pairs!A147)</f>
        <v>0</v>
      </c>
    </row>
    <row r="148" spans="1:1" x14ac:dyDescent="0.35">
      <c r="A148">
        <f>1*SUM(Pairs!B148,-Pairs!A148)</f>
        <v>0</v>
      </c>
    </row>
    <row r="149" spans="1:1" x14ac:dyDescent="0.35">
      <c r="A149">
        <f>1*SUM(Pairs!B149,-Pairs!A149)</f>
        <v>0</v>
      </c>
    </row>
    <row r="150" spans="1:1" x14ac:dyDescent="0.35">
      <c r="A150">
        <f>1*SUM(Pairs!B150,-Pairs!A150)</f>
        <v>0</v>
      </c>
    </row>
    <row r="151" spans="1:1" x14ac:dyDescent="0.35">
      <c r="A151">
        <f>1*SUM(Pairs!B151,-Pairs!A151)</f>
        <v>0</v>
      </c>
    </row>
    <row r="152" spans="1:1" x14ac:dyDescent="0.35">
      <c r="A152">
        <f>1*SUM(Pairs!B152,-Pairs!A152)</f>
        <v>0</v>
      </c>
    </row>
    <row r="153" spans="1:1" x14ac:dyDescent="0.35">
      <c r="A153">
        <f>1*SUM(Pairs!B153,-Pairs!A153)</f>
        <v>1.1368683772161603E-13</v>
      </c>
    </row>
    <row r="154" spans="1:1" x14ac:dyDescent="0.35">
      <c r="A154">
        <f>1*SUM(Pairs!B154,-Pairs!A154)</f>
        <v>-1.1368683772161603E-13</v>
      </c>
    </row>
    <row r="155" spans="1:1" x14ac:dyDescent="0.35">
      <c r="A155">
        <f>1*SUM(Pairs!B155,-Pairs!A155)</f>
        <v>1.4210854715202004E-13</v>
      </c>
    </row>
    <row r="156" spans="1:1" x14ac:dyDescent="0.35">
      <c r="A156">
        <f>1*SUM(Pairs!B156,-Pairs!A156)</f>
        <v>-1.4210854715202004E-13</v>
      </c>
    </row>
    <row r="157" spans="1:1" x14ac:dyDescent="0.35">
      <c r="A157">
        <f>1*SUM(Pairs!B157,-Pairs!A157)</f>
        <v>1.7053025658242404E-13</v>
      </c>
    </row>
    <row r="158" spans="1:1" x14ac:dyDescent="0.35">
      <c r="A158">
        <f>1*SUM(Pairs!B158,-Pairs!A158)</f>
        <v>-1.7053025658242404E-13</v>
      </c>
    </row>
    <row r="159" spans="1:1" x14ac:dyDescent="0.35">
      <c r="A159">
        <f>1*SUM(Pairs!B159,-Pairs!A159)</f>
        <v>2.2737367544323206E-13</v>
      </c>
    </row>
    <row r="160" spans="1:1" x14ac:dyDescent="0.35">
      <c r="A160">
        <f>1*SUM(Pairs!B160,-Pairs!A160)</f>
        <v>-2.2737367544323206E-13</v>
      </c>
    </row>
    <row r="161" spans="1:1" x14ac:dyDescent="0.35">
      <c r="A161">
        <f>1*SUM(Pairs!B161,-Pairs!A161)</f>
        <v>2.8421709430404007E-13</v>
      </c>
    </row>
    <row r="162" spans="1:1" x14ac:dyDescent="0.35">
      <c r="A162">
        <f>1*SUM(Pairs!B162,-Pairs!A162)</f>
        <v>-2.8421709430404007E-13</v>
      </c>
    </row>
    <row r="163" spans="1:1" x14ac:dyDescent="0.35">
      <c r="A163">
        <f>1*SUM(Pairs!B163,-Pairs!A163)</f>
        <v>3.4106051316484809E-13</v>
      </c>
    </row>
    <row r="164" spans="1:1" x14ac:dyDescent="0.35">
      <c r="A164">
        <f>1*SUM(Pairs!B164,-Pairs!A164)</f>
        <v>-3.4106051316484809E-13</v>
      </c>
    </row>
    <row r="165" spans="1:1" x14ac:dyDescent="0.35">
      <c r="A165">
        <f>1*SUM(Pairs!B165,-Pairs!A165)</f>
        <v>4.5474735088646412E-13</v>
      </c>
    </row>
    <row r="166" spans="1:1" x14ac:dyDescent="0.35">
      <c r="A166">
        <f>1*SUM(Pairs!B166,-Pairs!A166)</f>
        <v>-4.5474735088646412E-13</v>
      </c>
    </row>
    <row r="167" spans="1:1" x14ac:dyDescent="0.35">
      <c r="A167">
        <f>1*SUM(Pairs!B167,-Pairs!A167)</f>
        <v>6.8212102632969618E-13</v>
      </c>
    </row>
    <row r="168" spans="1:1" x14ac:dyDescent="0.35">
      <c r="A168">
        <f>1*SUM(Pairs!B168,-Pairs!A168)</f>
        <v>-6.8212102632969618E-13</v>
      </c>
    </row>
    <row r="169" spans="1:1" x14ac:dyDescent="0.35">
      <c r="A169">
        <f>1*SUM(Pairs!B169,-Pairs!A169)</f>
        <v>9.0949470177292824E-13</v>
      </c>
    </row>
    <row r="170" spans="1:1" x14ac:dyDescent="0.35">
      <c r="A170">
        <f>1*SUM(Pairs!B170,-Pairs!A170)</f>
        <v>-9.0949470177292824E-13</v>
      </c>
    </row>
    <row r="171" spans="1:1" x14ac:dyDescent="0.35">
      <c r="A171">
        <f>1*SUM(Pairs!B171,-Pairs!A171)</f>
        <v>1.4210854715202004E-12</v>
      </c>
    </row>
    <row r="172" spans="1:1" x14ac:dyDescent="0.35">
      <c r="A172">
        <f>1*SUM(Pairs!B172,-Pairs!A172)</f>
        <v>-1.4210854715202004E-12</v>
      </c>
    </row>
    <row r="173" spans="1:1" x14ac:dyDescent="0.35">
      <c r="A173">
        <f>1*SUM(Pairs!B173,-Pairs!A173)</f>
        <v>1.8189894035458565E-12</v>
      </c>
    </row>
    <row r="174" spans="1:1" x14ac:dyDescent="0.35">
      <c r="A174">
        <f>1*SUM(Pairs!B174,-Pairs!A174)</f>
        <v>-1.8189894035458565E-12</v>
      </c>
    </row>
    <row r="175" spans="1:1" x14ac:dyDescent="0.35">
      <c r="A175">
        <f>1*SUM(Pairs!B175,-Pairs!A175)</f>
        <v>3.637978807091713E-12</v>
      </c>
    </row>
    <row r="176" spans="1:1" x14ac:dyDescent="0.35">
      <c r="A176">
        <f>1*SUM(Pairs!B176,-Pairs!A176)</f>
        <v>-3.637978807091713E-12</v>
      </c>
    </row>
    <row r="177" spans="1:1" x14ac:dyDescent="0.35">
      <c r="A177">
        <f>1*SUM(Pairs!B177,-Pairs!A177)</f>
        <v>7.2759576141834259E-12</v>
      </c>
    </row>
    <row r="178" spans="1:1" x14ac:dyDescent="0.35">
      <c r="A178">
        <f>1*SUM(Pairs!B178,-Pairs!A178)</f>
        <v>-7.2759576141834259E-12</v>
      </c>
    </row>
    <row r="179" spans="1:1" x14ac:dyDescent="0.35">
      <c r="A179">
        <f>1*SUM(Pairs!B179,-Pairs!A179)</f>
        <v>1.4551915228366852E-11</v>
      </c>
    </row>
    <row r="180" spans="1:1" x14ac:dyDescent="0.35">
      <c r="A180">
        <f>1*SUM(Pairs!B180,-Pairs!A180)</f>
        <v>-1.4551915228366852E-11</v>
      </c>
    </row>
    <row r="181" spans="1:1" x14ac:dyDescent="0.35">
      <c r="A181">
        <f>1*SUM(Pairs!B181,-Pairs!A181)</f>
        <v>2.9103830456733704E-11</v>
      </c>
    </row>
    <row r="182" spans="1:1" x14ac:dyDescent="0.35">
      <c r="A182">
        <f>1*SUM(Pairs!B182,-Pairs!A182)</f>
        <v>-2.9103830456733704E-11</v>
      </c>
    </row>
    <row r="183" spans="1:1" x14ac:dyDescent="0.35">
      <c r="A183">
        <f>1*SUM(Pairs!B183,-Pairs!A183)</f>
        <v>5.8207660913467407E-11</v>
      </c>
    </row>
    <row r="184" spans="1:1" x14ac:dyDescent="0.35">
      <c r="A184">
        <f>1*SUM(Pairs!B184,-Pairs!A184)</f>
        <v>-5.8207660913467407E-11</v>
      </c>
    </row>
    <row r="185" spans="1:1" x14ac:dyDescent="0.35">
      <c r="A185">
        <f>1*SUM(Pairs!B185,-Pairs!A185)</f>
        <v>0</v>
      </c>
    </row>
    <row r="186" spans="1:1" x14ac:dyDescent="0.35">
      <c r="A186">
        <f>1*SUM(Pairs!B186,-Pairs!A186)</f>
        <v>0</v>
      </c>
    </row>
    <row r="187" spans="1:1" x14ac:dyDescent="0.35">
      <c r="A187">
        <f>1*SUM(Pairs!B187,-Pairs!A187)</f>
        <v>0</v>
      </c>
    </row>
    <row r="188" spans="1:1" x14ac:dyDescent="0.35">
      <c r="A188">
        <f>1*SUM(Pairs!B188,-Pairs!A188)</f>
        <v>0</v>
      </c>
    </row>
    <row r="189" spans="1:1" x14ac:dyDescent="0.35">
      <c r="A189">
        <f>1*SUM(Pairs!B189,-Pairs!A189)</f>
        <v>0</v>
      </c>
    </row>
    <row r="190" spans="1:1" x14ac:dyDescent="0.35">
      <c r="A190">
        <f>1*SUM(Pairs!B190,-Pairs!A190)</f>
        <v>0</v>
      </c>
    </row>
    <row r="191" spans="1:1" x14ac:dyDescent="0.35">
      <c r="A191">
        <f>1*SUM(Pairs!B191,-Pairs!A191)</f>
        <v>0</v>
      </c>
    </row>
    <row r="192" spans="1:1" x14ac:dyDescent="0.35">
      <c r="A192">
        <f>1*SUM(Pairs!B192,-Pairs!A192)</f>
        <v>0</v>
      </c>
    </row>
    <row r="193" spans="1:1" x14ac:dyDescent="0.35">
      <c r="A193">
        <f>1*SUM(Pairs!B193,-Pairs!A193)</f>
        <v>0</v>
      </c>
    </row>
    <row r="194" spans="1:1" x14ac:dyDescent="0.35">
      <c r="A194">
        <f>1*SUM(Pairs!B194,-Pairs!A194)</f>
        <v>0</v>
      </c>
    </row>
    <row r="195" spans="1:1" x14ac:dyDescent="0.35">
      <c r="A195">
        <f>1*SUM(Pairs!B195,-Pairs!A195)</f>
        <v>0</v>
      </c>
    </row>
    <row r="196" spans="1:1" x14ac:dyDescent="0.35">
      <c r="A196">
        <f>1*SUM(Pairs!B196,-Pairs!A196)</f>
        <v>0</v>
      </c>
    </row>
    <row r="197" spans="1:1" x14ac:dyDescent="0.35">
      <c r="A197">
        <f>1*SUM(Pairs!B197,-Pairs!A197)</f>
        <v>0</v>
      </c>
    </row>
    <row r="198" spans="1:1" x14ac:dyDescent="0.35">
      <c r="A198">
        <f>1*SUM(Pairs!B198,-Pairs!A198)</f>
        <v>0</v>
      </c>
    </row>
    <row r="199" spans="1:1" x14ac:dyDescent="0.35">
      <c r="A199">
        <f>1*SUM(Pairs!B199,-Pairs!A199)</f>
        <v>1.52587890625E-5</v>
      </c>
    </row>
    <row r="200" spans="1:1" x14ac:dyDescent="0.35">
      <c r="A200">
        <f>1*SUM(Pairs!B200,-Pairs!A200)</f>
        <v>-1.52587890625E-5</v>
      </c>
    </row>
    <row r="201" spans="1:1" x14ac:dyDescent="0.35">
      <c r="A201">
        <f>1*SUM(Pairs!B201,-Pairs!A201)</f>
        <v>1.9073486328125E-5</v>
      </c>
    </row>
    <row r="202" spans="1:1" x14ac:dyDescent="0.35">
      <c r="A202">
        <f>1*SUM(Pairs!B202,-Pairs!A202)</f>
        <v>-1.9073486328125E-5</v>
      </c>
    </row>
    <row r="203" spans="1:1" x14ac:dyDescent="0.35">
      <c r="A203">
        <f>1*SUM(Pairs!B203,-Pairs!A203)</f>
        <v>2.288818359375E-5</v>
      </c>
    </row>
    <row r="204" spans="1:1" x14ac:dyDescent="0.35">
      <c r="A204">
        <f>1*SUM(Pairs!B204,-Pairs!A204)</f>
        <v>-2.288818359375E-5</v>
      </c>
    </row>
    <row r="205" spans="1:1" x14ac:dyDescent="0.35">
      <c r="A205">
        <f>1*SUM(Pairs!B205,-Pairs!A205)</f>
        <v>3.0517578125E-5</v>
      </c>
    </row>
    <row r="206" spans="1:1" x14ac:dyDescent="0.35">
      <c r="A206">
        <f>1*SUM(Pairs!B206,-Pairs!A206)</f>
        <v>-3.0517578125E-5</v>
      </c>
    </row>
    <row r="207" spans="1:1" x14ac:dyDescent="0.35">
      <c r="A207">
        <f>1*SUM(Pairs!B207,-Pairs!A207)</f>
        <v>3.814697265625E-5</v>
      </c>
    </row>
    <row r="208" spans="1:1" x14ac:dyDescent="0.35">
      <c r="A208">
        <f>1*SUM(Pairs!B208,-Pairs!A208)</f>
        <v>-3.814697265625E-5</v>
      </c>
    </row>
    <row r="209" spans="1:1" x14ac:dyDescent="0.35">
      <c r="A209">
        <f>1*SUM(Pairs!B209,-Pairs!A209)</f>
        <v>4.57763671875E-5</v>
      </c>
    </row>
    <row r="210" spans="1:1" x14ac:dyDescent="0.35">
      <c r="A210">
        <f>1*SUM(Pairs!B210,-Pairs!A210)</f>
        <v>-4.57763671875E-5</v>
      </c>
    </row>
    <row r="211" spans="1:1" x14ac:dyDescent="0.35">
      <c r="A211">
        <f>1*SUM(Pairs!B211,-Pairs!A211)</f>
        <v>6.103515625E-5</v>
      </c>
    </row>
    <row r="212" spans="1:1" x14ac:dyDescent="0.35">
      <c r="A212">
        <f>1*SUM(Pairs!B212,-Pairs!A212)</f>
        <v>-6.103515625E-5</v>
      </c>
    </row>
    <row r="213" spans="1:1" x14ac:dyDescent="0.35">
      <c r="A213">
        <f>1*SUM(Pairs!B213,-Pairs!A213)</f>
        <v>9.1552734375E-5</v>
      </c>
    </row>
    <row r="214" spans="1:1" x14ac:dyDescent="0.35">
      <c r="A214">
        <f>1*SUM(Pairs!B214,-Pairs!A214)</f>
        <v>-9.1552734375E-5</v>
      </c>
    </row>
    <row r="215" spans="1:1" x14ac:dyDescent="0.35">
      <c r="A215">
        <f>1*SUM(Pairs!B215,-Pairs!A215)</f>
        <v>1.220703125E-4</v>
      </c>
    </row>
    <row r="216" spans="1:1" x14ac:dyDescent="0.35">
      <c r="A216">
        <f>1*SUM(Pairs!B216,-Pairs!A216)</f>
        <v>-1.220703125E-4</v>
      </c>
    </row>
    <row r="217" spans="1:1" x14ac:dyDescent="0.35">
      <c r="A217">
        <f>1*SUM(Pairs!B217,-Pairs!A217)</f>
        <v>1.9073486328125E-4</v>
      </c>
    </row>
    <row r="218" spans="1:1" x14ac:dyDescent="0.35">
      <c r="A218">
        <f>1*SUM(Pairs!B218,-Pairs!A218)</f>
        <v>-1.9073486328125E-4</v>
      </c>
    </row>
    <row r="219" spans="1:1" x14ac:dyDescent="0.35">
      <c r="A219">
        <f>1*SUM(Pairs!B219,-Pairs!A219)</f>
        <v>2.44140625E-4</v>
      </c>
    </row>
    <row r="220" spans="1:1" x14ac:dyDescent="0.35">
      <c r="A220">
        <f>1*SUM(Pairs!B220,-Pairs!A220)</f>
        <v>-2.44140625E-4</v>
      </c>
    </row>
    <row r="221" spans="1:1" x14ac:dyDescent="0.35">
      <c r="A221">
        <f>1*SUM(Pairs!B221,-Pairs!A221)</f>
        <v>4.8828125E-4</v>
      </c>
    </row>
    <row r="222" spans="1:1" x14ac:dyDescent="0.35">
      <c r="A222">
        <f>1*SUM(Pairs!B222,-Pairs!A222)</f>
        <v>-4.8828125E-4</v>
      </c>
    </row>
    <row r="223" spans="1:1" x14ac:dyDescent="0.35">
      <c r="A223">
        <f>1*SUM(Pairs!B223,-Pairs!A223)</f>
        <v>9.765625E-4</v>
      </c>
    </row>
    <row r="224" spans="1:1" x14ac:dyDescent="0.35">
      <c r="A224">
        <f>1*SUM(Pairs!B224,-Pairs!A224)</f>
        <v>-9.765625E-4</v>
      </c>
    </row>
    <row r="225" spans="1:1" x14ac:dyDescent="0.35">
      <c r="A225">
        <f>1*SUM(Pairs!B225,-Pairs!A225)</f>
        <v>1.953125E-3</v>
      </c>
    </row>
    <row r="226" spans="1:1" x14ac:dyDescent="0.35">
      <c r="A226">
        <f>1*SUM(Pairs!B226,-Pairs!A226)</f>
        <v>-1.953125E-3</v>
      </c>
    </row>
    <row r="227" spans="1:1" x14ac:dyDescent="0.35">
      <c r="A227">
        <f>1*SUM(Pairs!B227,-Pairs!A227)</f>
        <v>3.90625E-3</v>
      </c>
    </row>
    <row r="228" spans="1:1" x14ac:dyDescent="0.35">
      <c r="A228">
        <f>1*SUM(Pairs!B228,-Pairs!A228)</f>
        <v>-3.90625E-3</v>
      </c>
    </row>
    <row r="229" spans="1:1" x14ac:dyDescent="0.35">
      <c r="A229">
        <f>1*SUM(Pairs!B229,-Pairs!A229)</f>
        <v>7.8125E-3</v>
      </c>
    </row>
    <row r="230" spans="1:1" x14ac:dyDescent="0.35">
      <c r="A230">
        <f>1*SUM(Pairs!B230,-Pairs!A230)</f>
        <v>-7.8125E-3</v>
      </c>
    </row>
    <row r="231" spans="1:1" x14ac:dyDescent="0.35">
      <c r="A231">
        <f>1*SUM(Pairs!B231,-Pairs!A231)</f>
        <v>0</v>
      </c>
    </row>
    <row r="232" spans="1:1" x14ac:dyDescent="0.35">
      <c r="A232">
        <f>1*SUM(Pairs!B232,-Pairs!A232)</f>
        <v>0</v>
      </c>
    </row>
    <row r="233" spans="1:1" x14ac:dyDescent="0.35">
      <c r="A233">
        <f>1*SUM(Pairs!B233,-Pairs!A233)</f>
        <v>0</v>
      </c>
    </row>
    <row r="234" spans="1:1" x14ac:dyDescent="0.35">
      <c r="A234">
        <f>1*SUM(Pairs!B234,-Pairs!A234)</f>
        <v>0</v>
      </c>
    </row>
    <row r="235" spans="1:1" x14ac:dyDescent="0.35">
      <c r="A235">
        <f>1*SUM(Pairs!B235,-Pairs!A235)</f>
        <v>0</v>
      </c>
    </row>
    <row r="236" spans="1:1" x14ac:dyDescent="0.35">
      <c r="A236">
        <f>1*SUM(Pairs!B236,-Pairs!A236)</f>
        <v>0</v>
      </c>
    </row>
    <row r="237" spans="1:1" x14ac:dyDescent="0.35">
      <c r="A237">
        <f>1*SUM(Pairs!B237,-Pairs!A237)</f>
        <v>0</v>
      </c>
    </row>
    <row r="238" spans="1:1" x14ac:dyDescent="0.35">
      <c r="A238">
        <f>1*SUM(Pairs!B238,-Pairs!A238)</f>
        <v>0</v>
      </c>
    </row>
    <row r="239" spans="1:1" x14ac:dyDescent="0.35">
      <c r="A239">
        <f>1*SUM(Pairs!B239,-Pairs!A239)</f>
        <v>0</v>
      </c>
    </row>
    <row r="240" spans="1:1" x14ac:dyDescent="0.35">
      <c r="A240">
        <f>1*SUM(Pairs!B240,-Pairs!A240)</f>
        <v>0</v>
      </c>
    </row>
    <row r="241" spans="1:1" x14ac:dyDescent="0.35">
      <c r="A241">
        <f>1*SUM(Pairs!B241,-Pairs!A241)</f>
        <v>0</v>
      </c>
    </row>
    <row r="242" spans="1:1" x14ac:dyDescent="0.35">
      <c r="A242">
        <f>1*SUM(Pairs!B242,-Pairs!A242)</f>
        <v>0</v>
      </c>
    </row>
    <row r="243" spans="1:1" x14ac:dyDescent="0.35">
      <c r="A243">
        <f>1*SUM(Pairs!B243,-Pairs!A243)</f>
        <v>0</v>
      </c>
    </row>
    <row r="244" spans="1:1" x14ac:dyDescent="0.35">
      <c r="A244">
        <f>1*SUM(Pairs!B244,-Pairs!A244)</f>
        <v>0</v>
      </c>
    </row>
    <row r="245" spans="1:1" x14ac:dyDescent="0.35">
      <c r="A245">
        <f>1*SUM(Pairs!B245,-Pairs!A245)</f>
        <v>1.0339757656912846E-25</v>
      </c>
    </row>
    <row r="246" spans="1:1" x14ac:dyDescent="0.35">
      <c r="A246">
        <f>1*SUM(Pairs!B246,-Pairs!A246)</f>
        <v>-1.0339757656912846E-25</v>
      </c>
    </row>
    <row r="247" spans="1:1" x14ac:dyDescent="0.35">
      <c r="A247">
        <f>1*SUM(Pairs!B247,-Pairs!A247)</f>
        <v>1.2924697071141057E-25</v>
      </c>
    </row>
    <row r="248" spans="1:1" x14ac:dyDescent="0.35">
      <c r="A248">
        <f>1*SUM(Pairs!B248,-Pairs!A248)</f>
        <v>-1.2924697071141057E-25</v>
      </c>
    </row>
    <row r="249" spans="1:1" x14ac:dyDescent="0.35">
      <c r="A249">
        <f>1*SUM(Pairs!B249,-Pairs!A249)</f>
        <v>1.5509636485369269E-25</v>
      </c>
    </row>
    <row r="250" spans="1:1" x14ac:dyDescent="0.35">
      <c r="A250">
        <f>1*SUM(Pairs!B250,-Pairs!A250)</f>
        <v>-1.5509636485369269E-25</v>
      </c>
    </row>
    <row r="251" spans="1:1" x14ac:dyDescent="0.35">
      <c r="A251">
        <f>1*SUM(Pairs!B251,-Pairs!A251)</f>
        <v>2.0679515313825692E-25</v>
      </c>
    </row>
    <row r="252" spans="1:1" x14ac:dyDescent="0.35">
      <c r="A252">
        <f>1*SUM(Pairs!B252,-Pairs!A252)</f>
        <v>-2.0679515313825692E-25</v>
      </c>
    </row>
    <row r="253" spans="1:1" x14ac:dyDescent="0.35">
      <c r="A253">
        <f>1*SUM(Pairs!B253,-Pairs!A253)</f>
        <v>2.5849394142282115E-25</v>
      </c>
    </row>
    <row r="254" spans="1:1" x14ac:dyDescent="0.35">
      <c r="A254">
        <f>1*SUM(Pairs!B254,-Pairs!A254)</f>
        <v>-2.5849394142282115E-25</v>
      </c>
    </row>
    <row r="255" spans="1:1" x14ac:dyDescent="0.35">
      <c r="A255">
        <f>1*SUM(Pairs!B255,-Pairs!A255)</f>
        <v>3.1019272970738538E-25</v>
      </c>
    </row>
    <row r="256" spans="1:1" x14ac:dyDescent="0.35">
      <c r="A256">
        <f>1*SUM(Pairs!B256,-Pairs!A256)</f>
        <v>-3.1019272970738538E-25</v>
      </c>
    </row>
    <row r="257" spans="1:1" x14ac:dyDescent="0.35">
      <c r="A257">
        <f>1*SUM(Pairs!B257,-Pairs!A257)</f>
        <v>4.1359030627651384E-25</v>
      </c>
    </row>
    <row r="258" spans="1:1" x14ac:dyDescent="0.35">
      <c r="A258">
        <f>1*SUM(Pairs!B258,-Pairs!A258)</f>
        <v>-4.1359030627651384E-25</v>
      </c>
    </row>
    <row r="259" spans="1:1" x14ac:dyDescent="0.35">
      <c r="A259">
        <f>1*SUM(Pairs!B259,-Pairs!A259)</f>
        <v>6.2038545941477076E-25</v>
      </c>
    </row>
    <row r="260" spans="1:1" x14ac:dyDescent="0.35">
      <c r="A260">
        <f>1*SUM(Pairs!B260,-Pairs!A260)</f>
        <v>-6.2038545941477076E-25</v>
      </c>
    </row>
    <row r="261" spans="1:1" x14ac:dyDescent="0.35">
      <c r="A261">
        <f>1*SUM(Pairs!B261,-Pairs!A261)</f>
        <v>8.2718061255302767E-25</v>
      </c>
    </row>
    <row r="262" spans="1:1" x14ac:dyDescent="0.35">
      <c r="A262">
        <f>1*SUM(Pairs!B262,-Pairs!A262)</f>
        <v>-8.2718061255302767E-25</v>
      </c>
    </row>
    <row r="263" spans="1:1" x14ac:dyDescent="0.35">
      <c r="A263">
        <f>1*SUM(Pairs!B263,-Pairs!A263)</f>
        <v>1.2924697071141057E-24</v>
      </c>
    </row>
    <row r="264" spans="1:1" x14ac:dyDescent="0.35">
      <c r="A264">
        <f>1*SUM(Pairs!B264,-Pairs!A264)</f>
        <v>-1.2924697071141057E-24</v>
      </c>
    </row>
    <row r="265" spans="1:1" x14ac:dyDescent="0.35">
      <c r="A265">
        <f>1*SUM(Pairs!B265,-Pairs!A265)</f>
        <v>1.6543612251060553E-24</v>
      </c>
    </row>
    <row r="266" spans="1:1" x14ac:dyDescent="0.35">
      <c r="A266">
        <f>1*SUM(Pairs!B266,-Pairs!A266)</f>
        <v>-1.6543612251060553E-24</v>
      </c>
    </row>
    <row r="267" spans="1:1" x14ac:dyDescent="0.35">
      <c r="A267">
        <f>1*SUM(Pairs!B267,-Pairs!A267)</f>
        <v>3.3087224502121107E-24</v>
      </c>
    </row>
    <row r="268" spans="1:1" x14ac:dyDescent="0.35">
      <c r="A268">
        <f>1*SUM(Pairs!B268,-Pairs!A268)</f>
        <v>-3.3087224502121107E-24</v>
      </c>
    </row>
    <row r="269" spans="1:1" x14ac:dyDescent="0.35">
      <c r="A269">
        <f>1*SUM(Pairs!B269,-Pairs!A269)</f>
        <v>6.6174449004242214E-24</v>
      </c>
    </row>
    <row r="270" spans="1:1" x14ac:dyDescent="0.35">
      <c r="A270">
        <f>1*SUM(Pairs!B270,-Pairs!A270)</f>
        <v>-6.6174449004242214E-24</v>
      </c>
    </row>
    <row r="271" spans="1:1" x14ac:dyDescent="0.35">
      <c r="A271">
        <f>1*SUM(Pairs!B271,-Pairs!A271)</f>
        <v>1.3234889800848443E-23</v>
      </c>
    </row>
    <row r="272" spans="1:1" x14ac:dyDescent="0.35">
      <c r="A272">
        <f>1*SUM(Pairs!B272,-Pairs!A272)</f>
        <v>-1.3234889800848443E-23</v>
      </c>
    </row>
    <row r="273" spans="1:1" x14ac:dyDescent="0.35">
      <c r="A273">
        <f>1*SUM(Pairs!B273,-Pairs!A273)</f>
        <v>2.6469779601696886E-23</v>
      </c>
    </row>
    <row r="274" spans="1:1" x14ac:dyDescent="0.35">
      <c r="A274">
        <f>1*SUM(Pairs!B274,-Pairs!A274)</f>
        <v>-2.6469779601696886E-23</v>
      </c>
    </row>
    <row r="275" spans="1:1" x14ac:dyDescent="0.35">
      <c r="A275">
        <f>1*SUM(Pairs!B275,-Pairs!A275)</f>
        <v>5.2939559203393771E-23</v>
      </c>
    </row>
    <row r="276" spans="1:1" x14ac:dyDescent="0.35">
      <c r="A276">
        <f>1*SUM(Pairs!B276,-Pairs!A276)</f>
        <v>-5.2939559203393771E-23</v>
      </c>
    </row>
    <row r="277" spans="1:1" x14ac:dyDescent="0.35">
      <c r="A277">
        <f>1*SUM(Pairs!B277,-Pairs!A277)</f>
        <v>0</v>
      </c>
    </row>
    <row r="278" spans="1:1" x14ac:dyDescent="0.35">
      <c r="A278">
        <f>1*SUM(Pairs!B278,-Pairs!A278)</f>
        <v>0</v>
      </c>
    </row>
    <row r="279" spans="1:1" x14ac:dyDescent="0.35">
      <c r="A279">
        <f>1*SUM(Pairs!B279,-Pairs!A279)</f>
        <v>0</v>
      </c>
    </row>
    <row r="280" spans="1:1" x14ac:dyDescent="0.35">
      <c r="A280">
        <f>1*SUM(Pairs!B280,-Pairs!A280)</f>
        <v>0</v>
      </c>
    </row>
    <row r="281" spans="1:1" x14ac:dyDescent="0.35">
      <c r="A281">
        <f>1*SUM(Pairs!B281,-Pairs!A281)</f>
        <v>0</v>
      </c>
    </row>
    <row r="282" spans="1:1" x14ac:dyDescent="0.35">
      <c r="A282">
        <f>1*SUM(Pairs!B282,-Pairs!A282)</f>
        <v>0</v>
      </c>
    </row>
    <row r="283" spans="1:1" x14ac:dyDescent="0.35">
      <c r="A283">
        <f>1*SUM(Pairs!B283,-Pairs!A283)</f>
        <v>0</v>
      </c>
    </row>
    <row r="284" spans="1:1" x14ac:dyDescent="0.35">
      <c r="A284">
        <f>1*SUM(Pairs!B284,-Pairs!A284)</f>
        <v>0</v>
      </c>
    </row>
    <row r="285" spans="1:1" x14ac:dyDescent="0.35">
      <c r="A285">
        <f>1*SUM(Pairs!B285,-Pairs!A285)</f>
        <v>0</v>
      </c>
    </row>
    <row r="286" spans="1:1" x14ac:dyDescent="0.35">
      <c r="A286">
        <f>1*SUM(Pairs!B286,-Pairs!A286)</f>
        <v>0</v>
      </c>
    </row>
    <row r="287" spans="1:1" x14ac:dyDescent="0.35">
      <c r="A287">
        <f>1*SUM(Pairs!B287,-Pairs!A287)</f>
        <v>0</v>
      </c>
    </row>
    <row r="288" spans="1:1" x14ac:dyDescent="0.35">
      <c r="A288">
        <f>1*SUM(Pairs!B288,-Pairs!A288)</f>
        <v>0</v>
      </c>
    </row>
    <row r="289" spans="1:1" x14ac:dyDescent="0.35">
      <c r="A289">
        <f>1*SUM(Pairs!B289,-Pairs!A289)</f>
        <v>0</v>
      </c>
    </row>
    <row r="290" spans="1:1" x14ac:dyDescent="0.35">
      <c r="A290">
        <f>1*SUM(Pairs!B290,-Pairs!A290)</f>
        <v>0</v>
      </c>
    </row>
    <row r="291" spans="1:1" x14ac:dyDescent="0.35">
      <c r="A291">
        <f>1*SUM(Pairs!B291,-Pairs!A291)</f>
        <v>1.1896135267822265E+285</v>
      </c>
    </row>
    <row r="292" spans="1:1" x14ac:dyDescent="0.35">
      <c r="A292">
        <f>1*SUM(Pairs!B292,-Pairs!A292)</f>
        <v>-1.1896135267822265E+285</v>
      </c>
    </row>
    <row r="293" spans="1:1" x14ac:dyDescent="0.35">
      <c r="A293">
        <f>1*SUM(Pairs!B293,-Pairs!A293)</f>
        <v>1.4870169084777831E+285</v>
      </c>
    </row>
    <row r="294" spans="1:1" x14ac:dyDescent="0.35">
      <c r="A294">
        <f>1*SUM(Pairs!B294,-Pairs!A294)</f>
        <v>-1.4870169084777831E+285</v>
      </c>
    </row>
    <row r="295" spans="1:1" x14ac:dyDescent="0.35">
      <c r="A295">
        <f>1*SUM(Pairs!B295,-Pairs!A295)</f>
        <v>1.7844202901733397E+285</v>
      </c>
    </row>
    <row r="296" spans="1:1" x14ac:dyDescent="0.35">
      <c r="A296">
        <f>1*SUM(Pairs!B296,-Pairs!A296)</f>
        <v>-1.7844202901733397E+285</v>
      </c>
    </row>
    <row r="297" spans="1:1" x14ac:dyDescent="0.35">
      <c r="A297">
        <f>1*SUM(Pairs!B297,-Pairs!A297)</f>
        <v>2.3792270535644529E+285</v>
      </c>
    </row>
    <row r="298" spans="1:1" x14ac:dyDescent="0.35">
      <c r="A298">
        <f>1*SUM(Pairs!B298,-Pairs!A298)</f>
        <v>-2.3792270535644529E+285</v>
      </c>
    </row>
    <row r="299" spans="1:1" x14ac:dyDescent="0.35">
      <c r="A299">
        <f>1*SUM(Pairs!B299,-Pairs!A299)</f>
        <v>2.9740338169555661E+285</v>
      </c>
    </row>
    <row r="300" spans="1:1" x14ac:dyDescent="0.35">
      <c r="A300">
        <f>1*SUM(Pairs!B300,-Pairs!A300)</f>
        <v>-2.9740338169555661E+285</v>
      </c>
    </row>
    <row r="301" spans="1:1" x14ac:dyDescent="0.35">
      <c r="A301">
        <f>1*SUM(Pairs!B301,-Pairs!A301)</f>
        <v>3.5688405803466794E+285</v>
      </c>
    </row>
    <row r="302" spans="1:1" x14ac:dyDescent="0.35">
      <c r="A302">
        <f>1*SUM(Pairs!B302,-Pairs!A302)</f>
        <v>-3.5688405803466794E+285</v>
      </c>
    </row>
    <row r="303" spans="1:1" x14ac:dyDescent="0.35">
      <c r="A303">
        <f>1*SUM(Pairs!B303,-Pairs!A303)</f>
        <v>4.7584541071289058E+285</v>
      </c>
    </row>
    <row r="304" spans="1:1" x14ac:dyDescent="0.35">
      <c r="A304">
        <f>1*SUM(Pairs!B304,-Pairs!A304)</f>
        <v>-4.7584541071289058E+285</v>
      </c>
    </row>
    <row r="305" spans="1:1" x14ac:dyDescent="0.35">
      <c r="A305">
        <f>1*SUM(Pairs!B305,-Pairs!A305)</f>
        <v>7.1376811606933587E+285</v>
      </c>
    </row>
    <row r="306" spans="1:1" x14ac:dyDescent="0.35">
      <c r="A306">
        <f>1*SUM(Pairs!B306,-Pairs!A306)</f>
        <v>-7.1376811606933587E+285</v>
      </c>
    </row>
    <row r="307" spans="1:1" x14ac:dyDescent="0.35">
      <c r="A307">
        <f>1*SUM(Pairs!B307,-Pairs!A307)</f>
        <v>9.5169082142578116E+285</v>
      </c>
    </row>
    <row r="308" spans="1:1" x14ac:dyDescent="0.35">
      <c r="A308">
        <f>1*SUM(Pairs!B308,-Pairs!A308)</f>
        <v>-9.5169082142578116E+285</v>
      </c>
    </row>
    <row r="309" spans="1:1" x14ac:dyDescent="0.35">
      <c r="A309">
        <f>1*SUM(Pairs!B309,-Pairs!A309)</f>
        <v>1.4870169084777831E+286</v>
      </c>
    </row>
    <row r="310" spans="1:1" x14ac:dyDescent="0.35">
      <c r="A310">
        <f>1*SUM(Pairs!B310,-Pairs!A310)</f>
        <v>-1.4870169084777831E+286</v>
      </c>
    </row>
    <row r="311" spans="1:1" x14ac:dyDescent="0.35">
      <c r="A311">
        <f>1*SUM(Pairs!B311,-Pairs!A311)</f>
        <v>1.9033816428515623E+286</v>
      </c>
    </row>
    <row r="312" spans="1:1" x14ac:dyDescent="0.35">
      <c r="A312">
        <f>1*SUM(Pairs!B312,-Pairs!A312)</f>
        <v>-1.9033816428515623E+286</v>
      </c>
    </row>
    <row r="313" spans="1:1" x14ac:dyDescent="0.35">
      <c r="A313">
        <f>1*SUM(Pairs!B313,-Pairs!A313)</f>
        <v>3.8067632857031246E+286</v>
      </c>
    </row>
    <row r="314" spans="1:1" x14ac:dyDescent="0.35">
      <c r="A314">
        <f>1*SUM(Pairs!B314,-Pairs!A314)</f>
        <v>-3.8067632857031246E+286</v>
      </c>
    </row>
    <row r="315" spans="1:1" x14ac:dyDescent="0.35">
      <c r="A315">
        <f>1*SUM(Pairs!B315,-Pairs!A315)</f>
        <v>7.6135265714062493E+286</v>
      </c>
    </row>
    <row r="316" spans="1:1" x14ac:dyDescent="0.35">
      <c r="A316">
        <f>1*SUM(Pairs!B316,-Pairs!A316)</f>
        <v>-7.6135265714062493E+286</v>
      </c>
    </row>
    <row r="317" spans="1:1" x14ac:dyDescent="0.35">
      <c r="A317">
        <f>1*SUM(Pairs!B317,-Pairs!A317)</f>
        <v>1.5227053142812499E+287</v>
      </c>
    </row>
    <row r="318" spans="1:1" x14ac:dyDescent="0.35">
      <c r="A318">
        <f>1*SUM(Pairs!B318,-Pairs!A318)</f>
        <v>-1.5227053142812499E+287</v>
      </c>
    </row>
    <row r="319" spans="1:1" x14ac:dyDescent="0.35">
      <c r="A319">
        <f>1*SUM(Pairs!B319,-Pairs!A319)</f>
        <v>3.0454106285624997E+287</v>
      </c>
    </row>
    <row r="320" spans="1:1" x14ac:dyDescent="0.35">
      <c r="A320">
        <f>1*SUM(Pairs!B320,-Pairs!A320)</f>
        <v>-3.0454106285624997E+287</v>
      </c>
    </row>
    <row r="321" spans="1:1" x14ac:dyDescent="0.35">
      <c r="A321">
        <f>1*SUM(Pairs!B321,-Pairs!A321)</f>
        <v>6.0908212571249994E+287</v>
      </c>
    </row>
    <row r="322" spans="1:1" x14ac:dyDescent="0.35">
      <c r="A322">
        <f>1*SUM(Pairs!B322,-Pairs!A322)</f>
        <v>-6.0908212571249994E+287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A4F0-B7D0-49B7-A64A-EA8D360C582D}">
  <dimension ref="A1:A8"/>
  <sheetViews>
    <sheetView workbookViewId="0"/>
  </sheetViews>
  <sheetFormatPr defaultRowHeight="14.5" x14ac:dyDescent="0.35"/>
  <sheetData>
    <row r="1" spans="1:1" x14ac:dyDescent="0.35">
      <c r="A1" t="str">
        <f>Ties!A1&amp;""</f>
        <v>1234567890123440</v>
      </c>
    </row>
    <row r="2" spans="1:1" x14ac:dyDescent="0.35">
      <c r="A2" t="str">
        <f>Ties!A2&amp;""</f>
        <v>1234567890123450</v>
      </c>
    </row>
    <row r="3" spans="1:1" x14ac:dyDescent="0.35">
      <c r="A3" t="str">
        <f>Ties!A3&amp;""</f>
        <v>1234567890123460</v>
      </c>
    </row>
    <row r="4" spans="1:1" x14ac:dyDescent="0.35">
      <c r="A4" t="str">
        <f>Ties!A4&amp;""</f>
        <v>1234567890123470</v>
      </c>
    </row>
    <row r="5" spans="1:1" x14ac:dyDescent="0.35">
      <c r="A5" t="str">
        <f>Ties!A5&amp;""</f>
        <v>1000000000000000</v>
      </c>
    </row>
    <row r="6" spans="1:1" x14ac:dyDescent="0.35">
      <c r="A6" t="str">
        <f>Ties!A6&amp;""</f>
        <v>10000000000000000</v>
      </c>
    </row>
    <row r="7" spans="1:1" x14ac:dyDescent="0.35">
      <c r="A7" t="str">
        <f>Ties!A7&amp;""</f>
        <v>9007199254740990</v>
      </c>
    </row>
    <row r="8" spans="1:1" x14ac:dyDescent="0.35">
      <c r="A8" t="str">
        <f>Ties!A8&amp;""</f>
        <v>1125899906842620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C19D-19B3-4489-A4EF-7B6BFB384980}">
  <dimension ref="A1:A72"/>
  <sheetViews>
    <sheetView workbookViewId="0"/>
  </sheetViews>
  <sheetFormatPr defaultRowHeight="14.5" x14ac:dyDescent="0.35"/>
  <sheetData>
    <row r="1" spans="1:1" x14ac:dyDescent="0.35">
      <c r="A1">
        <f>EXP(Reals!A1)</f>
        <v>2.1276777851851852E-3</v>
      </c>
    </row>
    <row r="2" spans="1:1" x14ac:dyDescent="0.35">
      <c r="A2">
        <f>EXP(Reals!A2)</f>
        <v>1.4077873418120149E-2</v>
      </c>
    </row>
    <row r="3" spans="1:1" x14ac:dyDescent="0.35">
      <c r="A3">
        <f>EXP(Reals!A3)</f>
        <v>4.8232405831415316E-4</v>
      </c>
    </row>
    <row r="4" spans="1:1" x14ac:dyDescent="0.35">
      <c r="A4">
        <f>EXP(Reals!A4)</f>
        <v>2.0771745605657598E-2</v>
      </c>
    </row>
    <row r="5" spans="1:1" x14ac:dyDescent="0.35">
      <c r="A5">
        <f>EXP(Reals!A5)</f>
        <v>2.2079051609684694E-2</v>
      </c>
    </row>
    <row r="6" spans="1:1" x14ac:dyDescent="0.35">
      <c r="A6">
        <f>EXP(Reals!A6)</f>
        <v>1.8159544921519809E-3</v>
      </c>
    </row>
    <row r="7" spans="1:1" x14ac:dyDescent="0.35">
      <c r="A7">
        <f>EXP(Reals!A7)</f>
        <v>3.9738204487632323</v>
      </c>
    </row>
    <row r="8" spans="1:1" x14ac:dyDescent="0.35">
      <c r="A8">
        <f>EXP(Reals!A8)</f>
        <v>111.49680200170882</v>
      </c>
    </row>
    <row r="9" spans="1:1" x14ac:dyDescent="0.35">
      <c r="A9">
        <f>EXP(Reals!A9)</f>
        <v>2.76328666106868E-3</v>
      </c>
    </row>
    <row r="10" spans="1:1" x14ac:dyDescent="0.35">
      <c r="A10">
        <f>EXP(Reals!A10)</f>
        <v>1.2212785128023347</v>
      </c>
    </row>
    <row r="11" spans="1:1" x14ac:dyDescent="0.35">
      <c r="A11">
        <f>EXP(Reals!A11)</f>
        <v>1.0058736582006277E-3</v>
      </c>
    </row>
    <row r="12" spans="1:1" x14ac:dyDescent="0.35">
      <c r="A12">
        <f>EXP(Reals!A12)</f>
        <v>13461.238887155794</v>
      </c>
    </row>
    <row r="13" spans="1:1" x14ac:dyDescent="0.35">
      <c r="A13">
        <f>EXP(Reals!A13)</f>
        <v>2.7468506530572315E-2</v>
      </c>
    </row>
    <row r="14" spans="1:1" x14ac:dyDescent="0.35">
      <c r="A14">
        <f>EXP(Reals!A14)</f>
        <v>1.0944724287122809</v>
      </c>
    </row>
    <row r="15" spans="1:1" x14ac:dyDescent="0.35">
      <c r="A15">
        <f>EXP(Reals!A15)</f>
        <v>29.239920068489408</v>
      </c>
    </row>
    <row r="16" spans="1:1" x14ac:dyDescent="0.35">
      <c r="A16">
        <f>EXP(Reals!A16)</f>
        <v>3.7303302543492019E-2</v>
      </c>
    </row>
    <row r="17" spans="1:1" x14ac:dyDescent="0.35">
      <c r="A17">
        <f>EXP(Reals!A17)</f>
        <v>0.60784236456201723</v>
      </c>
    </row>
    <row r="18" spans="1:1" x14ac:dyDescent="0.35">
      <c r="A18">
        <f>EXP(Reals!A18)</f>
        <v>3082.6162446868316</v>
      </c>
    </row>
    <row r="19" spans="1:1" x14ac:dyDescent="0.35">
      <c r="A19">
        <f>EXP(Reals!A19)</f>
        <v>2.7257803901270541</v>
      </c>
    </row>
    <row r="20" spans="1:1" x14ac:dyDescent="0.35">
      <c r="A20">
        <f>EXP(Reals!A20)</f>
        <v>2.7631423777741745E-3</v>
      </c>
    </row>
    <row r="21" spans="1:1" x14ac:dyDescent="0.35">
      <c r="A21">
        <f>EXP(Reals!A21)</f>
        <v>2595.5957114108855</v>
      </c>
    </row>
    <row r="22" spans="1:1" x14ac:dyDescent="0.35">
      <c r="A22">
        <f>EXP(Reals!A22)</f>
        <v>1.3350367474169145E-2</v>
      </c>
    </row>
    <row r="23" spans="1:1" x14ac:dyDescent="0.35">
      <c r="A23">
        <f>EXP(Reals!A23)</f>
        <v>8.7556899481798615E-3</v>
      </c>
    </row>
    <row r="24" spans="1:1" x14ac:dyDescent="0.35">
      <c r="A24">
        <f>EXP(Reals!A24)</f>
        <v>1.1078268078317248</v>
      </c>
    </row>
    <row r="25" spans="1:1" x14ac:dyDescent="0.35">
      <c r="A25">
        <f>EXP(Reals!A25)</f>
        <v>10.297904396674451</v>
      </c>
    </row>
    <row r="26" spans="1:1" x14ac:dyDescent="0.35">
      <c r="A26">
        <f>EXP(Reals!A26)</f>
        <v>114.98851036424892</v>
      </c>
    </row>
    <row r="27" spans="1:1" x14ac:dyDescent="0.35">
      <c r="A27">
        <f>EXP(Reals!A27)</f>
        <v>6.71932719481528E-3</v>
      </c>
    </row>
    <row r="28" spans="1:1" x14ac:dyDescent="0.35">
      <c r="A28">
        <f>EXP(Reals!A28)</f>
        <v>7.8110757355204344E-5</v>
      </c>
    </row>
    <row r="29" spans="1:1" x14ac:dyDescent="0.35">
      <c r="A29">
        <f>EXP(Reals!A29)</f>
        <v>5.1246275711010181E-4</v>
      </c>
    </row>
    <row r="30" spans="1:1" x14ac:dyDescent="0.35">
      <c r="A30">
        <f>EXP(Reals!A30)</f>
        <v>24.88440284796954</v>
      </c>
    </row>
    <row r="31" spans="1:1" x14ac:dyDescent="0.35">
      <c r="A31">
        <f>EXP(Reals!A31)</f>
        <v>3.6132862140107568E-4</v>
      </c>
    </row>
    <row r="32" spans="1:1" x14ac:dyDescent="0.35">
      <c r="A32">
        <f>EXP(Reals!A32)</f>
        <v>1.9656688680672926E-2</v>
      </c>
    </row>
    <row r="33" spans="1:1" x14ac:dyDescent="0.35">
      <c r="A33">
        <f>EXP(Reals!A33)</f>
        <v>5.1510965655696449E-3</v>
      </c>
    </row>
    <row r="34" spans="1:1" x14ac:dyDescent="0.35">
      <c r="A34">
        <f>EXP(Reals!A34)</f>
        <v>12689.312082400074</v>
      </c>
    </row>
    <row r="35" spans="1:1" x14ac:dyDescent="0.35">
      <c r="A35">
        <f>EXP(Reals!A35)</f>
        <v>4.3347932810555478E-4</v>
      </c>
    </row>
    <row r="36" spans="1:1" x14ac:dyDescent="0.35">
      <c r="A36">
        <f>EXP(Reals!A36)</f>
        <v>111.6386121862981</v>
      </c>
    </row>
    <row r="37" spans="1:1" x14ac:dyDescent="0.35">
      <c r="A37">
        <f>EXP(Reals!A37)</f>
        <v>10295.183368464475</v>
      </c>
    </row>
    <row r="38" spans="1:1" x14ac:dyDescent="0.35">
      <c r="A38">
        <f>EXP(Reals!A38)</f>
        <v>2802.4133093245273</v>
      </c>
    </row>
    <row r="39" spans="1:1" x14ac:dyDescent="0.35">
      <c r="A39">
        <f>EXP(Reals!A39)</f>
        <v>1.3523010774153812E-3</v>
      </c>
    </row>
    <row r="40" spans="1:1" x14ac:dyDescent="0.35">
      <c r="A40">
        <f>EXP(Reals!A40)</f>
        <v>2.4357756326279407</v>
      </c>
    </row>
    <row r="41" spans="1:1" x14ac:dyDescent="0.35">
      <c r="A41">
        <f>EXP(Reals!A41)</f>
        <v>0.23478112977727605</v>
      </c>
    </row>
    <row r="42" spans="1:1" x14ac:dyDescent="0.35">
      <c r="A42">
        <f>EXP(Reals!A42)</f>
        <v>18290.500545691721</v>
      </c>
    </row>
    <row r="43" spans="1:1" x14ac:dyDescent="0.35">
      <c r="A43">
        <f>EXP(Reals!A43)</f>
        <v>8388.4337936076427</v>
      </c>
    </row>
    <row r="44" spans="1:1" x14ac:dyDescent="0.35">
      <c r="A44">
        <f>EXP(Reals!A44)</f>
        <v>2.0689582852023602E-2</v>
      </c>
    </row>
    <row r="45" spans="1:1" x14ac:dyDescent="0.35">
      <c r="A45">
        <f>EXP(Reals!A45)</f>
        <v>547.55992951007545</v>
      </c>
    </row>
    <row r="46" spans="1:1" x14ac:dyDescent="0.35">
      <c r="A46">
        <f>EXP(Reals!A46)</f>
        <v>4.9996517157864279E-4</v>
      </c>
    </row>
    <row r="47" spans="1:1" x14ac:dyDescent="0.35">
      <c r="A47">
        <f>EXP(Reals!A47)</f>
        <v>0.15816540886826219</v>
      </c>
    </row>
    <row r="48" spans="1:1" x14ac:dyDescent="0.35">
      <c r="A48">
        <f>EXP(Reals!A48)</f>
        <v>1.356259816291465</v>
      </c>
    </row>
    <row r="49" spans="1:1" x14ac:dyDescent="0.35">
      <c r="A49">
        <f>EXP(Reals!A49)</f>
        <v>1033.975840888532</v>
      </c>
    </row>
    <row r="50" spans="1:1" x14ac:dyDescent="0.35">
      <c r="A50">
        <f>EXP(Reals!A50)</f>
        <v>4.5879832950883291E-2</v>
      </c>
    </row>
    <row r="51" spans="1:1" x14ac:dyDescent="0.35">
      <c r="A51">
        <f>EXP(Reals!A51)</f>
        <v>0.21572676064988716</v>
      </c>
    </row>
    <row r="52" spans="1:1" x14ac:dyDescent="0.35">
      <c r="A52">
        <f>EXP(Reals!A52)</f>
        <v>5.1946148517984154</v>
      </c>
    </row>
    <row r="53" spans="1:1" x14ac:dyDescent="0.35">
      <c r="A53">
        <f>EXP(Reals!A53)</f>
        <v>9131.044660676007</v>
      </c>
    </row>
    <row r="54" spans="1:1" x14ac:dyDescent="0.35">
      <c r="A54">
        <f>EXP(Reals!A54)</f>
        <v>78.194065633122307</v>
      </c>
    </row>
    <row r="55" spans="1:1" x14ac:dyDescent="0.35">
      <c r="A55">
        <f>EXP(Reals!A55)</f>
        <v>5744.6985756200556</v>
      </c>
    </row>
    <row r="56" spans="1:1" x14ac:dyDescent="0.35">
      <c r="A56">
        <f>EXP(Reals!A56)</f>
        <v>248.16333119845993</v>
      </c>
    </row>
    <row r="57" spans="1:1" x14ac:dyDescent="0.35">
      <c r="A57">
        <f>EXP(Reals!A57)</f>
        <v>2.0185801407331696</v>
      </c>
    </row>
    <row r="58" spans="1:1" x14ac:dyDescent="0.35">
      <c r="A58">
        <f>EXP(Reals!A58)</f>
        <v>6.3208037699461674E-3</v>
      </c>
    </row>
    <row r="59" spans="1:1" x14ac:dyDescent="0.35">
      <c r="A59">
        <f>EXP(Reals!A59)</f>
        <v>1439.4028813380164</v>
      </c>
    </row>
    <row r="60" spans="1:1" x14ac:dyDescent="0.35">
      <c r="A60">
        <f>EXP(Reals!A60)</f>
        <v>10337.872346259855</v>
      </c>
    </row>
    <row r="61" spans="1:1" x14ac:dyDescent="0.35">
      <c r="A61">
        <f>EXP(Reals!A61)</f>
        <v>1.6487212707001282</v>
      </c>
    </row>
    <row r="62" spans="1:1" x14ac:dyDescent="0.35">
      <c r="A62">
        <f>EXP(Reals!A62)</f>
        <v>2.7182818284590451</v>
      </c>
    </row>
    <row r="63" spans="1:1" x14ac:dyDescent="0.35">
      <c r="A63">
        <f>EXP(Reals!A63)</f>
        <v>7.3890560989306504</v>
      </c>
    </row>
    <row r="64" spans="1:1" x14ac:dyDescent="0.35">
      <c r="A64">
        <f>EXP(Reals!A64)</f>
        <v>0.60653065971263342</v>
      </c>
    </row>
    <row r="65" spans="1:1" x14ac:dyDescent="0.35">
      <c r="A65">
        <f>EXP(Reals!A65)</f>
        <v>1.0000000099999999</v>
      </c>
    </row>
    <row r="66" spans="1:1" x14ac:dyDescent="0.35">
      <c r="A66">
        <f>EXP(Reals!A66)</f>
        <v>2.1932800507380152</v>
      </c>
    </row>
    <row r="67" spans="1:1" x14ac:dyDescent="0.35">
      <c r="A67">
        <f>EXP(Reals!A67)</f>
        <v>2.8496539082263612</v>
      </c>
    </row>
    <row r="68" spans="1:1" x14ac:dyDescent="0.35">
      <c r="A68">
        <f>EXP(Reals!A68)</f>
        <v>1.6880917949644685</v>
      </c>
    </row>
    <row r="69" spans="1:1" x14ac:dyDescent="0.35">
      <c r="A69">
        <f>EXP(Reals!A69)</f>
        <v>10.550724074197761</v>
      </c>
    </row>
    <row r="70" spans="1:1" x14ac:dyDescent="0.35">
      <c r="A70">
        <f>EXP(Reals!A70)</f>
        <v>2.6881171418161356E+43</v>
      </c>
    </row>
    <row r="71" spans="1:1" x14ac:dyDescent="0.35">
      <c r="A71" t="e">
        <f>EXP(Reals!A71)</f>
        <v>#NUM!</v>
      </c>
    </row>
    <row r="72" spans="1:1" x14ac:dyDescent="0.35">
      <c r="A72" t="e">
        <f>EXP(Reals!A72)</f>
        <v>#NUM!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0256-E102-49A9-B92B-10BDF3180DE0}">
  <dimension ref="A1:A72"/>
  <sheetViews>
    <sheetView workbookViewId="0"/>
  </sheetViews>
  <sheetFormatPr defaultRowHeight="14.5" x14ac:dyDescent="0.35"/>
  <sheetData>
    <row r="1" spans="1:1" x14ac:dyDescent="0.35">
      <c r="A1">
        <f>LN(ABS(Reals!A1))</f>
        <v>1.8168949326404344</v>
      </c>
    </row>
    <row r="2" spans="1:1" x14ac:dyDescent="0.35">
      <c r="A2">
        <f>LN(ABS(Reals!A2))</f>
        <v>1.4500085524278763</v>
      </c>
    </row>
    <row r="3" spans="1:1" x14ac:dyDescent="0.35">
      <c r="A3">
        <f>LN(ABS(Reals!A3))</f>
        <v>2.0329910218005751</v>
      </c>
    </row>
    <row r="4" spans="1:1" x14ac:dyDescent="0.35">
      <c r="A4">
        <f>LN(ABS(Reals!A4))</f>
        <v>1.3543292781206366</v>
      </c>
    </row>
    <row r="5" spans="1:1" x14ac:dyDescent="0.35">
      <c r="A5">
        <f>LN(ABS(Reals!A5))</f>
        <v>1.3384493280491787</v>
      </c>
    </row>
    <row r="6" spans="1:1" x14ac:dyDescent="0.35">
      <c r="A6">
        <f>LN(ABS(Reals!A6))</f>
        <v>1.8423169689149763</v>
      </c>
    </row>
    <row r="7" spans="1:1" x14ac:dyDescent="0.35">
      <c r="A7">
        <f>LN(ABS(Reals!A7))</f>
        <v>0.3218863504757471</v>
      </c>
    </row>
    <row r="8" spans="1:1" x14ac:dyDescent="0.35">
      <c r="A8">
        <f>LN(ABS(Reals!A8))</f>
        <v>1.5505359366497156</v>
      </c>
    </row>
    <row r="9" spans="1:1" x14ac:dyDescent="0.35">
      <c r="A9">
        <f>LN(ABS(Reals!A9))</f>
        <v>1.7734825405046557</v>
      </c>
    </row>
    <row r="10" spans="1:1" x14ac:dyDescent="0.35">
      <c r="A10">
        <f>LN(ABS(Reals!A10))</f>
        <v>-1.6099466851848718</v>
      </c>
    </row>
    <row r="11" spans="1:1" x14ac:dyDescent="0.35">
      <c r="A11">
        <f>LN(ABS(Reals!A11))</f>
        <v>1.9317965626531133</v>
      </c>
    </row>
    <row r="12" spans="1:1" x14ac:dyDescent="0.35">
      <c r="A12">
        <f>LN(ABS(Reals!A12))</f>
        <v>2.2520882856527189</v>
      </c>
    </row>
    <row r="13" spans="1:1" x14ac:dyDescent="0.35">
      <c r="A13">
        <f>LN(ABS(Reals!A13))</f>
        <v>1.2794647523290692</v>
      </c>
    </row>
    <row r="14" spans="1:1" x14ac:dyDescent="0.35">
      <c r="A14">
        <f>LN(ABS(Reals!A14))</f>
        <v>-2.4049229935515055</v>
      </c>
    </row>
    <row r="15" spans="1:1" x14ac:dyDescent="0.35">
      <c r="A15">
        <f>LN(ABS(Reals!A15))</f>
        <v>1.2165538010233008</v>
      </c>
    </row>
    <row r="16" spans="1:1" x14ac:dyDescent="0.35">
      <c r="A16">
        <f>LN(ABS(Reals!A16))</f>
        <v>1.1904842665065662</v>
      </c>
    </row>
    <row r="17" spans="1:1" x14ac:dyDescent="0.35">
      <c r="A17">
        <f>LN(ABS(Reals!A17))</f>
        <v>-0.69747714244060244</v>
      </c>
    </row>
    <row r="18" spans="1:1" x14ac:dyDescent="0.35">
      <c r="A18">
        <f>LN(ABS(Reals!A18))</f>
        <v>2.0836245239854692</v>
      </c>
    </row>
    <row r="19" spans="1:1" x14ac:dyDescent="0.35">
      <c r="A19">
        <f>LN(ABS(Reals!A19))</f>
        <v>2.7509813922419108E-3</v>
      </c>
    </row>
    <row r="20" spans="1:1" x14ac:dyDescent="0.35">
      <c r="A20">
        <f>LN(ABS(Reals!A20))</f>
        <v>1.7734914036085956</v>
      </c>
    </row>
    <row r="21" spans="1:1" x14ac:dyDescent="0.35">
      <c r="A21">
        <f>LN(ABS(Reals!A21))</f>
        <v>2.0619865012816976</v>
      </c>
    </row>
    <row r="22" spans="1:1" x14ac:dyDescent="0.35">
      <c r="A22">
        <f>LN(ABS(Reals!A22))</f>
        <v>1.4623780194033489</v>
      </c>
    </row>
    <row r="23" spans="1:1" x14ac:dyDescent="0.35">
      <c r="A23">
        <f>LN(ABS(Reals!A23))</f>
        <v>1.5556259773872732</v>
      </c>
    </row>
    <row r="24" spans="1:1" x14ac:dyDescent="0.35">
      <c r="A24">
        <f>LN(ABS(Reals!A24))</f>
        <v>-2.2788659737421346</v>
      </c>
    </row>
    <row r="25" spans="1:1" x14ac:dyDescent="0.35">
      <c r="A25">
        <f>LN(ABS(Reals!A25))</f>
        <v>0.84670071837708172</v>
      </c>
    </row>
    <row r="26" spans="1:1" x14ac:dyDescent="0.35">
      <c r="A26">
        <f>LN(ABS(Reals!A26))</f>
        <v>1.5570560707403391</v>
      </c>
    </row>
    <row r="27" spans="1:1" x14ac:dyDescent="0.35">
      <c r="A27">
        <f>LN(ABS(Reals!A27))</f>
        <v>1.6099912091929254</v>
      </c>
    </row>
    <row r="28" spans="1:1" x14ac:dyDescent="0.35">
      <c r="A28">
        <f>LN(ABS(Reals!A28))</f>
        <v>2.2467956822466215</v>
      </c>
    </row>
    <row r="29" spans="1:1" x14ac:dyDescent="0.35">
      <c r="A29">
        <f>LN(ABS(Reals!A29))</f>
        <v>2.0250226464563861</v>
      </c>
    </row>
    <row r="30" spans="1:1" x14ac:dyDescent="0.35">
      <c r="A30">
        <f>LN(ABS(Reals!A30))</f>
        <v>1.1675913160104974</v>
      </c>
    </row>
    <row r="31" spans="1:1" x14ac:dyDescent="0.35">
      <c r="A31">
        <f>LN(ABS(Reals!A31))</f>
        <v>2.0701135086806817</v>
      </c>
    </row>
    <row r="32" spans="1:1" x14ac:dyDescent="0.35">
      <c r="A32">
        <f>LN(ABS(Reals!A32))</f>
        <v>1.3684708640196304</v>
      </c>
    </row>
    <row r="33" spans="1:1" x14ac:dyDescent="0.35">
      <c r="A33">
        <f>LN(ABS(Reals!A33))</f>
        <v>1.6617543589304977</v>
      </c>
    </row>
    <row r="34" spans="1:1" x14ac:dyDescent="0.35">
      <c r="A34">
        <f>LN(ABS(Reals!A34))</f>
        <v>2.2458576233234808</v>
      </c>
    </row>
    <row r="35" spans="1:1" x14ac:dyDescent="0.35">
      <c r="A35">
        <f>LN(ABS(Reals!A35))</f>
        <v>2.0468752768503236</v>
      </c>
    </row>
    <row r="36" spans="1:1" x14ac:dyDescent="0.35">
      <c r="A36">
        <f>LN(ABS(Reals!A36))</f>
        <v>1.5508055374812999</v>
      </c>
    </row>
    <row r="37" spans="1:1" x14ac:dyDescent="0.35">
      <c r="A37">
        <f>LN(ABS(Reals!A37))</f>
        <v>2.2234803502877254</v>
      </c>
    </row>
    <row r="38" spans="1:1" x14ac:dyDescent="0.35">
      <c r="A38">
        <f>LN(ABS(Reals!A38))</f>
        <v>2.0716911121861066</v>
      </c>
    </row>
    <row r="39" spans="1:1" x14ac:dyDescent="0.35">
      <c r="A39">
        <f>LN(ABS(Reals!A39))</f>
        <v>1.8879704001671533</v>
      </c>
    </row>
    <row r="40" spans="1:1" x14ac:dyDescent="0.35">
      <c r="A40">
        <f>LN(ABS(Reals!A40))</f>
        <v>-0.11623583731540799</v>
      </c>
    </row>
    <row r="41" spans="1:1" x14ac:dyDescent="0.35">
      <c r="A41">
        <f>LN(ABS(Reals!A41))</f>
        <v>0.37094375161767207</v>
      </c>
    </row>
    <row r="42" spans="1:1" x14ac:dyDescent="0.35">
      <c r="A42">
        <f>LN(ABS(Reals!A42))</f>
        <v>2.2838239082435252</v>
      </c>
    </row>
    <row r="43" spans="1:1" x14ac:dyDescent="0.35">
      <c r="A43">
        <f>LN(ABS(Reals!A43))</f>
        <v>2.2010626587652302</v>
      </c>
    </row>
    <row r="44" spans="1:1" x14ac:dyDescent="0.35">
      <c r="A44">
        <f>LN(ABS(Reals!A44))</f>
        <v>1.3553517763230927</v>
      </c>
    </row>
    <row r="45" spans="1:1" x14ac:dyDescent="0.35">
      <c r="A45">
        <f>LN(ABS(Reals!A45))</f>
        <v>1.8414178145132527</v>
      </c>
    </row>
    <row r="46" spans="1:1" x14ac:dyDescent="0.35">
      <c r="A46">
        <f>LN(ABS(Reals!A46))</f>
        <v>2.0282761494823132</v>
      </c>
    </row>
    <row r="47" spans="1:1" x14ac:dyDescent="0.35">
      <c r="A47">
        <f>LN(ABS(Reals!A47))</f>
        <v>0.61199889220330317</v>
      </c>
    </row>
    <row r="48" spans="1:1" x14ac:dyDescent="0.35">
      <c r="A48">
        <f>LN(ABS(Reals!A48))</f>
        <v>-1.1883265934995895</v>
      </c>
    </row>
    <row r="49" spans="1:1" x14ac:dyDescent="0.35">
      <c r="A49">
        <f>LN(ABS(Reals!A49))</f>
        <v>1.93746987135278</v>
      </c>
    </row>
    <row r="50" spans="1:1" x14ac:dyDescent="0.35">
      <c r="A50">
        <f>LN(ABS(Reals!A50))</f>
        <v>1.125491006809777</v>
      </c>
    </row>
    <row r="51" spans="1:1" x14ac:dyDescent="0.35">
      <c r="A51">
        <f>LN(ABS(Reals!A51))</f>
        <v>0.42771093729126886</v>
      </c>
    </row>
    <row r="52" spans="1:1" x14ac:dyDescent="0.35">
      <c r="A52">
        <f>LN(ABS(Reals!A52))</f>
        <v>0.49933332973224526</v>
      </c>
    </row>
    <row r="53" spans="1:1" x14ac:dyDescent="0.35">
      <c r="A53">
        <f>LN(ABS(Reals!A53))</f>
        <v>2.2104078929273463</v>
      </c>
    </row>
    <row r="54" spans="1:1" x14ac:dyDescent="0.35">
      <c r="A54">
        <f>LN(ABS(Reals!A54))</f>
        <v>1.4722871222860994</v>
      </c>
    </row>
    <row r="55" spans="1:1" x14ac:dyDescent="0.35">
      <c r="A55">
        <f>LN(ABS(Reals!A55))</f>
        <v>2.1582565023247309</v>
      </c>
    </row>
    <row r="56" spans="1:1" x14ac:dyDescent="0.35">
      <c r="A56">
        <f>LN(ABS(Reals!A56))</f>
        <v>1.7073061127904567</v>
      </c>
    </row>
    <row r="57" spans="1:1" x14ac:dyDescent="0.35">
      <c r="A57">
        <f>LN(ABS(Reals!A57))</f>
        <v>-0.35326026113035364</v>
      </c>
    </row>
    <row r="58" spans="1:1" x14ac:dyDescent="0.35">
      <c r="A58">
        <f>LN(ABS(Reals!A58))</f>
        <v>1.6221386949725063</v>
      </c>
    </row>
    <row r="59" spans="1:1" x14ac:dyDescent="0.35">
      <c r="A59">
        <f>LN(ABS(Reals!A59))</f>
        <v>1.9840291072624914</v>
      </c>
    </row>
    <row r="60" spans="1:1" x14ac:dyDescent="0.35">
      <c r="A60">
        <f>LN(ABS(Reals!A60))</f>
        <v>2.2239281051811974</v>
      </c>
    </row>
    <row r="61" spans="1:1" x14ac:dyDescent="0.35">
      <c r="A61">
        <f>LN(ABS(Reals!A61))</f>
        <v>-0.69314718055994529</v>
      </c>
    </row>
    <row r="62" spans="1:1" x14ac:dyDescent="0.35">
      <c r="A62">
        <f>LN(ABS(Reals!A62))</f>
        <v>0</v>
      </c>
    </row>
    <row r="63" spans="1:1" x14ac:dyDescent="0.35">
      <c r="A63">
        <f>LN(ABS(Reals!A63))</f>
        <v>0.69314718055994529</v>
      </c>
    </row>
    <row r="64" spans="1:1" x14ac:dyDescent="0.35">
      <c r="A64">
        <f>LN(ABS(Reals!A64))</f>
        <v>-0.69314718055994529</v>
      </c>
    </row>
    <row r="65" spans="1:1" x14ac:dyDescent="0.35">
      <c r="A65">
        <f>LN(ABS(Reals!A65))</f>
        <v>-18.420680743952367</v>
      </c>
    </row>
    <row r="66" spans="1:1" x14ac:dyDescent="0.35">
      <c r="A66">
        <f>LN(ABS(Reals!A66))</f>
        <v>-0.24156447527049049</v>
      </c>
    </row>
    <row r="67" spans="1:1" x14ac:dyDescent="0.35">
      <c r="A67">
        <f>LN(ABS(Reals!A67))</f>
        <v>4.6117597181290375E-2</v>
      </c>
    </row>
    <row r="68" spans="1:1" x14ac:dyDescent="0.35">
      <c r="A68">
        <f>LN(ABS(Reals!A68))</f>
        <v>-0.6470295833786549</v>
      </c>
    </row>
    <row r="69" spans="1:1" x14ac:dyDescent="0.35">
      <c r="A69">
        <f>LN(ABS(Reals!A69))</f>
        <v>0.85704781339761926</v>
      </c>
    </row>
    <row r="70" spans="1:1" x14ac:dyDescent="0.35">
      <c r="A70">
        <f>LN(ABS(Reals!A70))</f>
        <v>4.6051701859880918</v>
      </c>
    </row>
    <row r="71" spans="1:1" x14ac:dyDescent="0.35">
      <c r="A71">
        <f>LN(ABS(Reals!A71))</f>
        <v>11.512925464970229</v>
      </c>
    </row>
    <row r="72" spans="1:1" x14ac:dyDescent="0.35">
      <c r="A72">
        <f>LN(ABS(Reals!A72))</f>
        <v>16.11809565095832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2B39-8DA4-49A0-9E25-996E7F7D40C4}">
  <dimension ref="A1:A72"/>
  <sheetViews>
    <sheetView workbookViewId="0"/>
  </sheetViews>
  <sheetFormatPr defaultRowHeight="14.5" x14ac:dyDescent="0.35"/>
  <sheetData>
    <row r="1" spans="1:1" x14ac:dyDescent="0.35">
      <c r="A1">
        <f>SIN(Reals!A1)</f>
        <v>0.13009140888020951</v>
      </c>
    </row>
    <row r="2" spans="1:1" x14ac:dyDescent="0.35">
      <c r="A2">
        <f>SIN(Reals!A2)</f>
        <v>0.90077828243162961</v>
      </c>
    </row>
    <row r="3" spans="1:1" x14ac:dyDescent="0.35">
      <c r="A3">
        <f>SIN(Reals!A3)</f>
        <v>-0.97652894956781688</v>
      </c>
    </row>
    <row r="4" spans="1:1" x14ac:dyDescent="0.35">
      <c r="A4">
        <f>SIN(Reals!A4)</f>
        <v>0.66878174555049141</v>
      </c>
    </row>
    <row r="5" spans="1:1" x14ac:dyDescent="0.35">
      <c r="A5">
        <f>SIN(Reals!A5)</f>
        <v>0.62218713526422209</v>
      </c>
    </row>
    <row r="6" spans="1:1" x14ac:dyDescent="0.35">
      <c r="A6">
        <f>SIN(Reals!A6)</f>
        <v>-2.7955108946485497E-2</v>
      </c>
    </row>
    <row r="7" spans="1:1" x14ac:dyDescent="0.35">
      <c r="A7">
        <f>SIN(Reals!A7)</f>
        <v>0.9818019044574996</v>
      </c>
    </row>
    <row r="8" spans="1:1" x14ac:dyDescent="0.35">
      <c r="A8">
        <f>SIN(Reals!A8)</f>
        <v>-0.99999870889066755</v>
      </c>
    </row>
    <row r="9" spans="1:1" x14ac:dyDescent="0.35">
      <c r="A9">
        <f>SIN(Reals!A9)</f>
        <v>0.38189960194852096</v>
      </c>
    </row>
    <row r="10" spans="1:1" x14ac:dyDescent="0.35">
      <c r="A10">
        <f>SIN(Reals!A10)</f>
        <v>0.19856962889819016</v>
      </c>
    </row>
    <row r="11" spans="1:1" x14ac:dyDescent="0.35">
      <c r="A11">
        <f>SIN(Reals!A11)</f>
        <v>-0.57998762233212842</v>
      </c>
    </row>
    <row r="12" spans="1:1" x14ac:dyDescent="0.35">
      <c r="A12">
        <f>SIN(Reals!A12)</f>
        <v>-8.2697130664581717E-2</v>
      </c>
    </row>
    <row r="13" spans="1:1" x14ac:dyDescent="0.35">
      <c r="A13">
        <f>SIN(Reals!A13)</f>
        <v>0.43777504981509763</v>
      </c>
    </row>
    <row r="14" spans="1:1" x14ac:dyDescent="0.35">
      <c r="A14">
        <f>SIN(Reals!A14)</f>
        <v>9.014989009624394E-2</v>
      </c>
    </row>
    <row r="15" spans="1:1" x14ac:dyDescent="0.35">
      <c r="A15">
        <f>SIN(Reals!A15)</f>
        <v>-0.23181417611946345</v>
      </c>
    </row>
    <row r="16" spans="1:1" x14ac:dyDescent="0.35">
      <c r="A16">
        <f>SIN(Reals!A16)</f>
        <v>0.14655104233285846</v>
      </c>
    </row>
    <row r="17" spans="1:1" x14ac:dyDescent="0.35">
      <c r="A17">
        <f>SIN(Reals!A17)</f>
        <v>-0.47752857926806641</v>
      </c>
    </row>
    <row r="18" spans="1:1" x14ac:dyDescent="0.35">
      <c r="A18">
        <f>SIN(Reals!A18)</f>
        <v>0.98392374366878643</v>
      </c>
    </row>
    <row r="19" spans="1:1" x14ac:dyDescent="0.35">
      <c r="A19">
        <f>SIN(Reals!A19)</f>
        <v>0.84295619801263855</v>
      </c>
    </row>
    <row r="20" spans="1:1" x14ac:dyDescent="0.35">
      <c r="A20">
        <f>SIN(Reals!A20)</f>
        <v>0.3818513434405299</v>
      </c>
    </row>
    <row r="21" spans="1:1" x14ac:dyDescent="0.35">
      <c r="A21">
        <f>SIN(Reals!A21)</f>
        <v>0.99997119839164117</v>
      </c>
    </row>
    <row r="22" spans="1:1" x14ac:dyDescent="0.35">
      <c r="A22">
        <f>SIN(Reals!A22)</f>
        <v>0.92254276972547189</v>
      </c>
    </row>
    <row r="23" spans="1:1" x14ac:dyDescent="0.35">
      <c r="A23">
        <f>SIN(Reals!A23)</f>
        <v>0.99967073535353002</v>
      </c>
    </row>
    <row r="24" spans="1:1" x14ac:dyDescent="0.35">
      <c r="A24">
        <f>SIN(Reals!A24)</f>
        <v>0.10222140092633157</v>
      </c>
    </row>
    <row r="25" spans="1:1" x14ac:dyDescent="0.35">
      <c r="A25">
        <f>SIN(Reals!A25)</f>
        <v>0.72404734762906775</v>
      </c>
    </row>
    <row r="26" spans="1:1" x14ac:dyDescent="0.35">
      <c r="A26">
        <f>SIN(Reals!A26)</f>
        <v>-0.99947376447309766</v>
      </c>
    </row>
    <row r="27" spans="1:1" x14ac:dyDescent="0.35">
      <c r="A27">
        <f>SIN(Reals!A27)</f>
        <v>0.95813564012709684</v>
      </c>
    </row>
    <row r="28" spans="1:1" x14ac:dyDescent="0.35">
      <c r="A28">
        <f>SIN(Reals!A28)</f>
        <v>3.259903503199555E-2</v>
      </c>
    </row>
    <row r="29" spans="1:1" x14ac:dyDescent="0.35">
      <c r="A29">
        <f>SIN(Reals!A29)</f>
        <v>-0.96168875627891515</v>
      </c>
    </row>
    <row r="30" spans="1:1" x14ac:dyDescent="0.35">
      <c r="A30">
        <f>SIN(Reals!A30)</f>
        <v>-7.258467456860411E-2</v>
      </c>
    </row>
    <row r="31" spans="1:1" x14ac:dyDescent="0.35">
      <c r="A31">
        <f>SIN(Reals!A31)</f>
        <v>-0.99742771288929166</v>
      </c>
    </row>
    <row r="32" spans="1:1" x14ac:dyDescent="0.35">
      <c r="A32">
        <f>SIN(Reals!A32)</f>
        <v>0.708764264130893</v>
      </c>
    </row>
    <row r="33" spans="1:1" x14ac:dyDescent="0.35">
      <c r="A33">
        <f>SIN(Reals!A33)</f>
        <v>0.84929036643337619</v>
      </c>
    </row>
    <row r="34" spans="1:1" x14ac:dyDescent="0.35">
      <c r="A34">
        <f>SIN(Reals!A34)</f>
        <v>-2.3735159915133551E-2</v>
      </c>
    </row>
    <row r="35" spans="1:1" x14ac:dyDescent="0.35">
      <c r="A35">
        <f>SIN(Reals!A35)</f>
        <v>-0.99392144810602301</v>
      </c>
    </row>
    <row r="36" spans="1:1" x14ac:dyDescent="0.35">
      <c r="A36">
        <f>SIN(Reals!A36)</f>
        <v>-0.99999585856933393</v>
      </c>
    </row>
    <row r="37" spans="1:1" x14ac:dyDescent="0.35">
      <c r="A37">
        <f>SIN(Reals!A37)</f>
        <v>0.18428713943101649</v>
      </c>
    </row>
    <row r="38" spans="1:1" x14ac:dyDescent="0.35">
      <c r="A38">
        <f>SIN(Reals!A38)</f>
        <v>0.99645268150242006</v>
      </c>
    </row>
    <row r="39" spans="1:1" x14ac:dyDescent="0.35">
      <c r="A39">
        <f>SIN(Reals!A39)</f>
        <v>-0.31718745726084613</v>
      </c>
    </row>
    <row r="40" spans="1:1" x14ac:dyDescent="0.35">
      <c r="A40">
        <f>SIN(Reals!A40)</f>
        <v>0.77723866592292323</v>
      </c>
    </row>
    <row r="41" spans="1:1" x14ac:dyDescent="0.35">
      <c r="A41">
        <f>SIN(Reals!A41)</f>
        <v>-0.99260432606699334</v>
      </c>
    </row>
    <row r="42" spans="1:1" x14ac:dyDescent="0.35">
      <c r="A42">
        <f>SIN(Reals!A42)</f>
        <v>-0.37959560673572129</v>
      </c>
    </row>
    <row r="43" spans="1:1" x14ac:dyDescent="0.35">
      <c r="A43">
        <f>SIN(Reals!A43)</f>
        <v>0.38034458439742086</v>
      </c>
    </row>
    <row r="44" spans="1:1" x14ac:dyDescent="0.35">
      <c r="A44">
        <f>SIN(Reals!A44)</f>
        <v>0.67172307198706949</v>
      </c>
    </row>
    <row r="45" spans="1:1" x14ac:dyDescent="0.35">
      <c r="A45">
        <f>SIN(Reals!A45)</f>
        <v>2.2284763925407604E-2</v>
      </c>
    </row>
    <row r="46" spans="1:1" x14ac:dyDescent="0.35">
      <c r="A46">
        <f>SIN(Reals!A46)</f>
        <v>-0.96816346906316564</v>
      </c>
    </row>
    <row r="47" spans="1:1" x14ac:dyDescent="0.35">
      <c r="A47">
        <f>SIN(Reals!A47)</f>
        <v>-0.96288069261685594</v>
      </c>
    </row>
    <row r="48" spans="1:1" x14ac:dyDescent="0.35">
      <c r="A48">
        <f>SIN(Reals!A48)</f>
        <v>0.30003636593201527</v>
      </c>
    </row>
    <row r="49" spans="1:1" x14ac:dyDescent="0.35">
      <c r="A49">
        <f>SIN(Reals!A49)</f>
        <v>0.61152091206422676</v>
      </c>
    </row>
    <row r="50" spans="1:1" x14ac:dyDescent="0.35">
      <c r="A50">
        <f>SIN(Reals!A50)</f>
        <v>-5.9827278258242272E-2</v>
      </c>
    </row>
    <row r="51" spans="1:1" x14ac:dyDescent="0.35">
      <c r="A51">
        <f>SIN(Reals!A51)</f>
        <v>-0.99931359176514722</v>
      </c>
    </row>
    <row r="52" spans="1:1" x14ac:dyDescent="0.35">
      <c r="A52">
        <f>SIN(Reals!A52)</f>
        <v>0.99705032206049238</v>
      </c>
    </row>
    <row r="53" spans="1:1" x14ac:dyDescent="0.35">
      <c r="A53">
        <f>SIN(Reals!A53)</f>
        <v>0.30061991985192749</v>
      </c>
    </row>
    <row r="54" spans="1:1" x14ac:dyDescent="0.35">
      <c r="A54">
        <f>SIN(Reals!A54)</f>
        <v>-0.93827228459924339</v>
      </c>
    </row>
    <row r="55" spans="1:1" x14ac:dyDescent="0.35">
      <c r="A55">
        <f>SIN(Reals!A55)</f>
        <v>0.6952338846324696</v>
      </c>
    </row>
    <row r="56" spans="1:1" x14ac:dyDescent="0.35">
      <c r="A56">
        <f>SIN(Reals!A56)</f>
        <v>-0.69548753249264283</v>
      </c>
    </row>
    <row r="57" spans="1:1" x14ac:dyDescent="0.35">
      <c r="A57">
        <f>SIN(Reals!A57)</f>
        <v>0.64604714916623307</v>
      </c>
    </row>
    <row r="58" spans="1:1" x14ac:dyDescent="0.35">
      <c r="A58">
        <f>SIN(Reals!A58)</f>
        <v>0.93885045085442365</v>
      </c>
    </row>
    <row r="59" spans="1:1" x14ac:dyDescent="0.35">
      <c r="A59">
        <f>SIN(Reals!A59)</f>
        <v>0.83536603300857482</v>
      </c>
    </row>
    <row r="60" spans="1:1" x14ac:dyDescent="0.35">
      <c r="A60">
        <f>SIN(Reals!A60)</f>
        <v>0.18021851891805801</v>
      </c>
    </row>
    <row r="61" spans="1:1" x14ac:dyDescent="0.35">
      <c r="A61">
        <f>SIN(Reals!A61)</f>
        <v>0.47942553860420301</v>
      </c>
    </row>
    <row r="62" spans="1:1" x14ac:dyDescent="0.35">
      <c r="A62">
        <f>SIN(Reals!A62)</f>
        <v>0.8414709848078965</v>
      </c>
    </row>
    <row r="63" spans="1:1" x14ac:dyDescent="0.35">
      <c r="A63">
        <f>SIN(Reals!A63)</f>
        <v>0.90929742682568171</v>
      </c>
    </row>
    <row r="64" spans="1:1" x14ac:dyDescent="0.35">
      <c r="A64">
        <f>SIN(Reals!A64)</f>
        <v>-0.47942553860420301</v>
      </c>
    </row>
    <row r="65" spans="1:1" x14ac:dyDescent="0.35">
      <c r="A65">
        <f>SIN(Reals!A65)</f>
        <v>1E-8</v>
      </c>
    </row>
    <row r="66" spans="1:1" x14ac:dyDescent="0.35">
      <c r="A66">
        <f>SIN(Reals!A66)</f>
        <v>0.70710678118654746</v>
      </c>
    </row>
    <row r="67" spans="1:1" x14ac:dyDescent="0.35">
      <c r="A67">
        <f>SIN(Reals!A67)</f>
        <v>0.8660254037844386</v>
      </c>
    </row>
    <row r="68" spans="1:1" x14ac:dyDescent="0.35">
      <c r="A68">
        <f>SIN(Reals!A68)</f>
        <v>0.49999999999999994</v>
      </c>
    </row>
    <row r="69" spans="1:1" x14ac:dyDescent="0.35">
      <c r="A69">
        <f>SIN(Reals!A69)</f>
        <v>0.70710678118654757</v>
      </c>
    </row>
    <row r="70" spans="1:1" x14ac:dyDescent="0.35">
      <c r="A70">
        <f>SIN(Reals!A70)</f>
        <v>-0.50636564110975879</v>
      </c>
    </row>
    <row r="71" spans="1:1" x14ac:dyDescent="0.35">
      <c r="A71">
        <f>SIN(Reals!A71)</f>
        <v>3.5748797972018104E-2</v>
      </c>
    </row>
    <row r="72" spans="1:1" x14ac:dyDescent="0.35">
      <c r="A72">
        <f>SIN(Reals!A72)</f>
        <v>0.42054779319092739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41FB-D99F-4027-9329-715B6AE5FD45}">
  <dimension ref="A1:A72"/>
  <sheetViews>
    <sheetView workbookViewId="0"/>
  </sheetViews>
  <sheetFormatPr defaultRowHeight="14.5" x14ac:dyDescent="0.35"/>
  <sheetData>
    <row r="1" spans="1:1" x14ac:dyDescent="0.35">
      <c r="A1">
        <f>COS(Reals!A1)</f>
        <v>0.99150200470577066</v>
      </c>
    </row>
    <row r="2" spans="1:1" x14ac:dyDescent="0.35">
      <c r="A2">
        <f>COS(Reals!A2)</f>
        <v>-0.43427927178202202</v>
      </c>
    </row>
    <row r="3" spans="1:1" x14ac:dyDescent="0.35">
      <c r="A3">
        <f>COS(Reals!A3)</f>
        <v>0.21538618956649994</v>
      </c>
    </row>
    <row r="4" spans="1:1" x14ac:dyDescent="0.35">
      <c r="A4">
        <f>COS(Reals!A4)</f>
        <v>-0.74345879295253325</v>
      </c>
    </row>
    <row r="5" spans="1:1" x14ac:dyDescent="0.35">
      <c r="A5">
        <f>COS(Reals!A5)</f>
        <v>-0.78286855136204092</v>
      </c>
    </row>
    <row r="6" spans="1:1" x14ac:dyDescent="0.35">
      <c r="A6">
        <f>COS(Reals!A6)</f>
        <v>0.99960917957159146</v>
      </c>
    </row>
    <row r="7" spans="1:1" x14ac:dyDescent="0.35">
      <c r="A7">
        <f>COS(Reals!A7)</f>
        <v>0.18990792612112567</v>
      </c>
    </row>
    <row r="8" spans="1:1" x14ac:dyDescent="0.35">
      <c r="A8">
        <f>COS(Reals!A8)</f>
        <v>1.6069278135610683E-3</v>
      </c>
    </row>
    <row r="9" spans="1:1" x14ac:dyDescent="0.35">
      <c r="A9">
        <f>COS(Reals!A9)</f>
        <v>0.92420381628272952</v>
      </c>
    </row>
    <row r="10" spans="1:1" x14ac:dyDescent="0.35">
      <c r="A10">
        <f>COS(Reals!A10)</f>
        <v>0.98008678313669506</v>
      </c>
    </row>
    <row r="11" spans="1:1" x14ac:dyDescent="0.35">
      <c r="A11">
        <f>COS(Reals!A11)</f>
        <v>0.81462528682918034</v>
      </c>
    </row>
    <row r="12" spans="1:1" x14ac:dyDescent="0.35">
      <c r="A12">
        <f>COS(Reals!A12)</f>
        <v>-0.99657472603906883</v>
      </c>
    </row>
    <row r="13" spans="1:1" x14ac:dyDescent="0.35">
      <c r="A13">
        <f>COS(Reals!A13)</f>
        <v>-0.89908453760443952</v>
      </c>
    </row>
    <row r="14" spans="1:1" x14ac:dyDescent="0.35">
      <c r="A14">
        <f>COS(Reals!A14)</f>
        <v>0.9959282089165038</v>
      </c>
    </row>
    <row r="15" spans="1:1" x14ac:dyDescent="0.35">
      <c r="A15">
        <f>COS(Reals!A15)</f>
        <v>-0.97276008745736187</v>
      </c>
    </row>
    <row r="16" spans="1:1" x14ac:dyDescent="0.35">
      <c r="A16">
        <f>COS(Reals!A16)</f>
        <v>-0.98920310957414237</v>
      </c>
    </row>
    <row r="17" spans="1:1" x14ac:dyDescent="0.35">
      <c r="A17">
        <f>COS(Reals!A17)</f>
        <v>0.87861621654862598</v>
      </c>
    </row>
    <row r="18" spans="1:1" x14ac:dyDescent="0.35">
      <c r="A18">
        <f>COS(Reals!A18)</f>
        <v>-0.17858910001677078</v>
      </c>
    </row>
    <row r="19" spans="1:1" x14ac:dyDescent="0.35">
      <c r="A19">
        <f>COS(Reals!A19)</f>
        <v>0.53798220066474067</v>
      </c>
    </row>
    <row r="20" spans="1:1" x14ac:dyDescent="0.35">
      <c r="A20">
        <f>COS(Reals!A20)</f>
        <v>0.92422375619363006</v>
      </c>
    </row>
    <row r="21" spans="1:1" x14ac:dyDescent="0.35">
      <c r="A21">
        <f>COS(Reals!A21)</f>
        <v>-7.5896236523969301E-3</v>
      </c>
    </row>
    <row r="22" spans="1:1" x14ac:dyDescent="0.35">
      <c r="A22">
        <f>COS(Reals!A22)</f>
        <v>-0.38589485359000958</v>
      </c>
    </row>
    <row r="23" spans="1:1" x14ac:dyDescent="0.35">
      <c r="A23">
        <f>COS(Reals!A23)</f>
        <v>2.5659713126465419E-2</v>
      </c>
    </row>
    <row r="24" spans="1:1" x14ac:dyDescent="0.35">
      <c r="A24">
        <f>COS(Reals!A24)</f>
        <v>0.99476167255914028</v>
      </c>
    </row>
    <row r="25" spans="1:1" x14ac:dyDescent="0.35">
      <c r="A25">
        <f>COS(Reals!A25)</f>
        <v>-0.68975027248368082</v>
      </c>
    </row>
    <row r="26" spans="1:1" x14ac:dyDescent="0.35">
      <c r="A26">
        <f>COS(Reals!A26)</f>
        <v>3.243754198417332E-2</v>
      </c>
    </row>
    <row r="27" spans="1:1" x14ac:dyDescent="0.35">
      <c r="A27">
        <f>COS(Reals!A27)</f>
        <v>0.28631467848896308</v>
      </c>
    </row>
    <row r="28" spans="1:1" x14ac:dyDescent="0.35">
      <c r="A28">
        <f>COS(Reals!A28)</f>
        <v>-0.9994685102167965</v>
      </c>
    </row>
    <row r="29" spans="1:1" x14ac:dyDescent="0.35">
      <c r="A29">
        <f>COS(Reals!A29)</f>
        <v>0.27414364126624091</v>
      </c>
    </row>
    <row r="30" spans="1:1" x14ac:dyDescent="0.35">
      <c r="A30">
        <f>COS(Reals!A30)</f>
        <v>-0.99736225365599729</v>
      </c>
    </row>
    <row r="31" spans="1:1" x14ac:dyDescent="0.35">
      <c r="A31">
        <f>COS(Reals!A31)</f>
        <v>-7.1679547713672714E-2</v>
      </c>
    </row>
    <row r="32" spans="1:1" x14ac:dyDescent="0.35">
      <c r="A32">
        <f>COS(Reals!A32)</f>
        <v>-0.70544540390521637</v>
      </c>
    </row>
    <row r="33" spans="1:1" x14ac:dyDescent="0.35">
      <c r="A33">
        <f>COS(Reals!A33)</f>
        <v>0.52792601137229611</v>
      </c>
    </row>
    <row r="34" spans="1:1" x14ac:dyDescent="0.35">
      <c r="A34">
        <f>COS(Reals!A34)</f>
        <v>-0.99971828140921937</v>
      </c>
    </row>
    <row r="35" spans="1:1" x14ac:dyDescent="0.35">
      <c r="A35">
        <f>COS(Reals!A35)</f>
        <v>0.11009157549434077</v>
      </c>
    </row>
    <row r="36" spans="1:1" x14ac:dyDescent="0.35">
      <c r="A36">
        <f>COS(Reals!A36)</f>
        <v>2.8779930821165567E-3</v>
      </c>
    </row>
    <row r="37" spans="1:1" x14ac:dyDescent="0.35">
      <c r="A37">
        <f>COS(Reals!A37)</f>
        <v>-0.98287244861189038</v>
      </c>
    </row>
    <row r="38" spans="1:1" x14ac:dyDescent="0.35">
      <c r="A38">
        <f>COS(Reals!A38)</f>
        <v>-8.4154937624815435E-2</v>
      </c>
    </row>
    <row r="39" spans="1:1" x14ac:dyDescent="0.35">
      <c r="A39">
        <f>COS(Reals!A39)</f>
        <v>0.94836286143880544</v>
      </c>
    </row>
    <row r="40" spans="1:1" x14ac:dyDescent="0.35">
      <c r="A40">
        <f>COS(Reals!A40)</f>
        <v>0.62920589332455756</v>
      </c>
    </row>
    <row r="41" spans="1:1" x14ac:dyDescent="0.35">
      <c r="A41">
        <f>COS(Reals!A41)</f>
        <v>0.12139461220783189</v>
      </c>
    </row>
    <row r="42" spans="1:1" x14ac:dyDescent="0.35">
      <c r="A42">
        <f>COS(Reals!A42)</f>
        <v>-0.92515251464120207</v>
      </c>
    </row>
    <row r="43" spans="1:1" x14ac:dyDescent="0.35">
      <c r="A43">
        <f>COS(Reals!A43)</f>
        <v>-0.92484485029628249</v>
      </c>
    </row>
    <row r="44" spans="1:1" x14ac:dyDescent="0.35">
      <c r="A44">
        <f>COS(Reals!A44)</f>
        <v>-0.74080234513684839</v>
      </c>
    </row>
    <row r="45" spans="1:1" x14ac:dyDescent="0.35">
      <c r="A45">
        <f>COS(Reals!A45)</f>
        <v>0.99975166381296354</v>
      </c>
    </row>
    <row r="46" spans="1:1" x14ac:dyDescent="0.35">
      <c r="A46">
        <f>COS(Reals!A46)</f>
        <v>0.25031879108763833</v>
      </c>
    </row>
    <row r="47" spans="1:1" x14ac:dyDescent="0.35">
      <c r="A47">
        <f>COS(Reals!A47)</f>
        <v>-0.2699273453833157</v>
      </c>
    </row>
    <row r="48" spans="1:1" x14ac:dyDescent="0.35">
      <c r="A48">
        <f>COS(Reals!A48)</f>
        <v>0.95392776409868152</v>
      </c>
    </row>
    <row r="49" spans="1:1" x14ac:dyDescent="0.35">
      <c r="A49">
        <f>COS(Reals!A49)</f>
        <v>0.79122826928019718</v>
      </c>
    </row>
    <row r="50" spans="1:1" x14ac:dyDescent="0.35">
      <c r="A50">
        <f>COS(Reals!A50)</f>
        <v>-0.99820874408923654</v>
      </c>
    </row>
    <row r="51" spans="1:1" x14ac:dyDescent="0.35">
      <c r="A51">
        <f>COS(Reals!A51)</f>
        <v>3.7045179354952398E-2</v>
      </c>
    </row>
    <row r="52" spans="1:1" x14ac:dyDescent="0.35">
      <c r="A52">
        <f>COS(Reals!A52)</f>
        <v>-7.6750604421518098E-2</v>
      </c>
    </row>
    <row r="53" spans="1:1" x14ac:dyDescent="0.35">
      <c r="A53">
        <f>COS(Reals!A53)</f>
        <v>-0.95374402424771221</v>
      </c>
    </row>
    <row r="54" spans="1:1" x14ac:dyDescent="0.35">
      <c r="A54">
        <f>COS(Reals!A54)</f>
        <v>-0.34589755702074049</v>
      </c>
    </row>
    <row r="55" spans="1:1" x14ac:dyDescent="0.35">
      <c r="A55">
        <f>COS(Reals!A55)</f>
        <v>-0.71878358749963533</v>
      </c>
    </row>
    <row r="56" spans="1:1" x14ac:dyDescent="0.35">
      <c r="A56">
        <f>COS(Reals!A56)</f>
        <v>0.71853816332001119</v>
      </c>
    </row>
    <row r="57" spans="1:1" x14ac:dyDescent="0.35">
      <c r="A57">
        <f>COS(Reals!A57)</f>
        <v>0.76329750494429294</v>
      </c>
    </row>
    <row r="58" spans="1:1" x14ac:dyDescent="0.35">
      <c r="A58">
        <f>COS(Reals!A58)</f>
        <v>0.34432518195805173</v>
      </c>
    </row>
    <row r="59" spans="1:1" x14ac:dyDescent="0.35">
      <c r="A59">
        <f>COS(Reals!A59)</f>
        <v>0.54969408846695522</v>
      </c>
    </row>
    <row r="60" spans="1:1" x14ac:dyDescent="0.35">
      <c r="A60">
        <f>COS(Reals!A60)</f>
        <v>-0.98362659858250157</v>
      </c>
    </row>
    <row r="61" spans="1:1" x14ac:dyDescent="0.35">
      <c r="A61">
        <f>COS(Reals!A61)</f>
        <v>0.87758256189037276</v>
      </c>
    </row>
    <row r="62" spans="1:1" x14ac:dyDescent="0.35">
      <c r="A62">
        <f>COS(Reals!A62)</f>
        <v>0.54030230586813977</v>
      </c>
    </row>
    <row r="63" spans="1:1" x14ac:dyDescent="0.35">
      <c r="A63">
        <f>COS(Reals!A63)</f>
        <v>-0.41614683654714241</v>
      </c>
    </row>
    <row r="64" spans="1:1" x14ac:dyDescent="0.35">
      <c r="A64">
        <f>COS(Reals!A64)</f>
        <v>0.87758256189037276</v>
      </c>
    </row>
    <row r="65" spans="1:1" x14ac:dyDescent="0.35">
      <c r="A65">
        <f>COS(Reals!A65)</f>
        <v>1</v>
      </c>
    </row>
    <row r="66" spans="1:1" x14ac:dyDescent="0.35">
      <c r="A66">
        <f>COS(Reals!A66)</f>
        <v>0.70710678118654757</v>
      </c>
    </row>
    <row r="67" spans="1:1" x14ac:dyDescent="0.35">
      <c r="A67">
        <f>COS(Reals!A67)</f>
        <v>0.50000000000000011</v>
      </c>
    </row>
    <row r="68" spans="1:1" x14ac:dyDescent="0.35">
      <c r="A68">
        <f>COS(Reals!A68)</f>
        <v>0.86602540378443871</v>
      </c>
    </row>
    <row r="69" spans="1:1" x14ac:dyDescent="0.35">
      <c r="A69">
        <f>COS(Reals!A69)</f>
        <v>-0.70710678118654746</v>
      </c>
    </row>
    <row r="70" spans="1:1" x14ac:dyDescent="0.35">
      <c r="A70">
        <f>COS(Reals!A70)</f>
        <v>0.86231887228768389</v>
      </c>
    </row>
    <row r="71" spans="1:1" x14ac:dyDescent="0.35">
      <c r="A71">
        <f>COS(Reals!A71)</f>
        <v>-0.99936080743821243</v>
      </c>
    </row>
    <row r="72" spans="1:1" x14ac:dyDescent="0.35">
      <c r="A72">
        <f>COS(Reals!A72)</f>
        <v>-0.90727038618167244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1988-791D-4667-B662-9D803026FF90}">
  <dimension ref="A1:A72"/>
  <sheetViews>
    <sheetView workbookViewId="0"/>
  </sheetViews>
  <sheetFormatPr defaultRowHeight="14.5" x14ac:dyDescent="0.35"/>
  <sheetData>
    <row r="1" spans="1:1" x14ac:dyDescent="0.35">
      <c r="A1">
        <f>TAN(Reals!A1)</f>
        <v>0.13120640025212482</v>
      </c>
    </row>
    <row r="2" spans="1:1" x14ac:dyDescent="0.35">
      <c r="A2">
        <f>TAN(Reals!A2)</f>
        <v>-2.0741912887883758</v>
      </c>
    </row>
    <row r="3" spans="1:1" x14ac:dyDescent="0.35">
      <c r="A3">
        <f>TAN(Reals!A3)</f>
        <v>-4.5338512721416429</v>
      </c>
    </row>
    <row r="4" spans="1:1" x14ac:dyDescent="0.35">
      <c r="A4">
        <f>TAN(Reals!A4)</f>
        <v>-0.89955455754921765</v>
      </c>
    </row>
    <row r="5" spans="1:1" x14ac:dyDescent="0.35">
      <c r="A5">
        <f>TAN(Reals!A5)</f>
        <v>-0.79475300697893148</v>
      </c>
    </row>
    <row r="6" spans="1:1" x14ac:dyDescent="0.35">
      <c r="A6">
        <f>TAN(Reals!A6)</f>
        <v>-2.7966038645689896E-2</v>
      </c>
    </row>
    <row r="7" spans="1:1" x14ac:dyDescent="0.35">
      <c r="A7">
        <f>TAN(Reals!A7)</f>
        <v>5.1698837668907718</v>
      </c>
    </row>
    <row r="8" spans="1:1" x14ac:dyDescent="0.35">
      <c r="A8">
        <f>TAN(Reals!A8)</f>
        <v>-622.30468627871846</v>
      </c>
    </row>
    <row r="9" spans="1:1" x14ac:dyDescent="0.35">
      <c r="A9">
        <f>TAN(Reals!A9)</f>
        <v>0.4132201092661269</v>
      </c>
    </row>
    <row r="10" spans="1:1" x14ac:dyDescent="0.35">
      <c r="A10">
        <f>TAN(Reals!A10)</f>
        <v>0.20260412885344989</v>
      </c>
    </row>
    <row r="11" spans="1:1" x14ac:dyDescent="0.35">
      <c r="A11">
        <f>TAN(Reals!A11)</f>
        <v>-0.71196859673930879</v>
      </c>
    </row>
    <row r="12" spans="1:1" x14ac:dyDescent="0.35">
      <c r="A12">
        <f>TAN(Reals!A12)</f>
        <v>8.2981364571892355E-2</v>
      </c>
    </row>
    <row r="13" spans="1:1" x14ac:dyDescent="0.35">
      <c r="A13">
        <f>TAN(Reals!A13)</f>
        <v>-0.48691199937830626</v>
      </c>
    </row>
    <row r="14" spans="1:1" x14ac:dyDescent="0.35">
      <c r="A14">
        <f>TAN(Reals!A14)</f>
        <v>9.0518462364190241E-2</v>
      </c>
    </row>
    <row r="15" spans="1:1" x14ac:dyDescent="0.35">
      <c r="A15">
        <f>TAN(Reals!A15)</f>
        <v>0.23830559981689661</v>
      </c>
    </row>
    <row r="16" spans="1:1" x14ac:dyDescent="0.35">
      <c r="A16">
        <f>TAN(Reals!A16)</f>
        <v>-0.14815060821629394</v>
      </c>
    </row>
    <row r="17" spans="1:1" x14ac:dyDescent="0.35">
      <c r="A17">
        <f>TAN(Reals!A17)</f>
        <v>-0.54350075752515792</v>
      </c>
    </row>
    <row r="18" spans="1:1" x14ac:dyDescent="0.35">
      <c r="A18">
        <f>TAN(Reals!A18)</f>
        <v>-5.509427751057534</v>
      </c>
    </row>
    <row r="19" spans="1:1" x14ac:dyDescent="0.35">
      <c r="A19">
        <f>TAN(Reals!A19)</f>
        <v>1.5668849210458382</v>
      </c>
    </row>
    <row r="20" spans="1:1" x14ac:dyDescent="0.35">
      <c r="A20">
        <f>TAN(Reals!A20)</f>
        <v>0.41315897896107523</v>
      </c>
    </row>
    <row r="21" spans="1:1" x14ac:dyDescent="0.35">
      <c r="A21">
        <f>TAN(Reals!A21)</f>
        <v>-131.75504401668633</v>
      </c>
    </row>
    <row r="22" spans="1:1" x14ac:dyDescent="0.35">
      <c r="A22">
        <f>TAN(Reals!A22)</f>
        <v>-2.3906583908621362</v>
      </c>
    </row>
    <row r="23" spans="1:1" x14ac:dyDescent="0.35">
      <c r="A23">
        <f>TAN(Reals!A23)</f>
        <v>38.958765065945727</v>
      </c>
    </row>
    <row r="24" spans="1:1" x14ac:dyDescent="0.35">
      <c r="A24">
        <f>TAN(Reals!A24)</f>
        <v>0.10275968982937904</v>
      </c>
    </row>
    <row r="25" spans="1:1" x14ac:dyDescent="0.35">
      <c r="A25">
        <f>TAN(Reals!A25)</f>
        <v>-1.0497239022782676</v>
      </c>
    </row>
    <row r="26" spans="1:1" x14ac:dyDescent="0.35">
      <c r="A26">
        <f>TAN(Reals!A26)</f>
        <v>-30.812253436488913</v>
      </c>
    </row>
    <row r="27" spans="1:1" x14ac:dyDescent="0.35">
      <c r="A27">
        <f>TAN(Reals!A27)</f>
        <v>3.3464426105699339</v>
      </c>
    </row>
    <row r="28" spans="1:1" x14ac:dyDescent="0.35">
      <c r="A28">
        <f>TAN(Reals!A28)</f>
        <v>-3.2616370299574954E-2</v>
      </c>
    </row>
    <row r="29" spans="1:1" x14ac:dyDescent="0.35">
      <c r="A29">
        <f>TAN(Reals!A29)</f>
        <v>-3.5079739651701387</v>
      </c>
    </row>
    <row r="30" spans="1:1" x14ac:dyDescent="0.35">
      <c r="A30">
        <f>TAN(Reals!A30)</f>
        <v>7.2776640887032673E-2</v>
      </c>
    </row>
    <row r="31" spans="1:1" x14ac:dyDescent="0.35">
      <c r="A31">
        <f>TAN(Reals!A31)</f>
        <v>13.915094956703173</v>
      </c>
    </row>
    <row r="32" spans="1:1" x14ac:dyDescent="0.35">
      <c r="A32">
        <f>TAN(Reals!A32)</f>
        <v>-1.0047046308719343</v>
      </c>
    </row>
    <row r="33" spans="1:1" x14ac:dyDescent="0.35">
      <c r="A33">
        <f>TAN(Reals!A33)</f>
        <v>1.6087299131666621</v>
      </c>
    </row>
    <row r="34" spans="1:1" x14ac:dyDescent="0.35">
      <c r="A34">
        <f>TAN(Reals!A34)</f>
        <v>2.3741848435217251E-2</v>
      </c>
    </row>
    <row r="35" spans="1:1" x14ac:dyDescent="0.35">
      <c r="A35">
        <f>TAN(Reals!A35)</f>
        <v>-9.0281335664699913</v>
      </c>
    </row>
    <row r="36" spans="1:1" x14ac:dyDescent="0.35">
      <c r="A36">
        <f>TAN(Reals!A36)</f>
        <v>-347.46291253553289</v>
      </c>
    </row>
    <row r="37" spans="1:1" x14ac:dyDescent="0.35">
      <c r="A37">
        <f>TAN(Reals!A37)</f>
        <v>-0.18749853014120499</v>
      </c>
    </row>
    <row r="38" spans="1:1" x14ac:dyDescent="0.35">
      <c r="A38">
        <f>TAN(Reals!A38)</f>
        <v>-11.840691819473088</v>
      </c>
    </row>
    <row r="39" spans="1:1" x14ac:dyDescent="0.35">
      <c r="A39">
        <f>TAN(Reals!A39)</f>
        <v>-0.33445790652285379</v>
      </c>
    </row>
    <row r="40" spans="1:1" x14ac:dyDescent="0.35">
      <c r="A40">
        <f>TAN(Reals!A40)</f>
        <v>1.2352692086467907</v>
      </c>
    </row>
    <row r="41" spans="1:1" x14ac:dyDescent="0.35">
      <c r="A41">
        <f>TAN(Reals!A41)</f>
        <v>-8.1766752907255835</v>
      </c>
    </row>
    <row r="42" spans="1:1" x14ac:dyDescent="0.35">
      <c r="A42">
        <f>TAN(Reals!A42)</f>
        <v>0.41030597736951319</v>
      </c>
    </row>
    <row r="43" spans="1:1" x14ac:dyDescent="0.35">
      <c r="A43">
        <f>TAN(Reals!A43)</f>
        <v>-0.41125231359138126</v>
      </c>
    </row>
    <row r="44" spans="1:1" x14ac:dyDescent="0.35">
      <c r="A44">
        <f>TAN(Reals!A44)</f>
        <v>-0.90675073640996928</v>
      </c>
    </row>
    <row r="45" spans="1:1" x14ac:dyDescent="0.35">
      <c r="A45">
        <f>TAN(Reals!A45)</f>
        <v>2.2290299413371822E-2</v>
      </c>
    </row>
    <row r="46" spans="1:1" x14ac:dyDescent="0.35">
      <c r="A46">
        <f>TAN(Reals!A46)</f>
        <v>-3.8677218951740824</v>
      </c>
    </row>
    <row r="47" spans="1:1" x14ac:dyDescent="0.35">
      <c r="A47">
        <f>TAN(Reals!A47)</f>
        <v>3.5671846853807936</v>
      </c>
    </row>
    <row r="48" spans="1:1" x14ac:dyDescent="0.35">
      <c r="A48">
        <f>TAN(Reals!A48)</f>
        <v>0.31452734391844084</v>
      </c>
    </row>
    <row r="49" spans="1:1" x14ac:dyDescent="0.35">
      <c r="A49">
        <f>TAN(Reals!A49)</f>
        <v>0.77287545934189716</v>
      </c>
    </row>
    <row r="50" spans="1:1" x14ac:dyDescent="0.35">
      <c r="A50">
        <f>TAN(Reals!A50)</f>
        <v>5.9934636530186436E-2</v>
      </c>
    </row>
    <row r="51" spans="1:1" x14ac:dyDescent="0.35">
      <c r="A51">
        <f>TAN(Reals!A51)</f>
        <v>-26.975536605994421</v>
      </c>
    </row>
    <row r="52" spans="1:1" x14ac:dyDescent="0.35">
      <c r="A52">
        <f>TAN(Reals!A52)</f>
        <v>-12.990781370067694</v>
      </c>
    </row>
    <row r="53" spans="1:1" x14ac:dyDescent="0.35">
      <c r="A53">
        <f>TAN(Reals!A53)</f>
        <v>-0.31519979387451308</v>
      </c>
    </row>
    <row r="54" spans="1:1" x14ac:dyDescent="0.35">
      <c r="A54">
        <f>TAN(Reals!A54)</f>
        <v>2.7125727417120302</v>
      </c>
    </row>
    <row r="55" spans="1:1" x14ac:dyDescent="0.35">
      <c r="A55">
        <f>TAN(Reals!A55)</f>
        <v>-0.96723672705287289</v>
      </c>
    </row>
    <row r="56" spans="1:1" x14ac:dyDescent="0.35">
      <c r="A56">
        <f>TAN(Reals!A56)</f>
        <v>-0.96792010222412861</v>
      </c>
    </row>
    <row r="57" spans="1:1" x14ac:dyDescent="0.35">
      <c r="A57">
        <f>TAN(Reals!A57)</f>
        <v>0.84638970385915635</v>
      </c>
    </row>
    <row r="58" spans="1:1" x14ac:dyDescent="0.35">
      <c r="A58">
        <f>TAN(Reals!A58)</f>
        <v>2.7266389449517563</v>
      </c>
    </row>
    <row r="59" spans="1:1" x14ac:dyDescent="0.35">
      <c r="A59">
        <f>TAN(Reals!A59)</f>
        <v>1.5196925899973412</v>
      </c>
    </row>
    <row r="60" spans="1:1" x14ac:dyDescent="0.35">
      <c r="A60">
        <f>TAN(Reals!A60)</f>
        <v>-0.18321842778323591</v>
      </c>
    </row>
    <row r="61" spans="1:1" x14ac:dyDescent="0.35">
      <c r="A61">
        <f>TAN(Reals!A61)</f>
        <v>0.54630248984379048</v>
      </c>
    </row>
    <row r="62" spans="1:1" x14ac:dyDescent="0.35">
      <c r="A62">
        <f>TAN(Reals!A62)</f>
        <v>1.5574077246549023</v>
      </c>
    </row>
    <row r="63" spans="1:1" x14ac:dyDescent="0.35">
      <c r="A63">
        <f>TAN(Reals!A63)</f>
        <v>-2.1850398632615189</v>
      </c>
    </row>
    <row r="64" spans="1:1" x14ac:dyDescent="0.35">
      <c r="A64">
        <f>TAN(Reals!A64)</f>
        <v>-0.54630248984379048</v>
      </c>
    </row>
    <row r="65" spans="1:1" x14ac:dyDescent="0.35">
      <c r="A65">
        <f>TAN(Reals!A65)</f>
        <v>1E-8</v>
      </c>
    </row>
    <row r="66" spans="1:1" x14ac:dyDescent="0.35">
      <c r="A66">
        <f>TAN(Reals!A66)</f>
        <v>0.99999999999999989</v>
      </c>
    </row>
    <row r="67" spans="1:1" x14ac:dyDescent="0.35">
      <c r="A67">
        <f>TAN(Reals!A67)</f>
        <v>1.7320508075688767</v>
      </c>
    </row>
    <row r="68" spans="1:1" x14ac:dyDescent="0.35">
      <c r="A68">
        <f>TAN(Reals!A68)</f>
        <v>0.57735026918962573</v>
      </c>
    </row>
    <row r="69" spans="1:1" x14ac:dyDescent="0.35">
      <c r="A69">
        <f>TAN(Reals!A69)</f>
        <v>-1.0000000000000002</v>
      </c>
    </row>
    <row r="70" spans="1:1" x14ac:dyDescent="0.35">
      <c r="A70">
        <f>TAN(Reals!A70)</f>
        <v>-0.58721391515692911</v>
      </c>
    </row>
    <row r="71" spans="1:1" x14ac:dyDescent="0.35">
      <c r="A71">
        <f>TAN(Reals!A71)</f>
        <v>-3.5771662952900372E-2</v>
      </c>
    </row>
    <row r="72" spans="1:1" x14ac:dyDescent="0.35">
      <c r="A72">
        <f>TAN(Reals!A72)</f>
        <v>-0.46353082785038308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FF01-3E1A-4144-832E-2DD0CBA9259E}">
  <dimension ref="A1:A72"/>
  <sheetViews>
    <sheetView workbookViewId="0"/>
  </sheetViews>
  <sheetFormatPr defaultRowHeight="14.5" x14ac:dyDescent="0.35"/>
  <sheetData>
    <row r="1" spans="1:1" x14ac:dyDescent="0.35">
      <c r="A1">
        <f>ATAN(Reals!A1)</f>
        <v>-1.4096755510812216</v>
      </c>
    </row>
    <row r="2" spans="1:1" x14ac:dyDescent="0.35">
      <c r="A2">
        <f>ATAN(Reals!A2)</f>
        <v>-1.3403935298693714</v>
      </c>
    </row>
    <row r="3" spans="1:1" x14ac:dyDescent="0.35">
      <c r="A3">
        <f>ATAN(Reals!A3)</f>
        <v>-1.4405938307334099</v>
      </c>
    </row>
    <row r="4" spans="1:1" x14ac:dyDescent="0.35">
      <c r="A4">
        <f>ATAN(Reals!A4)</f>
        <v>-1.3181896915212734</v>
      </c>
    </row>
    <row r="5" spans="1:1" x14ac:dyDescent="0.35">
      <c r="A5">
        <f>ATAN(Reals!A5)</f>
        <v>-1.3143200043662573</v>
      </c>
    </row>
    <row r="6" spans="1:1" x14ac:dyDescent="0.35">
      <c r="A6">
        <f>ATAN(Reals!A6)</f>
        <v>-1.4136528594038473</v>
      </c>
    </row>
    <row r="7" spans="1:1" x14ac:dyDescent="0.35">
      <c r="A7">
        <f>ATAN(Reals!A7)</f>
        <v>0.94363198787118829</v>
      </c>
    </row>
    <row r="8" spans="1:1" x14ac:dyDescent="0.35">
      <c r="A8">
        <f>ATAN(Reals!A8)</f>
        <v>1.3617609048148036</v>
      </c>
    </row>
    <row r="9" spans="1:1" x14ac:dyDescent="0.35">
      <c r="A9">
        <f>ATAN(Reals!A9)</f>
        <v>-1.4026580717678629</v>
      </c>
    </row>
    <row r="10" spans="1:1" x14ac:dyDescent="0.35">
      <c r="A10">
        <f>ATAN(Reals!A10)</f>
        <v>0.19729774190812521</v>
      </c>
    </row>
    <row r="11" spans="1:1" x14ac:dyDescent="0.35">
      <c r="A11">
        <f>ATAN(Reals!A11)</f>
        <v>-1.4269099288738254</v>
      </c>
    </row>
    <row r="12" spans="1:1" x14ac:dyDescent="0.35">
      <c r="A12">
        <f>ATAN(Reals!A12)</f>
        <v>1.4660022777123971</v>
      </c>
    </row>
    <row r="13" spans="1:1" x14ac:dyDescent="0.35">
      <c r="A13">
        <f>ATAN(Reals!A13)</f>
        <v>-1.2994703887468595</v>
      </c>
    </row>
    <row r="14" spans="1:1" x14ac:dyDescent="0.35">
      <c r="A14">
        <f>ATAN(Reals!A14)</f>
        <v>9.0028425424365482E-2</v>
      </c>
    </row>
    <row r="15" spans="1:1" x14ac:dyDescent="0.35">
      <c r="A15">
        <f>ATAN(Reals!A15)</f>
        <v>1.2827840432908169</v>
      </c>
    </row>
    <row r="16" spans="1:1" x14ac:dyDescent="0.35">
      <c r="A16">
        <f>ATAN(Reals!A16)</f>
        <v>-1.2756061435868016</v>
      </c>
    </row>
    <row r="17" spans="1:1" x14ac:dyDescent="0.35">
      <c r="A17">
        <f>ATAN(Reals!A17)</f>
        <v>-0.46191787558232805</v>
      </c>
    </row>
    <row r="18" spans="1:1" x14ac:dyDescent="0.35">
      <c r="A18">
        <f>ATAN(Reals!A18)</f>
        <v>1.4469551185296605</v>
      </c>
    </row>
    <row r="19" spans="1:1" x14ac:dyDescent="0.35">
      <c r="A19">
        <f>ATAN(Reals!A19)</f>
        <v>0.78677365235864349</v>
      </c>
    </row>
    <row r="20" spans="1:1" x14ac:dyDescent="0.35">
      <c r="A20">
        <f>ATAN(Reals!A20)</f>
        <v>-1.4026595340606738</v>
      </c>
    </row>
    <row r="21" spans="1:1" x14ac:dyDescent="0.35">
      <c r="A21">
        <f>ATAN(Reals!A21)</f>
        <v>1.4442747508832843</v>
      </c>
    </row>
    <row r="22" spans="1:1" x14ac:dyDescent="0.35">
      <c r="A22">
        <f>ATAN(Reals!A22)</f>
        <v>-1.3431285017120733</v>
      </c>
    </row>
    <row r="23" spans="1:1" x14ac:dyDescent="0.35">
      <c r="A23">
        <f>ATAN(Reals!A23)</f>
        <v>-1.3627917782888113</v>
      </c>
    </row>
    <row r="24" spans="1:1" x14ac:dyDescent="0.35">
      <c r="A24">
        <f>ATAN(Reals!A24)</f>
        <v>0.10204458386044839</v>
      </c>
    </row>
    <row r="25" spans="1:1" x14ac:dyDescent="0.35">
      <c r="A25">
        <f>ATAN(Reals!A25)</f>
        <v>1.1656882894012475</v>
      </c>
    </row>
    <row r="26" spans="1:1" x14ac:dyDescent="0.35">
      <c r="A26">
        <f>ATAN(Reals!A26)</f>
        <v>1.3630805491345708</v>
      </c>
    </row>
    <row r="27" spans="1:1" x14ac:dyDescent="0.35">
      <c r="A27">
        <f>ATAN(Reals!A27)</f>
        <v>-1.3735071429997396</v>
      </c>
    </row>
    <row r="28" spans="1:1" x14ac:dyDescent="0.35">
      <c r="A28">
        <f>ATAN(Reals!A28)</f>
        <v>-1.4654502685695421</v>
      </c>
    </row>
    <row r="29" spans="1:1" x14ac:dyDescent="0.35">
      <c r="A29">
        <f>ATAN(Reals!A29)</f>
        <v>-1.4395640556366065</v>
      </c>
    </row>
    <row r="30" spans="1:1" x14ac:dyDescent="0.35">
      <c r="A30">
        <f>ATAN(Reals!A30)</f>
        <v>1.2691733535314518</v>
      </c>
    </row>
    <row r="31" spans="1:1" x14ac:dyDescent="0.35">
      <c r="A31">
        <f>ATAN(Reals!A31)</f>
        <v>-1.445288062152557</v>
      </c>
    </row>
    <row r="32" spans="1:1" x14ac:dyDescent="0.35">
      <c r="A32">
        <f>ATAN(Reals!A32)</f>
        <v>-1.3215907993840099</v>
      </c>
    </row>
    <row r="33" spans="1:1" x14ac:dyDescent="0.35">
      <c r="A33">
        <f>ATAN(Reals!A33)</f>
        <v>-1.3832219166250443</v>
      </c>
    </row>
    <row r="34" spans="1:1" x14ac:dyDescent="0.35">
      <c r="A34">
        <f>ATAN(Reals!A34)</f>
        <v>1.4653521322636212</v>
      </c>
    </row>
    <row r="35" spans="1:1" x14ac:dyDescent="0.35">
      <c r="A35">
        <f>ATAN(Reals!A35)</f>
        <v>-1.4423692932318579</v>
      </c>
    </row>
    <row r="36" spans="1:1" x14ac:dyDescent="0.35">
      <c r="A36">
        <f>ATAN(Reals!A36)</f>
        <v>1.3618156267999402</v>
      </c>
    </row>
    <row r="37" spans="1:1" x14ac:dyDescent="0.35">
      <c r="A37">
        <f>ATAN(Reals!A37)</f>
        <v>1.4629842261474195</v>
      </c>
    </row>
    <row r="38" spans="1:1" x14ac:dyDescent="0.35">
      <c r="A38">
        <f>ATAN(Reals!A38)</f>
        <v>1.4454838420063141</v>
      </c>
    </row>
    <row r="39" spans="1:1" x14ac:dyDescent="0.35">
      <c r="A39">
        <f>ATAN(Reals!A39)</f>
        <v>-1.4205582560782031</v>
      </c>
    </row>
    <row r="40" spans="1:1" x14ac:dyDescent="0.35">
      <c r="A40">
        <f>ATAN(Reals!A40)</f>
        <v>0.7274106740672448</v>
      </c>
    </row>
    <row r="41" spans="1:1" x14ac:dyDescent="0.35">
      <c r="A41">
        <f>ATAN(Reals!A41)</f>
        <v>-0.96675728641567416</v>
      </c>
    </row>
    <row r="42" spans="1:1" x14ac:dyDescent="0.35">
      <c r="A42">
        <f>ATAN(Reals!A42)</f>
        <v>1.4692529506435807</v>
      </c>
    </row>
    <row r="43" spans="1:1" x14ac:dyDescent="0.35">
      <c r="A43">
        <f>ATAN(Reals!A43)</f>
        <v>1.460559570710404</v>
      </c>
    </row>
    <row r="44" spans="1:1" x14ac:dyDescent="0.35">
      <c r="A44">
        <f>ATAN(Reals!A44)</f>
        <v>-1.3184370223814563</v>
      </c>
    </row>
    <row r="45" spans="1:1" x14ac:dyDescent="0.35">
      <c r="A45">
        <f>ATAN(Reals!A45)</f>
        <v>1.4135138183840885</v>
      </c>
    </row>
    <row r="46" spans="1:1" x14ac:dyDescent="0.35">
      <c r="A46">
        <f>ATAN(Reals!A46)</f>
        <v>-1.4399854725281624</v>
      </c>
    </row>
    <row r="47" spans="1:1" x14ac:dyDescent="0.35">
      <c r="A47">
        <f>ATAN(Reals!A47)</f>
        <v>-1.0739104253161915</v>
      </c>
    </row>
    <row r="48" spans="1:1" x14ac:dyDescent="0.35">
      <c r="A48">
        <f>ATAN(Reals!A48)</f>
        <v>0.29579128513894509</v>
      </c>
    </row>
    <row r="49" spans="1:1" x14ac:dyDescent="0.35">
      <c r="A49">
        <f>ATAN(Reals!A49)</f>
        <v>1.4277128342546099</v>
      </c>
    </row>
    <row r="50" spans="1:1" x14ac:dyDescent="0.35">
      <c r="A50">
        <f>ATAN(Reals!A50)</f>
        <v>-1.2570229697943003</v>
      </c>
    </row>
    <row r="51" spans="1:1" x14ac:dyDescent="0.35">
      <c r="A51">
        <f>ATAN(Reals!A51)</f>
        <v>-0.99301651621759945</v>
      </c>
    </row>
    <row r="52" spans="1:1" x14ac:dyDescent="0.35">
      <c r="A52">
        <f>ATAN(Reals!A52)</f>
        <v>1.0252930495500454</v>
      </c>
    </row>
    <row r="53" spans="1:1" x14ac:dyDescent="0.35">
      <c r="A53">
        <f>ATAN(Reals!A53)</f>
        <v>1.4615767875061305</v>
      </c>
    </row>
    <row r="54" spans="1:1" x14ac:dyDescent="0.35">
      <c r="A54">
        <f>ATAN(Reals!A54)</f>
        <v>1.3452976606540148</v>
      </c>
    </row>
    <row r="55" spans="1:1" x14ac:dyDescent="0.35">
      <c r="A55">
        <f>ATAN(Reals!A55)</f>
        <v>1.4557798359295622</v>
      </c>
    </row>
    <row r="56" spans="1:1" x14ac:dyDescent="0.35">
      <c r="A56">
        <f>ATAN(Reals!A56)</f>
        <v>1.3913925000163534</v>
      </c>
    </row>
    <row r="57" spans="1:1" x14ac:dyDescent="0.35">
      <c r="A57">
        <f>ATAN(Reals!A57)</f>
        <v>0.61233111288766839</v>
      </c>
    </row>
    <row r="58" spans="1:1" x14ac:dyDescent="0.35">
      <c r="A58">
        <f>ATAN(Reals!A58)</f>
        <v>-1.3758289538961688</v>
      </c>
    </row>
    <row r="59" spans="1:1" x14ac:dyDescent="0.35">
      <c r="A59">
        <f>ATAN(Reals!A59)</f>
        <v>1.4341393645047757</v>
      </c>
    </row>
    <row r="60" spans="1:1" x14ac:dyDescent="0.35">
      <c r="A60">
        <f>ATAN(Reals!A60)</f>
        <v>1.4630321158687996</v>
      </c>
    </row>
    <row r="61" spans="1:1" x14ac:dyDescent="0.35">
      <c r="A61">
        <f>ATAN(Reals!A61)</f>
        <v>0.46364760900080609</v>
      </c>
    </row>
    <row r="62" spans="1:1" x14ac:dyDescent="0.35">
      <c r="A62">
        <f>ATAN(Reals!A62)</f>
        <v>0.78539816339744828</v>
      </c>
    </row>
    <row r="63" spans="1:1" x14ac:dyDescent="0.35">
      <c r="A63">
        <f>ATAN(Reals!A63)</f>
        <v>1.1071487177940904</v>
      </c>
    </row>
    <row r="64" spans="1:1" x14ac:dyDescent="0.35">
      <c r="A64">
        <f>ATAN(Reals!A64)</f>
        <v>-0.46364760900080609</v>
      </c>
    </row>
    <row r="65" spans="1:1" x14ac:dyDescent="0.35">
      <c r="A65">
        <f>ATAN(Reals!A65)</f>
        <v>1E-8</v>
      </c>
    </row>
    <row r="66" spans="1:1" x14ac:dyDescent="0.35">
      <c r="A66">
        <f>ATAN(Reals!A66)</f>
        <v>0.66577375002835382</v>
      </c>
    </row>
    <row r="67" spans="1:1" x14ac:dyDescent="0.35">
      <c r="A67">
        <f>ATAN(Reals!A67)</f>
        <v>0.80844879263002201</v>
      </c>
    </row>
    <row r="68" spans="1:1" x14ac:dyDescent="0.35">
      <c r="A68">
        <f>ATAN(Reals!A68)</f>
        <v>0.48234790710102493</v>
      </c>
    </row>
    <row r="69" spans="1:1" x14ac:dyDescent="0.35">
      <c r="A69">
        <f>ATAN(Reals!A69)</f>
        <v>1.1694228248157563</v>
      </c>
    </row>
    <row r="70" spans="1:1" x14ac:dyDescent="0.35">
      <c r="A70">
        <f>ATAN(Reals!A70)</f>
        <v>1.5607966601082315</v>
      </c>
    </row>
    <row r="71" spans="1:1" x14ac:dyDescent="0.35">
      <c r="A71">
        <f>ATAN(Reals!A71)</f>
        <v>1.5707863267948969</v>
      </c>
    </row>
    <row r="72" spans="1:1" x14ac:dyDescent="0.35">
      <c r="A72">
        <f>ATAN(Reals!A72)</f>
        <v>1.5707962267948967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8047-0773-4D02-ADF8-54BF2C2AE681}">
  <dimension ref="A1:A72"/>
  <sheetViews>
    <sheetView workbookViewId="0"/>
  </sheetViews>
  <sheetFormatPr defaultRowHeight="14.5" x14ac:dyDescent="0.35"/>
  <sheetData>
    <row r="1" spans="1:1" x14ac:dyDescent="0.35">
      <c r="A1">
        <f>SINH(Reals!A1)</f>
        <v>-234.99692480461894</v>
      </c>
    </row>
    <row r="2" spans="1:1" x14ac:dyDescent="0.35">
      <c r="A2">
        <f>SINH(Reals!A2)</f>
        <v>-35.509688991561099</v>
      </c>
    </row>
    <row r="3" spans="1:1" x14ac:dyDescent="0.35">
      <c r="A3">
        <f>SINH(Reals!A3)</f>
        <v>-1036.6471982122969</v>
      </c>
    </row>
    <row r="4" spans="1:1" x14ac:dyDescent="0.35">
      <c r="A4">
        <f>SINH(Reals!A4)</f>
        <v>-24.060773551748138</v>
      </c>
    </row>
    <row r="5" spans="1:1" x14ac:dyDescent="0.35">
      <c r="A5">
        <f>SINH(Reals!A5)</f>
        <v>-22.634860707549446</v>
      </c>
    </row>
    <row r="6" spans="1:1" x14ac:dyDescent="0.35">
      <c r="A6">
        <f>SINH(Reals!A6)</f>
        <v>-275.33638828257341</v>
      </c>
    </row>
    <row r="7" spans="1:1" x14ac:dyDescent="0.35">
      <c r="A7">
        <f>SINH(Reals!A7)</f>
        <v>1.8610867236858022</v>
      </c>
    </row>
    <row r="8" spans="1:1" x14ac:dyDescent="0.35">
      <c r="A8">
        <f>SINH(Reals!A8)</f>
        <v>55.74391656730095</v>
      </c>
    </row>
    <row r="9" spans="1:1" x14ac:dyDescent="0.35">
      <c r="A9">
        <f>SINH(Reals!A9)</f>
        <v>-180.94256711319434</v>
      </c>
    </row>
    <row r="10" spans="1:1" x14ac:dyDescent="0.35">
      <c r="A10">
        <f>SINH(Reals!A10)</f>
        <v>0.20123223354877601</v>
      </c>
    </row>
    <row r="11" spans="1:1" x14ac:dyDescent="0.35">
      <c r="A11">
        <f>SINH(Reals!A11)</f>
        <v>-497.07981716463632</v>
      </c>
    </row>
    <row r="12" spans="1:1" x14ac:dyDescent="0.35">
      <c r="A12">
        <f>SINH(Reals!A12)</f>
        <v>6730.6194064342135</v>
      </c>
    </row>
    <row r="13" spans="1:1" x14ac:dyDescent="0.35">
      <c r="A13">
        <f>SINH(Reals!A13)</f>
        <v>-18.188929930297164</v>
      </c>
    </row>
    <row r="14" spans="1:1" x14ac:dyDescent="0.35">
      <c r="A14">
        <f>SINH(Reals!A14)</f>
        <v>9.039510362274078E-2</v>
      </c>
    </row>
    <row r="15" spans="1:1" x14ac:dyDescent="0.35">
      <c r="A15">
        <f>SINH(Reals!A15)</f>
        <v>14.602860124298683</v>
      </c>
    </row>
    <row r="16" spans="1:1" x14ac:dyDescent="0.35">
      <c r="A16">
        <f>SINH(Reals!A16)</f>
        <v>-13.384987327262358</v>
      </c>
    </row>
    <row r="17" spans="1:1" x14ac:dyDescent="0.35">
      <c r="A17">
        <f>SINH(Reals!A17)</f>
        <v>-0.51866050854976553</v>
      </c>
    </row>
    <row r="18" spans="1:1" x14ac:dyDescent="0.35">
      <c r="A18">
        <f>SINH(Reals!A18)</f>
        <v>1541.3079601435309</v>
      </c>
    </row>
    <row r="19" spans="1:1" x14ac:dyDescent="0.35">
      <c r="A19">
        <f>SINH(Reals!A19)</f>
        <v>1.1794564885877481</v>
      </c>
    </row>
    <row r="20" spans="1:1" x14ac:dyDescent="0.35">
      <c r="A20">
        <f>SINH(Reals!A20)</f>
        <v>-180.95201555443106</v>
      </c>
    </row>
    <row r="21" spans="1:1" x14ac:dyDescent="0.35">
      <c r="A21">
        <f>SINH(Reals!A21)</f>
        <v>1297.7976630714368</v>
      </c>
    </row>
    <row r="22" spans="1:1" x14ac:dyDescent="0.35">
      <c r="A22">
        <f>SINH(Reals!A22)</f>
        <v>-37.44547742310472</v>
      </c>
    </row>
    <row r="23" spans="1:1" x14ac:dyDescent="0.35">
      <c r="A23">
        <f>SINH(Reals!A23)</f>
        <v>-57.101344600570059</v>
      </c>
    </row>
    <row r="24" spans="1:1" x14ac:dyDescent="0.35">
      <c r="A24">
        <f>SINH(Reals!A24)</f>
        <v>0.10257931769834565</v>
      </c>
    </row>
    <row r="25" spans="1:1" x14ac:dyDescent="0.35">
      <c r="A25">
        <f>SINH(Reals!A25)</f>
        <v>5.1003986304713722</v>
      </c>
    </row>
    <row r="26" spans="1:1" x14ac:dyDescent="0.35">
      <c r="A26">
        <f>SINH(Reals!A26)</f>
        <v>57.489906921603335</v>
      </c>
    </row>
    <row r="27" spans="1:1" x14ac:dyDescent="0.35">
      <c r="A27">
        <f>SINH(Reals!A27)</f>
        <v>-74.408852378377048</v>
      </c>
    </row>
    <row r="28" spans="1:1" x14ac:dyDescent="0.35">
      <c r="A28">
        <f>SINH(Reals!A28)</f>
        <v>-6401.1669311517817</v>
      </c>
    </row>
    <row r="29" spans="1:1" x14ac:dyDescent="0.35">
      <c r="A29">
        <f>SINH(Reals!A29)</f>
        <v>-975.68040165607022</v>
      </c>
    </row>
    <row r="30" spans="1:1" x14ac:dyDescent="0.35">
      <c r="A30">
        <f>SINH(Reals!A30)</f>
        <v>12.422108516670308</v>
      </c>
    </row>
    <row r="31" spans="1:1" x14ac:dyDescent="0.35">
      <c r="A31">
        <f>SINH(Reals!A31)</f>
        <v>-1383.7817020473794</v>
      </c>
    </row>
    <row r="32" spans="1:1" x14ac:dyDescent="0.35">
      <c r="A32">
        <f>SINH(Reals!A32)</f>
        <v>-25.426805878371635</v>
      </c>
    </row>
    <row r="33" spans="1:1" x14ac:dyDescent="0.35">
      <c r="A33">
        <f>SINH(Reals!A33)</f>
        <v>-97.064135128826479</v>
      </c>
    </row>
    <row r="34" spans="1:1" x14ac:dyDescent="0.35">
      <c r="A34">
        <f>SINH(Reals!A34)</f>
        <v>6344.6560017967977</v>
      </c>
    </row>
    <row r="35" spans="1:1" x14ac:dyDescent="0.35">
      <c r="A35">
        <f>SINH(Reals!A35)</f>
        <v>-1153.4573245580079</v>
      </c>
    </row>
    <row r="36" spans="1:1" x14ac:dyDescent="0.35">
      <c r="A36">
        <f>SINH(Reals!A36)</f>
        <v>55.814827355997018</v>
      </c>
    </row>
    <row r="37" spans="1:1" x14ac:dyDescent="0.35">
      <c r="A37">
        <f>SINH(Reals!A37)</f>
        <v>5147.5916356658372</v>
      </c>
    </row>
    <row r="38" spans="1:1" x14ac:dyDescent="0.35">
      <c r="A38">
        <f>SINH(Reals!A38)</f>
        <v>1401.2064762446125</v>
      </c>
    </row>
    <row r="39" spans="1:1" x14ac:dyDescent="0.35">
      <c r="A39">
        <f>SINH(Reals!A39)</f>
        <v>-369.73947147667263</v>
      </c>
    </row>
    <row r="40" spans="1:1" x14ac:dyDescent="0.35">
      <c r="A40">
        <f>SINH(Reals!A40)</f>
        <v>1.0126143940404446</v>
      </c>
    </row>
    <row r="41" spans="1:1" x14ac:dyDescent="0.35">
      <c r="A41">
        <f>SINH(Reals!A41)</f>
        <v>-2.0122524795686507</v>
      </c>
    </row>
    <row r="42" spans="1:1" x14ac:dyDescent="0.35">
      <c r="A42">
        <f>SINH(Reals!A42)</f>
        <v>9145.2502455092654</v>
      </c>
    </row>
    <row r="43" spans="1:1" x14ac:dyDescent="0.35">
      <c r="A43">
        <f>SINH(Reals!A43)</f>
        <v>4194.2168371979387</v>
      </c>
    </row>
    <row r="44" spans="1:1" x14ac:dyDescent="0.35">
      <c r="A44">
        <f>SINH(Reals!A44)</f>
        <v>-24.15640634976948</v>
      </c>
    </row>
    <row r="45" spans="1:1" x14ac:dyDescent="0.35">
      <c r="A45">
        <f>SINH(Reals!A45)</f>
        <v>273.77905161298139</v>
      </c>
    </row>
    <row r="46" spans="1:1" x14ac:dyDescent="0.35">
      <c r="A46">
        <f>SINH(Reals!A46)</f>
        <v>-1000.0694117125423</v>
      </c>
    </row>
    <row r="47" spans="1:1" x14ac:dyDescent="0.35">
      <c r="A47">
        <f>SINH(Reals!A47)</f>
        <v>-3.0821647742510208</v>
      </c>
    </row>
    <row r="48" spans="1:1" x14ac:dyDescent="0.35">
      <c r="A48">
        <f>SINH(Reals!A48)</f>
        <v>0.30946898197659189</v>
      </c>
    </row>
    <row r="49" spans="1:1" x14ac:dyDescent="0.35">
      <c r="A49">
        <f>SINH(Reals!A49)</f>
        <v>516.98743687397337</v>
      </c>
    </row>
    <row r="50" spans="1:1" x14ac:dyDescent="0.35">
      <c r="A50">
        <f>SINH(Reals!A50)</f>
        <v>-10.875094532239215</v>
      </c>
    </row>
    <row r="51" spans="1:1" x14ac:dyDescent="0.35">
      <c r="A51">
        <f>SINH(Reals!A51)</f>
        <v>-2.2098833771646054</v>
      </c>
    </row>
    <row r="52" spans="1:1" x14ac:dyDescent="0.35">
      <c r="A52">
        <f>SINH(Reals!A52)</f>
        <v>2.5010538990709588</v>
      </c>
    </row>
    <row r="53" spans="1:1" x14ac:dyDescent="0.35">
      <c r="A53">
        <f>SINH(Reals!A53)</f>
        <v>4565.5222755797568</v>
      </c>
    </row>
    <row r="54" spans="1:1" x14ac:dyDescent="0.35">
      <c r="A54">
        <f>SINH(Reals!A54)</f>
        <v>39.090638469420462</v>
      </c>
    </row>
    <row r="55" spans="1:1" x14ac:dyDescent="0.35">
      <c r="A55">
        <f>SINH(Reals!A55)</f>
        <v>2872.3492007732593</v>
      </c>
    </row>
    <row r="56" spans="1:1" x14ac:dyDescent="0.35">
      <c r="A56">
        <f>SINH(Reals!A56)</f>
        <v>124.07965079713335</v>
      </c>
    </row>
    <row r="57" spans="1:1" x14ac:dyDescent="0.35">
      <c r="A57">
        <f>SINH(Reals!A57)</f>
        <v>0.76159121020718834</v>
      </c>
    </row>
    <row r="58" spans="1:1" x14ac:dyDescent="0.35">
      <c r="A58">
        <f>SINH(Reals!A58)</f>
        <v>-79.100703315159095</v>
      </c>
    </row>
    <row r="59" spans="1:1" x14ac:dyDescent="0.35">
      <c r="A59">
        <f>SINH(Reals!A59)</f>
        <v>719.70109330274511</v>
      </c>
    </row>
    <row r="60" spans="1:1" x14ac:dyDescent="0.35">
      <c r="A60">
        <f>SINH(Reals!A60)</f>
        <v>5168.9361247640763</v>
      </c>
    </row>
    <row r="61" spans="1:1" x14ac:dyDescent="0.35">
      <c r="A61">
        <f>SINH(Reals!A61)</f>
        <v>0.52109530549374738</v>
      </c>
    </row>
    <row r="62" spans="1:1" x14ac:dyDescent="0.35">
      <c r="A62">
        <f>SINH(Reals!A62)</f>
        <v>1.1752011936438014</v>
      </c>
    </row>
    <row r="63" spans="1:1" x14ac:dyDescent="0.35">
      <c r="A63">
        <f>SINH(Reals!A63)</f>
        <v>3.626860407847019</v>
      </c>
    </row>
    <row r="64" spans="1:1" x14ac:dyDescent="0.35">
      <c r="A64">
        <f>SINH(Reals!A64)</f>
        <v>-0.52109530549374738</v>
      </c>
    </row>
    <row r="65" spans="1:1" x14ac:dyDescent="0.35">
      <c r="A65">
        <f>SINH(Reals!A65)</f>
        <v>1E-8</v>
      </c>
    </row>
    <row r="66" spans="1:1" x14ac:dyDescent="0.35">
      <c r="A66">
        <f>SINH(Reals!A66)</f>
        <v>0.86867096148600964</v>
      </c>
    </row>
    <row r="67" spans="1:1" x14ac:dyDescent="0.35">
      <c r="A67">
        <f>SINH(Reals!A67)</f>
        <v>1.2493670505239751</v>
      </c>
    </row>
    <row r="68" spans="1:1" x14ac:dyDescent="0.35">
      <c r="A68">
        <f>SINH(Reals!A68)</f>
        <v>0.54785347388803973</v>
      </c>
    </row>
    <row r="69" spans="1:1" x14ac:dyDescent="0.35">
      <c r="A69">
        <f>SINH(Reals!A69)</f>
        <v>5.2279719246778029</v>
      </c>
    </row>
    <row r="70" spans="1:1" x14ac:dyDescent="0.35">
      <c r="A70">
        <f>SINH(Reals!A70)</f>
        <v>1.3440585709080678E+43</v>
      </c>
    </row>
    <row r="71" spans="1:1" x14ac:dyDescent="0.35">
      <c r="A71" t="e">
        <f>SINH(Reals!A71)</f>
        <v>#NUM!</v>
      </c>
    </row>
    <row r="72" spans="1:1" x14ac:dyDescent="0.35">
      <c r="A72" t="e">
        <f>SINH(Reals!A72)</f>
        <v>#NUM!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8F39-D2F3-4CF4-9C37-3C0BA3DC65DE}">
  <dimension ref="A1:A72"/>
  <sheetViews>
    <sheetView workbookViewId="0"/>
  </sheetViews>
  <sheetFormatPr defaultRowHeight="14.5" x14ac:dyDescent="0.35"/>
  <sheetData>
    <row r="1" spans="1:1" x14ac:dyDescent="0.35">
      <c r="A1">
        <f>COSH(Reals!A1)</f>
        <v>234.99905248240415</v>
      </c>
    </row>
    <row r="2" spans="1:1" x14ac:dyDescent="0.35">
      <c r="A2">
        <f>COSH(Reals!A2)</f>
        <v>35.523766864979216</v>
      </c>
    </row>
    <row r="3" spans="1:1" x14ac:dyDescent="0.35">
      <c r="A3">
        <f>COSH(Reals!A3)</f>
        <v>1036.6476805363552</v>
      </c>
    </row>
    <row r="4" spans="1:1" x14ac:dyDescent="0.35">
      <c r="A4">
        <f>COSH(Reals!A4)</f>
        <v>24.081545297353795</v>
      </c>
    </row>
    <row r="5" spans="1:1" x14ac:dyDescent="0.35">
      <c r="A5">
        <f>COSH(Reals!A5)</f>
        <v>22.656939759159133</v>
      </c>
    </row>
    <row r="6" spans="1:1" x14ac:dyDescent="0.35">
      <c r="A6">
        <f>COSH(Reals!A6)</f>
        <v>275.33820423706555</v>
      </c>
    </row>
    <row r="7" spans="1:1" x14ac:dyDescent="0.35">
      <c r="A7">
        <f>COSH(Reals!A7)</f>
        <v>2.1127337250774301</v>
      </c>
    </row>
    <row r="8" spans="1:1" x14ac:dyDescent="0.35">
      <c r="A8">
        <f>COSH(Reals!A8)</f>
        <v>55.752885434407865</v>
      </c>
    </row>
    <row r="9" spans="1:1" x14ac:dyDescent="0.35">
      <c r="A9">
        <f>COSH(Reals!A9)</f>
        <v>180.94533039985544</v>
      </c>
    </row>
    <row r="10" spans="1:1" x14ac:dyDescent="0.35">
      <c r="A10">
        <f>COSH(Reals!A10)</f>
        <v>1.0200462792535587</v>
      </c>
    </row>
    <row r="11" spans="1:1" x14ac:dyDescent="0.35">
      <c r="A11">
        <f>COSH(Reals!A11)</f>
        <v>497.08082303829451</v>
      </c>
    </row>
    <row r="12" spans="1:1" x14ac:dyDescent="0.35">
      <c r="A12">
        <f>COSH(Reals!A12)</f>
        <v>6730.6194807215807</v>
      </c>
    </row>
    <row r="13" spans="1:1" x14ac:dyDescent="0.35">
      <c r="A13">
        <f>COSH(Reals!A13)</f>
        <v>18.216398436827738</v>
      </c>
    </row>
    <row r="14" spans="1:1" x14ac:dyDescent="0.35">
      <c r="A14">
        <f>COSH(Reals!A14)</f>
        <v>1.0040773250895401</v>
      </c>
    </row>
    <row r="15" spans="1:1" x14ac:dyDescent="0.35">
      <c r="A15">
        <f>COSH(Reals!A15)</f>
        <v>14.637059944190725</v>
      </c>
    </row>
    <row r="16" spans="1:1" x14ac:dyDescent="0.35">
      <c r="A16">
        <f>COSH(Reals!A16)</f>
        <v>13.42229062980585</v>
      </c>
    </row>
    <row r="17" spans="1:1" x14ac:dyDescent="0.35">
      <c r="A17">
        <f>COSH(Reals!A17)</f>
        <v>1.1265028731117828</v>
      </c>
    </row>
    <row r="18" spans="1:1" x14ac:dyDescent="0.35">
      <c r="A18">
        <f>COSH(Reals!A18)</f>
        <v>1541.3082845433007</v>
      </c>
    </row>
    <row r="19" spans="1:1" x14ac:dyDescent="0.35">
      <c r="A19">
        <f>COSH(Reals!A19)</f>
        <v>1.546323901539306</v>
      </c>
    </row>
    <row r="20" spans="1:1" x14ac:dyDescent="0.35">
      <c r="A20">
        <f>COSH(Reals!A20)</f>
        <v>180.95477869680883</v>
      </c>
    </row>
    <row r="21" spans="1:1" x14ac:dyDescent="0.35">
      <c r="A21">
        <f>COSH(Reals!A21)</f>
        <v>1297.7980483394488</v>
      </c>
    </row>
    <row r="22" spans="1:1" x14ac:dyDescent="0.35">
      <c r="A22">
        <f>COSH(Reals!A22)</f>
        <v>37.458827790578894</v>
      </c>
    </row>
    <row r="23" spans="1:1" x14ac:dyDescent="0.35">
      <c r="A23">
        <f>COSH(Reals!A23)</f>
        <v>57.110100290518233</v>
      </c>
    </row>
    <row r="24" spans="1:1" x14ac:dyDescent="0.35">
      <c r="A24">
        <f>COSH(Reals!A24)</f>
        <v>1.0052474901333792</v>
      </c>
    </row>
    <row r="25" spans="1:1" x14ac:dyDescent="0.35">
      <c r="A25">
        <f>COSH(Reals!A25)</f>
        <v>5.1975057662030784</v>
      </c>
    </row>
    <row r="26" spans="1:1" x14ac:dyDescent="0.35">
      <c r="A26">
        <f>COSH(Reals!A26)</f>
        <v>57.498603442645589</v>
      </c>
    </row>
    <row r="27" spans="1:1" x14ac:dyDescent="0.35">
      <c r="A27">
        <f>COSH(Reals!A27)</f>
        <v>74.415571705571864</v>
      </c>
    </row>
    <row r="28" spans="1:1" x14ac:dyDescent="0.35">
      <c r="A28">
        <f>COSH(Reals!A28)</f>
        <v>6401.1670092625391</v>
      </c>
    </row>
    <row r="29" spans="1:1" x14ac:dyDescent="0.35">
      <c r="A29">
        <f>COSH(Reals!A29)</f>
        <v>975.68091411882733</v>
      </c>
    </row>
    <row r="30" spans="1:1" x14ac:dyDescent="0.35">
      <c r="A30">
        <f>COSH(Reals!A30)</f>
        <v>12.462294331299232</v>
      </c>
    </row>
    <row r="31" spans="1:1" x14ac:dyDescent="0.35">
      <c r="A31">
        <f>COSH(Reals!A31)</f>
        <v>1383.7820633760007</v>
      </c>
    </row>
    <row r="32" spans="1:1" x14ac:dyDescent="0.35">
      <c r="A32">
        <f>COSH(Reals!A32)</f>
        <v>25.446462567052311</v>
      </c>
    </row>
    <row r="33" spans="1:1" x14ac:dyDescent="0.35">
      <c r="A33">
        <f>COSH(Reals!A33)</f>
        <v>97.069286225392062</v>
      </c>
    </row>
    <row r="34" spans="1:1" x14ac:dyDescent="0.35">
      <c r="A34">
        <f>COSH(Reals!A34)</f>
        <v>6344.6560806032767</v>
      </c>
    </row>
    <row r="35" spans="1:1" x14ac:dyDescent="0.35">
      <c r="A35">
        <f>COSH(Reals!A35)</f>
        <v>1153.4577580373359</v>
      </c>
    </row>
    <row r="36" spans="1:1" x14ac:dyDescent="0.35">
      <c r="A36">
        <f>COSH(Reals!A36)</f>
        <v>55.823784830301086</v>
      </c>
    </row>
    <row r="37" spans="1:1" x14ac:dyDescent="0.35">
      <c r="A37">
        <f>COSH(Reals!A37)</f>
        <v>5147.5917327986381</v>
      </c>
    </row>
    <row r="38" spans="1:1" x14ac:dyDescent="0.35">
      <c r="A38">
        <f>COSH(Reals!A38)</f>
        <v>1401.2068330799148</v>
      </c>
    </row>
    <row r="39" spans="1:1" x14ac:dyDescent="0.35">
      <c r="A39">
        <f>COSH(Reals!A39)</f>
        <v>369.74082377775005</v>
      </c>
    </row>
    <row r="40" spans="1:1" x14ac:dyDescent="0.35">
      <c r="A40">
        <f>COSH(Reals!A40)</f>
        <v>1.4231612385874963</v>
      </c>
    </row>
    <row r="41" spans="1:1" x14ac:dyDescent="0.35">
      <c r="A41">
        <f>COSH(Reals!A41)</f>
        <v>2.2470336093459267</v>
      </c>
    </row>
    <row r="42" spans="1:1" x14ac:dyDescent="0.35">
      <c r="A42">
        <f>COSH(Reals!A42)</f>
        <v>9145.2503001824552</v>
      </c>
    </row>
    <row r="43" spans="1:1" x14ac:dyDescent="0.35">
      <c r="A43">
        <f>COSH(Reals!A43)</f>
        <v>4194.2169564097039</v>
      </c>
    </row>
    <row r="44" spans="1:1" x14ac:dyDescent="0.35">
      <c r="A44">
        <f>COSH(Reals!A44)</f>
        <v>24.177095932621501</v>
      </c>
    </row>
    <row r="45" spans="1:1" x14ac:dyDescent="0.35">
      <c r="A45">
        <f>COSH(Reals!A45)</f>
        <v>273.78087789709406</v>
      </c>
    </row>
    <row r="46" spans="1:1" x14ac:dyDescent="0.35">
      <c r="A46">
        <f>COSH(Reals!A46)</f>
        <v>1000.069911677714</v>
      </c>
    </row>
    <row r="47" spans="1:1" x14ac:dyDescent="0.35">
      <c r="A47">
        <f>COSH(Reals!A47)</f>
        <v>3.240330183119283</v>
      </c>
    </row>
    <row r="48" spans="1:1" x14ac:dyDescent="0.35">
      <c r="A48">
        <f>COSH(Reals!A48)</f>
        <v>1.0467908343148731</v>
      </c>
    </row>
    <row r="49" spans="1:1" x14ac:dyDescent="0.35">
      <c r="A49">
        <f>COSH(Reals!A49)</f>
        <v>516.98840401455868</v>
      </c>
    </row>
    <row r="50" spans="1:1" x14ac:dyDescent="0.35">
      <c r="A50">
        <f>COSH(Reals!A50)</f>
        <v>10.9209743651901</v>
      </c>
    </row>
    <row r="51" spans="1:1" x14ac:dyDescent="0.35">
      <c r="A51">
        <f>COSH(Reals!A51)</f>
        <v>2.4256101378144925</v>
      </c>
    </row>
    <row r="52" spans="1:1" x14ac:dyDescent="0.35">
      <c r="A52">
        <f>COSH(Reals!A52)</f>
        <v>2.6935609527274567</v>
      </c>
    </row>
    <row r="53" spans="1:1" x14ac:dyDescent="0.35">
      <c r="A53">
        <f>COSH(Reals!A53)</f>
        <v>4565.5223850962502</v>
      </c>
    </row>
    <row r="54" spans="1:1" x14ac:dyDescent="0.35">
      <c r="A54">
        <f>COSH(Reals!A54)</f>
        <v>39.103427163701845</v>
      </c>
    </row>
    <row r="55" spans="1:1" x14ac:dyDescent="0.35">
      <c r="A55">
        <f>COSH(Reals!A55)</f>
        <v>2872.3493748467963</v>
      </c>
    </row>
    <row r="56" spans="1:1" x14ac:dyDescent="0.35">
      <c r="A56">
        <f>COSH(Reals!A56)</f>
        <v>124.08368040132657</v>
      </c>
    </row>
    <row r="57" spans="1:1" x14ac:dyDescent="0.35">
      <c r="A57">
        <f>COSH(Reals!A57)</f>
        <v>1.2569889305259812</v>
      </c>
    </row>
    <row r="58" spans="1:1" x14ac:dyDescent="0.35">
      <c r="A58">
        <f>COSH(Reals!A58)</f>
        <v>79.107024118929033</v>
      </c>
    </row>
    <row r="59" spans="1:1" x14ac:dyDescent="0.35">
      <c r="A59">
        <f>COSH(Reals!A59)</f>
        <v>719.70178803527131</v>
      </c>
    </row>
    <row r="60" spans="1:1" x14ac:dyDescent="0.35">
      <c r="A60">
        <f>COSH(Reals!A60)</f>
        <v>5168.9362214957791</v>
      </c>
    </row>
    <row r="61" spans="1:1" x14ac:dyDescent="0.35">
      <c r="A61">
        <f>COSH(Reals!A61)</f>
        <v>1.1276259652063807</v>
      </c>
    </row>
    <row r="62" spans="1:1" x14ac:dyDescent="0.35">
      <c r="A62">
        <f>COSH(Reals!A62)</f>
        <v>1.5430806348152437</v>
      </c>
    </row>
    <row r="63" spans="1:1" x14ac:dyDescent="0.35">
      <c r="A63">
        <f>COSH(Reals!A63)</f>
        <v>3.7621956910836314</v>
      </c>
    </row>
    <row r="64" spans="1:1" x14ac:dyDescent="0.35">
      <c r="A64">
        <f>COSH(Reals!A64)</f>
        <v>1.1276259652063807</v>
      </c>
    </row>
    <row r="65" spans="1:1" x14ac:dyDescent="0.35">
      <c r="A65">
        <f>COSH(Reals!A65)</f>
        <v>1</v>
      </c>
    </row>
    <row r="66" spans="1:1" x14ac:dyDescent="0.35">
      <c r="A66">
        <f>COSH(Reals!A66)</f>
        <v>1.3246090892520057</v>
      </c>
    </row>
    <row r="67" spans="1:1" x14ac:dyDescent="0.35">
      <c r="A67">
        <f>COSH(Reals!A67)</f>
        <v>1.6002868577023861</v>
      </c>
    </row>
    <row r="68" spans="1:1" x14ac:dyDescent="0.35">
      <c r="A68">
        <f>COSH(Reals!A68)</f>
        <v>1.1402383210764286</v>
      </c>
    </row>
    <row r="69" spans="1:1" x14ac:dyDescent="0.35">
      <c r="A69">
        <f>COSH(Reals!A69)</f>
        <v>5.3227521495199586</v>
      </c>
    </row>
    <row r="70" spans="1:1" x14ac:dyDescent="0.35">
      <c r="A70">
        <f>COSH(Reals!A70)</f>
        <v>1.3440585709080678E+43</v>
      </c>
    </row>
    <row r="71" spans="1:1" x14ac:dyDescent="0.35">
      <c r="A71" t="e">
        <f>COSH(Reals!A71)</f>
        <v>#NUM!</v>
      </c>
    </row>
    <row r="72" spans="1:1" x14ac:dyDescent="0.35">
      <c r="A72" t="e">
        <f>COSH(Reals!A72)</f>
        <v>#NUM!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74BD-C196-4413-BB5A-064621F72054}">
  <dimension ref="A1:A72"/>
  <sheetViews>
    <sheetView workbookViewId="0"/>
  </sheetViews>
  <sheetFormatPr defaultRowHeight="14.5" x14ac:dyDescent="0.35"/>
  <sheetData>
    <row r="1" spans="1:1" x14ac:dyDescent="0.35">
      <c r="A1">
        <f>TANH(Reals!A1)</f>
        <v>-0.99999094601547223</v>
      </c>
    </row>
    <row r="2" spans="1:1" x14ac:dyDescent="0.35">
      <c r="A2">
        <f>TANH(Reals!A2)</f>
        <v>-0.99960370550027466</v>
      </c>
    </row>
    <row r="3" spans="1:1" x14ac:dyDescent="0.35">
      <c r="A3">
        <f>TANH(Reals!A3)</f>
        <v>-0.99999953472711378</v>
      </c>
    </row>
    <row r="4" spans="1:1" x14ac:dyDescent="0.35">
      <c r="A4">
        <f>TANH(Reals!A4)</f>
        <v>-0.99913744133322124</v>
      </c>
    </row>
    <row r="5" spans="1:1" x14ac:dyDescent="0.35">
      <c r="A5">
        <f>TANH(Reals!A5)</f>
        <v>-0.99902550601076823</v>
      </c>
    </row>
    <row r="6" spans="1:1" x14ac:dyDescent="0.35">
      <c r="A6">
        <f>TANH(Reals!A6)</f>
        <v>-0.99999340464031439</v>
      </c>
    </row>
    <row r="7" spans="1:1" x14ac:dyDescent="0.35">
      <c r="A7">
        <f>TANH(Reals!A7)</f>
        <v>0.88089033728923638</v>
      </c>
    </row>
    <row r="8" spans="1:1" x14ac:dyDescent="0.35">
      <c r="A8">
        <f>TANH(Reals!A8)</f>
        <v>0.99983913178596884</v>
      </c>
    </row>
    <row r="9" spans="1:1" x14ac:dyDescent="0.35">
      <c r="A9">
        <f>TANH(Reals!A9)</f>
        <v>-0.99998472861026599</v>
      </c>
    </row>
    <row r="10" spans="1:1" x14ac:dyDescent="0.35">
      <c r="A10">
        <f>TANH(Reals!A10)</f>
        <v>0.19727755263813335</v>
      </c>
    </row>
    <row r="11" spans="1:1" x14ac:dyDescent="0.35">
      <c r="A11">
        <f>TANH(Reals!A11)</f>
        <v>-0.99999797643841493</v>
      </c>
    </row>
    <row r="12" spans="1:1" x14ac:dyDescent="0.35">
      <c r="A12">
        <f>TANH(Reals!A12)</f>
        <v>0.9999999889627742</v>
      </c>
    </row>
    <row r="13" spans="1:1" x14ac:dyDescent="0.35">
      <c r="A13">
        <f>TANH(Reals!A13)</f>
        <v>-0.99849210003690725</v>
      </c>
    </row>
    <row r="14" spans="1:1" x14ac:dyDescent="0.35">
      <c r="A14">
        <f>TANH(Reals!A14)</f>
        <v>9.0028030076946181E-2</v>
      </c>
    </row>
    <row r="15" spans="1:1" x14ac:dyDescent="0.35">
      <c r="A15">
        <f>TANH(Reals!A15)</f>
        <v>0.99766347750009621</v>
      </c>
    </row>
    <row r="16" spans="1:1" x14ac:dyDescent="0.35">
      <c r="A16">
        <f>TANH(Reals!A16)</f>
        <v>-0.99722079460411506</v>
      </c>
    </row>
    <row r="17" spans="1:1" x14ac:dyDescent="0.35">
      <c r="A17">
        <f>TANH(Reals!A17)</f>
        <v>-0.46041649864331852</v>
      </c>
    </row>
    <row r="18" spans="1:1" x14ac:dyDescent="0.35">
      <c r="A18">
        <f>TANH(Reals!A18)</f>
        <v>0.99999978952960089</v>
      </c>
    </row>
    <row r="19" spans="1:1" x14ac:dyDescent="0.35">
      <c r="A19">
        <f>TANH(Reals!A19)</f>
        <v>0.76274866307999545</v>
      </c>
    </row>
    <row r="20" spans="1:1" x14ac:dyDescent="0.35">
      <c r="A20">
        <f>TANH(Reals!A20)</f>
        <v>-0.99998473020498446</v>
      </c>
    </row>
    <row r="21" spans="1:1" x14ac:dyDescent="0.35">
      <c r="A21">
        <f>TANH(Reals!A21)</f>
        <v>0.9999997031371618</v>
      </c>
    </row>
    <row r="22" spans="1:1" x14ac:dyDescent="0.35">
      <c r="A22">
        <f>TANH(Reals!A22)</f>
        <v>-0.99964359889880128</v>
      </c>
    </row>
    <row r="23" spans="1:1" x14ac:dyDescent="0.35">
      <c r="A23">
        <f>TANH(Reals!A23)</f>
        <v>-0.99984668754031891</v>
      </c>
    </row>
    <row r="24" spans="1:1" x14ac:dyDescent="0.35">
      <c r="A24">
        <f>TANH(Reals!A24)</f>
        <v>0.10204384363569524</v>
      </c>
    </row>
    <row r="25" spans="1:1" x14ac:dyDescent="0.35">
      <c r="A25">
        <f>TANH(Reals!A25)</f>
        <v>0.98131658912951136</v>
      </c>
    </row>
    <row r="26" spans="1:1" x14ac:dyDescent="0.35">
      <c r="A26">
        <f>TANH(Reals!A26)</f>
        <v>0.9998487524822941</v>
      </c>
    </row>
    <row r="27" spans="1:1" x14ac:dyDescent="0.35">
      <c r="A27">
        <f>TANH(Reals!A27)</f>
        <v>-0.999909705360843</v>
      </c>
    </row>
    <row r="28" spans="1:1" x14ac:dyDescent="0.35">
      <c r="A28">
        <f>TANH(Reals!A28)</f>
        <v>-0.99999998779741928</v>
      </c>
    </row>
    <row r="29" spans="1:1" x14ac:dyDescent="0.35">
      <c r="A29">
        <f>TANH(Reals!A29)</f>
        <v>-0.9999994747639831</v>
      </c>
    </row>
    <row r="30" spans="1:1" x14ac:dyDescent="0.35">
      <c r="A30">
        <f>TANH(Reals!A30)</f>
        <v>0.9967754079978679</v>
      </c>
    </row>
    <row r="31" spans="1:1" x14ac:dyDescent="0.35">
      <c r="A31">
        <f>TANH(Reals!A31)</f>
        <v>-0.99999973888328897</v>
      </c>
    </row>
    <row r="32" spans="1:1" x14ac:dyDescent="0.35">
      <c r="A32">
        <f>TANH(Reals!A32)</f>
        <v>-0.99922752765226674</v>
      </c>
    </row>
    <row r="33" spans="1:1" x14ac:dyDescent="0.35">
      <c r="A33">
        <f>TANH(Reals!A33)</f>
        <v>-0.99994693381639144</v>
      </c>
    </row>
    <row r="34" spans="1:1" x14ac:dyDescent="0.35">
      <c r="A34">
        <f>TANH(Reals!A34)</f>
        <v>0.99999998757907793</v>
      </c>
    </row>
    <row r="35" spans="1:1" x14ac:dyDescent="0.35">
      <c r="A35">
        <f>TANH(Reals!A35)</f>
        <v>-0.99999962419141497</v>
      </c>
    </row>
    <row r="36" spans="1:1" x14ac:dyDescent="0.35">
      <c r="A36">
        <f>TANH(Reals!A36)</f>
        <v>0.99983954018289345</v>
      </c>
    </row>
    <row r="37" spans="1:1" x14ac:dyDescent="0.35">
      <c r="A37">
        <f>TANH(Reals!A37)</f>
        <v>0.99999998113043809</v>
      </c>
    </row>
    <row r="38" spans="1:1" x14ac:dyDescent="0.35">
      <c r="A38">
        <f>TANH(Reals!A38)</f>
        <v>0.99999974533716662</v>
      </c>
    </row>
    <row r="39" spans="1:1" x14ac:dyDescent="0.35">
      <c r="A39">
        <f>TANH(Reals!A39)</f>
        <v>-0.99999634257028047</v>
      </c>
    </row>
    <row r="40" spans="1:1" x14ac:dyDescent="0.35">
      <c r="A40">
        <f>TANH(Reals!A40)</f>
        <v>0.71152471454708521</v>
      </c>
    </row>
    <row r="41" spans="1:1" x14ac:dyDescent="0.35">
      <c r="A41">
        <f>TANH(Reals!A41)</f>
        <v>-0.89551507872389291</v>
      </c>
    </row>
    <row r="42" spans="1:1" x14ac:dyDescent="0.35">
      <c r="A42">
        <f>TANH(Reals!A42)</f>
        <v>0.99999999402168471</v>
      </c>
    </row>
    <row r="43" spans="1:1" x14ac:dyDescent="0.35">
      <c r="A43">
        <f>TANH(Reals!A43)</f>
        <v>0.99999997157711051</v>
      </c>
    </row>
    <row r="44" spans="1:1" x14ac:dyDescent="0.35">
      <c r="A44">
        <f>TANH(Reals!A44)</f>
        <v>-0.99914424863475415</v>
      </c>
    </row>
    <row r="45" spans="1:1" x14ac:dyDescent="0.35">
      <c r="A45">
        <f>TANH(Reals!A45)</f>
        <v>0.99999332939492813</v>
      </c>
    </row>
    <row r="46" spans="1:1" x14ac:dyDescent="0.35">
      <c r="A46">
        <f>TANH(Reals!A46)</f>
        <v>-0.99999950006977922</v>
      </c>
    </row>
    <row r="47" spans="1:1" x14ac:dyDescent="0.35">
      <c r="A47">
        <f>TANH(Reals!A47)</f>
        <v>-0.95118849008282069</v>
      </c>
    </row>
    <row r="48" spans="1:1" x14ac:dyDescent="0.35">
      <c r="A48">
        <f>TANH(Reals!A48)</f>
        <v>0.29563593015135636</v>
      </c>
    </row>
    <row r="49" spans="1:1" x14ac:dyDescent="0.35">
      <c r="A49">
        <f>TANH(Reals!A49)</f>
        <v>0.99999812927992615</v>
      </c>
    </row>
    <row r="50" spans="1:1" x14ac:dyDescent="0.35">
      <c r="A50">
        <f>TANH(Reals!A50)</f>
        <v>-0.9957989249478395</v>
      </c>
    </row>
    <row r="51" spans="1:1" x14ac:dyDescent="0.35">
      <c r="A51">
        <f>TANH(Reals!A51)</f>
        <v>-0.91106288793620405</v>
      </c>
    </row>
    <row r="52" spans="1:1" x14ac:dyDescent="0.35">
      <c r="A52">
        <f>TANH(Reals!A52)</f>
        <v>0.9285306488195233</v>
      </c>
    </row>
    <row r="53" spans="1:1" x14ac:dyDescent="0.35">
      <c r="A53">
        <f>TANH(Reals!A53)</f>
        <v>0.99999997601227542</v>
      </c>
    </row>
    <row r="54" spans="1:1" x14ac:dyDescent="0.35">
      <c r="A54">
        <f>TANH(Reals!A54)</f>
        <v>0.99967295208607054</v>
      </c>
    </row>
    <row r="55" spans="1:1" x14ac:dyDescent="0.35">
      <c r="A55">
        <f>TANH(Reals!A55)</f>
        <v>0.99999993939680931</v>
      </c>
    </row>
    <row r="56" spans="1:1" x14ac:dyDescent="0.35">
      <c r="A56">
        <f>TANH(Reals!A56)</f>
        <v>0.99996752510740983</v>
      </c>
    </row>
    <row r="57" spans="1:1" x14ac:dyDescent="0.35">
      <c r="A57">
        <f>TANH(Reals!A57)</f>
        <v>0.60588537552872812</v>
      </c>
    </row>
    <row r="58" spans="1:1" x14ac:dyDescent="0.35">
      <c r="A58">
        <f>TANH(Reals!A58)</f>
        <v>-0.99992009807169036</v>
      </c>
    </row>
    <row r="59" spans="1:1" x14ac:dyDescent="0.35">
      <c r="A59">
        <f>TANH(Reals!A59)</f>
        <v>0.99999903469389995</v>
      </c>
    </row>
    <row r="60" spans="1:1" x14ac:dyDescent="0.35">
      <c r="A60">
        <f>TANH(Reals!A60)</f>
        <v>0.99999998128595546</v>
      </c>
    </row>
    <row r="61" spans="1:1" x14ac:dyDescent="0.35">
      <c r="A61">
        <f>TANH(Reals!A61)</f>
        <v>0.46211715726000979</v>
      </c>
    </row>
    <row r="62" spans="1:1" x14ac:dyDescent="0.35">
      <c r="A62">
        <f>TANH(Reals!A62)</f>
        <v>0.76159415595576485</v>
      </c>
    </row>
    <row r="63" spans="1:1" x14ac:dyDescent="0.35">
      <c r="A63">
        <f>TANH(Reals!A63)</f>
        <v>0.96402758007581701</v>
      </c>
    </row>
    <row r="64" spans="1:1" x14ac:dyDescent="0.35">
      <c r="A64">
        <f>TANH(Reals!A64)</f>
        <v>-0.46211715726000979</v>
      </c>
    </row>
    <row r="65" spans="1:1" x14ac:dyDescent="0.35">
      <c r="A65">
        <f>TANH(Reals!A65)</f>
        <v>1E-8</v>
      </c>
    </row>
    <row r="66" spans="1:1" x14ac:dyDescent="0.35">
      <c r="A66">
        <f>TANH(Reals!A66)</f>
        <v>0.65579420263267241</v>
      </c>
    </row>
    <row r="67" spans="1:1" x14ac:dyDescent="0.35">
      <c r="A67">
        <f>TANH(Reals!A67)</f>
        <v>0.78071443535926766</v>
      </c>
    </row>
    <row r="68" spans="1:1" x14ac:dyDescent="0.35">
      <c r="A68">
        <f>TANH(Reals!A68)</f>
        <v>0.48047277815645162</v>
      </c>
    </row>
    <row r="69" spans="1:1" x14ac:dyDescent="0.35">
      <c r="A69">
        <f>TANH(Reals!A69)</f>
        <v>0.98219338000723866</v>
      </c>
    </row>
    <row r="70" spans="1:1" x14ac:dyDescent="0.35">
      <c r="A70">
        <f>TANH(Reals!A70)</f>
        <v>1</v>
      </c>
    </row>
    <row r="71" spans="1:1" x14ac:dyDescent="0.35">
      <c r="A71">
        <f>TANH(Reals!A71)</f>
        <v>1</v>
      </c>
    </row>
    <row r="72" spans="1:1" x14ac:dyDescent="0.35">
      <c r="A72">
        <f>TANH(Reals!A72)</f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7360-743B-4803-85CE-3834218BA272}">
  <dimension ref="A1:A72"/>
  <sheetViews>
    <sheetView workbookViewId="0"/>
  </sheetViews>
  <sheetFormatPr defaultRowHeight="14.5" x14ac:dyDescent="0.35"/>
  <sheetData>
    <row r="1" spans="1:1" x14ac:dyDescent="0.35">
      <c r="A1">
        <f>SQRT(ABS(Reals!A1))</f>
        <v>2.4804685314882944</v>
      </c>
    </row>
    <row r="2" spans="1:1" x14ac:dyDescent="0.35">
      <c r="A2">
        <f>SQRT(ABS(Reals!A2))</f>
        <v>2.0647399292172728</v>
      </c>
    </row>
    <row r="3" spans="1:1" x14ac:dyDescent="0.35">
      <c r="A3">
        <f>SQRT(ABS(Reals!A3))</f>
        <v>2.7634931426847751</v>
      </c>
    </row>
    <row r="4" spans="1:1" x14ac:dyDescent="0.35">
      <c r="A4">
        <f>SQRT(ABS(Reals!A4))</f>
        <v>1.9682890031849019</v>
      </c>
    </row>
    <row r="5" spans="1:1" x14ac:dyDescent="0.35">
      <c r="A5">
        <f>SQRT(ABS(Reals!A5))</f>
        <v>1.9527227173758333</v>
      </c>
    </row>
    <row r="6" spans="1:1" x14ac:dyDescent="0.35">
      <c r="A6">
        <f>SQRT(ABS(Reals!A6))</f>
        <v>2.5121990483448369</v>
      </c>
    </row>
    <row r="7" spans="1:1" x14ac:dyDescent="0.35">
      <c r="A7">
        <f>SQRT(ABS(Reals!A7))</f>
        <v>1.1746182195164696</v>
      </c>
    </row>
    <row r="8" spans="1:1" x14ac:dyDescent="0.35">
      <c r="A8">
        <f>SQRT(ABS(Reals!A8))</f>
        <v>2.1711738550585542</v>
      </c>
    </row>
    <row r="9" spans="1:1" x14ac:dyDescent="0.35">
      <c r="A9">
        <f>SQRT(ABS(Reals!A9))</f>
        <v>2.4272071375323807</v>
      </c>
    </row>
    <row r="10" spans="1:1" x14ac:dyDescent="0.35">
      <c r="A10">
        <f>SQRT(ABS(Reals!A10))</f>
        <v>0.44709984492328736</v>
      </c>
    </row>
    <row r="11" spans="1:1" x14ac:dyDescent="0.35">
      <c r="A11">
        <f>SQRT(ABS(Reals!A11))</f>
        <v>2.627146513512562</v>
      </c>
    </row>
    <row r="12" spans="1:1" x14ac:dyDescent="0.35">
      <c r="A12">
        <f>SQRT(ABS(Reals!A12))</f>
        <v>3.0834347149079533</v>
      </c>
    </row>
    <row r="13" spans="1:1" x14ac:dyDescent="0.35">
      <c r="A13">
        <f>SQRT(ABS(Reals!A13))</f>
        <v>1.895973403727454</v>
      </c>
    </row>
    <row r="14" spans="1:1" x14ac:dyDescent="0.35">
      <c r="A14">
        <f>SQRT(ABS(Reals!A14))</f>
        <v>0.30045373504529205</v>
      </c>
    </row>
    <row r="15" spans="1:1" x14ac:dyDescent="0.35">
      <c r="A15">
        <f>SQRT(ABS(Reals!A15))</f>
        <v>1.8372628829979798</v>
      </c>
    </row>
    <row r="16" spans="1:1" x14ac:dyDescent="0.35">
      <c r="A16">
        <f>SQRT(ABS(Reals!A16))</f>
        <v>1.8134699931931062</v>
      </c>
    </row>
    <row r="17" spans="1:1" x14ac:dyDescent="0.35">
      <c r="A17">
        <f>SQRT(ABS(Reals!A17))</f>
        <v>0.70557756444235864</v>
      </c>
    </row>
    <row r="18" spans="1:1" x14ac:dyDescent="0.35">
      <c r="A18">
        <f>SQRT(ABS(Reals!A18))</f>
        <v>2.8343489456132906</v>
      </c>
    </row>
    <row r="19" spans="1:1" x14ac:dyDescent="0.35">
      <c r="A19">
        <f>SQRT(ABS(Reals!A19))</f>
        <v>1.0013764371173299</v>
      </c>
    </row>
    <row r="20" spans="1:1" x14ac:dyDescent="0.35">
      <c r="A20">
        <f>SQRT(ABS(Reals!A20))</f>
        <v>2.4272178938507865</v>
      </c>
    </row>
    <row r="21" spans="1:1" x14ac:dyDescent="0.35">
      <c r="A21">
        <f>SQRT(ABS(Reals!A21))</f>
        <v>2.8038493772833402</v>
      </c>
    </row>
    <row r="22" spans="1:1" x14ac:dyDescent="0.35">
      <c r="A22">
        <f>SQRT(ABS(Reals!A22))</f>
        <v>2.077549366046382</v>
      </c>
    </row>
    <row r="23" spans="1:1" x14ac:dyDescent="0.35">
      <c r="A23">
        <f>SQRT(ABS(Reals!A23))</f>
        <v>2.1767065741989478</v>
      </c>
    </row>
    <row r="24" spans="1:1" x14ac:dyDescent="0.35">
      <c r="A24">
        <f>SQRT(ABS(Reals!A24))</f>
        <v>0.32000041482180408</v>
      </c>
    </row>
    <row r="25" spans="1:1" x14ac:dyDescent="0.35">
      <c r="A25">
        <f>SQRT(ABS(Reals!A25))</f>
        <v>1.5270692249868481</v>
      </c>
    </row>
    <row r="26" spans="1:1" x14ac:dyDescent="0.35">
      <c r="A26">
        <f>SQRT(ABS(Reals!A26))</f>
        <v>2.1782635775993295</v>
      </c>
    </row>
    <row r="27" spans="1:1" x14ac:dyDescent="0.35">
      <c r="A27">
        <f>SQRT(ABS(Reals!A27))</f>
        <v>2.23668666765789</v>
      </c>
    </row>
    <row r="28" spans="1:1" x14ac:dyDescent="0.35">
      <c r="A28">
        <f>SQRT(ABS(Reals!A28))</f>
        <v>3.0752858033654085</v>
      </c>
    </row>
    <row r="29" spans="1:1" x14ac:dyDescent="0.35">
      <c r="A29">
        <f>SQRT(ABS(Reals!A29))</f>
        <v>2.7525047717752815</v>
      </c>
    </row>
    <row r="30" spans="1:1" x14ac:dyDescent="0.35">
      <c r="A30">
        <f>SQRT(ABS(Reals!A30))</f>
        <v>1.7928305038563017</v>
      </c>
    </row>
    <row r="31" spans="1:1" x14ac:dyDescent="0.35">
      <c r="A31">
        <f>SQRT(ABS(Reals!A31))</f>
        <v>2.8152660096553479</v>
      </c>
    </row>
    <row r="32" spans="1:1" x14ac:dyDescent="0.35">
      <c r="A32">
        <f>SQRT(ABS(Reals!A32))</f>
        <v>1.9822556867651451</v>
      </c>
    </row>
    <row r="33" spans="1:1" x14ac:dyDescent="0.35">
      <c r="A33">
        <f>SQRT(ABS(Reals!A33))</f>
        <v>2.2953312749184045</v>
      </c>
    </row>
    <row r="34" spans="1:1" x14ac:dyDescent="0.35">
      <c r="A34">
        <f>SQRT(ABS(Reals!A34))</f>
        <v>3.0738437419319662</v>
      </c>
    </row>
    <row r="35" spans="1:1" x14ac:dyDescent="0.35">
      <c r="A35">
        <f>SQRT(ABS(Reals!A35))</f>
        <v>2.7827444095553777</v>
      </c>
    </row>
    <row r="36" spans="1:1" x14ac:dyDescent="0.35">
      <c r="A36">
        <f>SQRT(ABS(Reals!A36))</f>
        <v>2.1714665499242249</v>
      </c>
    </row>
    <row r="37" spans="1:1" x14ac:dyDescent="0.35">
      <c r="A37">
        <f>SQRT(ABS(Reals!A37))</f>
        <v>3.0396433064938928</v>
      </c>
    </row>
    <row r="38" spans="1:1" x14ac:dyDescent="0.35">
      <c r="A38">
        <f>SQRT(ABS(Reals!A38))</f>
        <v>2.817487572489255</v>
      </c>
    </row>
    <row r="39" spans="1:1" x14ac:dyDescent="0.35">
      <c r="A39">
        <f>SQRT(ABS(Reals!A39))</f>
        <v>2.5702038121046349</v>
      </c>
    </row>
    <row r="40" spans="1:1" x14ac:dyDescent="0.35">
      <c r="A40">
        <f>SQRT(ABS(Reals!A40))</f>
        <v>0.94353868006203301</v>
      </c>
    </row>
    <row r="41" spans="1:1" x14ac:dyDescent="0.35">
      <c r="A41">
        <f>SQRT(ABS(Reals!A41))</f>
        <v>1.2037863437817973</v>
      </c>
    </row>
    <row r="42" spans="1:1" x14ac:dyDescent="0.35">
      <c r="A42">
        <f>SQRT(ABS(Reals!A42))</f>
        <v>3.1327523215518922</v>
      </c>
    </row>
    <row r="43" spans="1:1" x14ac:dyDescent="0.35">
      <c r="A43">
        <f>SQRT(ABS(Reals!A43))</f>
        <v>3.0057626497547507</v>
      </c>
    </row>
    <row r="44" spans="1:1" x14ac:dyDescent="0.35">
      <c r="A44">
        <f>SQRT(ABS(Reals!A44))</f>
        <v>1.9692955464439816</v>
      </c>
    </row>
    <row r="45" spans="1:1" x14ac:dyDescent="0.35">
      <c r="A45">
        <f>SQRT(ABS(Reals!A45))</f>
        <v>2.5110698747730398</v>
      </c>
    </row>
    <row r="46" spans="1:1" x14ac:dyDescent="0.35">
      <c r="A46">
        <f>SQRT(ABS(Reals!A46))</f>
        <v>2.7569860570577696</v>
      </c>
    </row>
    <row r="47" spans="1:1" x14ac:dyDescent="0.35">
      <c r="A47">
        <f>SQRT(ABS(Reals!A47))</f>
        <v>1.357981554363944</v>
      </c>
    </row>
    <row r="48" spans="1:1" x14ac:dyDescent="0.35">
      <c r="A48">
        <f>SQRT(ABS(Reals!A48))</f>
        <v>0.55202425318008574</v>
      </c>
    </row>
    <row r="49" spans="1:1" x14ac:dyDescent="0.35">
      <c r="A49">
        <f>SQRT(ABS(Reals!A49))</f>
        <v>2.6346093999081024</v>
      </c>
    </row>
    <row r="50" spans="1:1" x14ac:dyDescent="0.35">
      <c r="A50">
        <f>SQRT(ABS(Reals!A50))</f>
        <v>1.7554855817489348</v>
      </c>
    </row>
    <row r="51" spans="1:1" x14ac:dyDescent="0.35">
      <c r="A51">
        <f>SQRT(ABS(Reals!A51))</f>
        <v>1.2384436479199716</v>
      </c>
    </row>
    <row r="52" spans="1:1" x14ac:dyDescent="0.35">
      <c r="A52">
        <f>SQRT(ABS(Reals!A52))</f>
        <v>1.2835974772311585</v>
      </c>
    </row>
    <row r="53" spans="1:1" x14ac:dyDescent="0.35">
      <c r="A53">
        <f>SQRT(ABS(Reals!A53))</f>
        <v>3.0198402917553384</v>
      </c>
    </row>
    <row r="54" spans="1:1" x14ac:dyDescent="0.35">
      <c r="A54">
        <f>SQRT(ABS(Reals!A54))</f>
        <v>2.0878682328219917</v>
      </c>
    </row>
    <row r="55" spans="1:1" x14ac:dyDescent="0.35">
      <c r="A55">
        <f>SQRT(ABS(Reals!A55))</f>
        <v>2.9421136486633901</v>
      </c>
    </row>
    <row r="56" spans="1:1" x14ac:dyDescent="0.35">
      <c r="A56">
        <f>SQRT(ABS(Reals!A56))</f>
        <v>2.3482093439320111</v>
      </c>
    </row>
    <row r="57" spans="1:1" x14ac:dyDescent="0.35">
      <c r="A57">
        <f>SQRT(ABS(Reals!A57))</f>
        <v>0.83808971097102847</v>
      </c>
    </row>
    <row r="58" spans="1:1" x14ac:dyDescent="0.35">
      <c r="A58">
        <f>SQRT(ABS(Reals!A58))</f>
        <v>2.2503130671355391</v>
      </c>
    </row>
    <row r="59" spans="1:1" x14ac:dyDescent="0.35">
      <c r="A59">
        <f>SQRT(ABS(Reals!A59))</f>
        <v>2.6966615732855592</v>
      </c>
    </row>
    <row r="60" spans="1:1" x14ac:dyDescent="0.35">
      <c r="A60">
        <f>SQRT(ABS(Reals!A60))</f>
        <v>3.0403238902571732</v>
      </c>
    </row>
    <row r="61" spans="1:1" x14ac:dyDescent="0.35">
      <c r="A61">
        <f>SQRT(ABS(Reals!A61))</f>
        <v>0.70710678118654757</v>
      </c>
    </row>
    <row r="62" spans="1:1" x14ac:dyDescent="0.35">
      <c r="A62">
        <f>SQRT(ABS(Reals!A62))</f>
        <v>1</v>
      </c>
    </row>
    <row r="63" spans="1:1" x14ac:dyDescent="0.35">
      <c r="A63">
        <f>SQRT(ABS(Reals!A63))</f>
        <v>1.4142135623730951</v>
      </c>
    </row>
    <row r="64" spans="1:1" x14ac:dyDescent="0.35">
      <c r="A64">
        <f>SQRT(ABS(Reals!A64))</f>
        <v>0.70710678118654757</v>
      </c>
    </row>
    <row r="65" spans="1:1" x14ac:dyDescent="0.35">
      <c r="A65">
        <f>SQRT(ABS(Reals!A65))</f>
        <v>1E-4</v>
      </c>
    </row>
    <row r="66" spans="1:1" x14ac:dyDescent="0.35">
      <c r="A66">
        <f>SQRT(ABS(Reals!A66))</f>
        <v>0.88622692545275794</v>
      </c>
    </row>
    <row r="67" spans="1:1" x14ac:dyDescent="0.35">
      <c r="A67">
        <f>SQRT(ABS(Reals!A67))</f>
        <v>1.0233267079464885</v>
      </c>
    </row>
    <row r="68" spans="1:1" x14ac:dyDescent="0.35">
      <c r="A68">
        <f>SQRT(ABS(Reals!A68))</f>
        <v>0.72360125455826763</v>
      </c>
    </row>
    <row r="69" spans="1:1" x14ac:dyDescent="0.35">
      <c r="A69">
        <f>SQRT(ABS(Reals!A69))</f>
        <v>1.5349900619197328</v>
      </c>
    </row>
    <row r="70" spans="1:1" x14ac:dyDescent="0.35">
      <c r="A70">
        <f>SQRT(ABS(Reals!A70))</f>
        <v>10</v>
      </c>
    </row>
    <row r="71" spans="1:1" x14ac:dyDescent="0.35">
      <c r="A71">
        <f>SQRT(ABS(Reals!A71))</f>
        <v>316.22776601683796</v>
      </c>
    </row>
    <row r="72" spans="1:1" x14ac:dyDescent="0.35">
      <c r="A72">
        <f>SQRT(ABS(Reals!A72))</f>
        <v>3162.2776601683795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3E65-3072-4B02-92F6-E28E4C3B11ED}">
  <dimension ref="A1:A72"/>
  <sheetViews>
    <sheetView workbookViewId="0"/>
  </sheetViews>
  <sheetFormatPr defaultRowHeight="14.5" x14ac:dyDescent="0.35"/>
  <sheetData>
    <row r="1" spans="1:1" x14ac:dyDescent="0.35">
      <c r="A1">
        <f>ASIN(Reals!A1/10)</f>
        <v>-0.66273148447220198</v>
      </c>
    </row>
    <row r="2" spans="1:1" x14ac:dyDescent="0.35">
      <c r="A2">
        <f>ASIN(Reals!A2/10)</f>
        <v>-0.44041521801809408</v>
      </c>
    </row>
    <row r="3" spans="1:1" x14ac:dyDescent="0.35">
      <c r="A3">
        <f>ASIN(Reals!A3/10)</f>
        <v>-0.86900883931011774</v>
      </c>
    </row>
    <row r="4" spans="1:1" x14ac:dyDescent="0.35">
      <c r="A4">
        <f>ASIN(Reals!A4/10)</f>
        <v>-0.39782721809684696</v>
      </c>
    </row>
    <row r="5" spans="1:1" x14ac:dyDescent="0.35">
      <c r="A5">
        <f>ASIN(Reals!A5/10)</f>
        <v>-0.39121575976608952</v>
      </c>
    </row>
    <row r="6" spans="1:1" x14ac:dyDescent="0.35">
      <c r="A6">
        <f>ASIN(Reals!A6/10)</f>
        <v>-0.68298903776093489</v>
      </c>
    </row>
    <row r="7" spans="1:1" x14ac:dyDescent="0.35">
      <c r="A7">
        <f>ASIN(Reals!A7/10)</f>
        <v>0.13841434220525933</v>
      </c>
    </row>
    <row r="8" spans="1:1" x14ac:dyDescent="0.35">
      <c r="A8">
        <f>ASIN(Reals!A8/10)</f>
        <v>0.49087708831417259</v>
      </c>
    </row>
    <row r="9" spans="1:1" x14ac:dyDescent="0.35">
      <c r="A9">
        <f>ASIN(Reals!A9/10)</f>
        <v>-0.62998600414510875</v>
      </c>
    </row>
    <row r="10" spans="1:1" x14ac:dyDescent="0.35">
      <c r="A10">
        <f>ASIN(Reals!A10/10)</f>
        <v>1.9991158672284601E-2</v>
      </c>
    </row>
    <row r="11" spans="1:1" x14ac:dyDescent="0.35">
      <c r="A11">
        <f>ASIN(Reals!A11/10)</f>
        <v>-0.76175142030681064</v>
      </c>
    </row>
    <row r="12" spans="1:1" x14ac:dyDescent="0.35">
      <c r="A12">
        <f>ASIN(Reals!A12/10)</f>
        <v>1.2556691317726638</v>
      </c>
    </row>
    <row r="13" spans="1:1" x14ac:dyDescent="0.35">
      <c r="A13">
        <f>ASIN(Reals!A13/10)</f>
        <v>-0.36770148986388562</v>
      </c>
    </row>
    <row r="14" spans="1:1" x14ac:dyDescent="0.35">
      <c r="A14">
        <f>ASIN(Reals!A14/10)</f>
        <v>9.0273673015165458E-3</v>
      </c>
    </row>
    <row r="15" spans="1:1" x14ac:dyDescent="0.35">
      <c r="A15">
        <f>ASIN(Reals!A15/10)</f>
        <v>0.34431662418511055</v>
      </c>
    </row>
    <row r="16" spans="1:1" x14ac:dyDescent="0.35">
      <c r="A16">
        <f>ASIN(Reals!A16/10)</f>
        <v>-0.3351039521940859</v>
      </c>
    </row>
    <row r="17" spans="1:1" x14ac:dyDescent="0.35">
      <c r="A17">
        <f>ASIN(Reals!A17/10)</f>
        <v>-4.9804557374678322E-2</v>
      </c>
    </row>
    <row r="18" spans="1:1" x14ac:dyDescent="0.35">
      <c r="A18">
        <f>ASIN(Reals!A18/10)</f>
        <v>0.93290521970222817</v>
      </c>
    </row>
    <row r="19" spans="1:1" x14ac:dyDescent="0.35">
      <c r="A19">
        <f>ASIN(Reals!A19/10)</f>
        <v>0.1004442897002318</v>
      </c>
    </row>
    <row r="20" spans="1:1" x14ac:dyDescent="0.35">
      <c r="A20">
        <f>ASIN(Reals!A20/10)</f>
        <v>-0.62999246621860894</v>
      </c>
    </row>
    <row r="21" spans="1:1" x14ac:dyDescent="0.35">
      <c r="A21">
        <f>ASIN(Reals!A21/10)</f>
        <v>0.90456620661527398</v>
      </c>
    </row>
    <row r="22" spans="1:1" x14ac:dyDescent="0.35">
      <c r="A22">
        <f>ASIN(Reals!A22/10)</f>
        <v>-0.44628916552971376</v>
      </c>
    </row>
    <row r="23" spans="1:1" x14ac:dyDescent="0.35">
      <c r="A23">
        <f>ASIN(Reals!A23/10)</f>
        <v>-0.4936067236622449</v>
      </c>
    </row>
    <row r="24" spans="1:1" x14ac:dyDescent="0.35">
      <c r="A24">
        <f>ASIN(Reals!A24/10)</f>
        <v>1.0240205515420136E-2</v>
      </c>
    </row>
    <row r="25" spans="1:1" x14ac:dyDescent="0.35">
      <c r="A25">
        <f>ASIN(Reals!A25/10)</f>
        <v>0.23536099360401005</v>
      </c>
    </row>
    <row r="26" spans="1:1" x14ac:dyDescent="0.35">
      <c r="A26">
        <f>ASIN(Reals!A26/10)</f>
        <v>0.49437686678569426</v>
      </c>
    </row>
    <row r="27" spans="1:1" x14ac:dyDescent="0.35">
      <c r="A27">
        <f>ASIN(Reals!A27/10)</f>
        <v>-0.5239183395067355</v>
      </c>
    </row>
    <row r="28" spans="1:1" x14ac:dyDescent="0.35">
      <c r="A28">
        <f>ASIN(Reals!A28/10)</f>
        <v>-1.2398592568743665</v>
      </c>
    </row>
    <row r="29" spans="1:1" x14ac:dyDescent="0.35">
      <c r="A29">
        <f>ASIN(Reals!A29/10)</f>
        <v>-0.85967158513120756</v>
      </c>
    </row>
    <row r="30" spans="1:1" x14ac:dyDescent="0.35">
      <c r="A30">
        <f>ASIN(Reals!A30/10)</f>
        <v>0.32723303111920521</v>
      </c>
    </row>
    <row r="31" spans="1:1" x14ac:dyDescent="0.35">
      <c r="A31">
        <f>ASIN(Reals!A31/10)</f>
        <v>-0.91501588043100046</v>
      </c>
    </row>
    <row r="32" spans="1:1" x14ac:dyDescent="0.35">
      <c r="A32">
        <f>ASIN(Reals!A32/10)</f>
        <v>-0.40381979913724803</v>
      </c>
    </row>
    <row r="33" spans="1:1" x14ac:dyDescent="0.35">
      <c r="A33">
        <f>ASIN(Reals!A33/10)</f>
        <v>-0.5548955981599375</v>
      </c>
    </row>
    <row r="34" spans="1:1" x14ac:dyDescent="0.35">
      <c r="A34">
        <f>ASIN(Reals!A34/10)</f>
        <v>1.2371409761964669</v>
      </c>
    </row>
    <row r="35" spans="1:1" x14ac:dyDescent="0.35">
      <c r="A35">
        <f>ASIN(Reals!A35/10)</f>
        <v>-0.88571350431980089</v>
      </c>
    </row>
    <row r="36" spans="1:1" x14ac:dyDescent="0.35">
      <c r="A36">
        <f>ASIN(Reals!A36/10)</f>
        <v>0.49102121906235213</v>
      </c>
    </row>
    <row r="37" spans="1:1" x14ac:dyDescent="0.35">
      <c r="A37">
        <f>ASIN(Reals!A37/10)</f>
        <v>1.1782635008663636</v>
      </c>
    </row>
    <row r="38" spans="1:1" x14ac:dyDescent="0.35">
      <c r="A38">
        <f>ASIN(Reals!A38/10)</f>
        <v>0.91707076901250673</v>
      </c>
    </row>
    <row r="39" spans="1:1" x14ac:dyDescent="0.35">
      <c r="A39">
        <f>ASIN(Reals!A39/10)</f>
        <v>-0.72161071861959569</v>
      </c>
    </row>
    <row r="40" spans="1:1" x14ac:dyDescent="0.35">
      <c r="A40">
        <f>ASIN(Reals!A40/10)</f>
        <v>8.9144545408942219E-2</v>
      </c>
    </row>
    <row r="41" spans="1:1" x14ac:dyDescent="0.35">
      <c r="A41">
        <f>ASIN(Reals!A41/10)</f>
        <v>-0.14542216961333637</v>
      </c>
    </row>
    <row r="42" spans="1:1" x14ac:dyDescent="0.35">
      <c r="A42">
        <f>ASIN(Reals!A42/10)</f>
        <v>1.3776945335192587</v>
      </c>
    </row>
    <row r="43" spans="1:1" x14ac:dyDescent="0.35">
      <c r="A43">
        <f>ASIN(Reals!A43/10)</f>
        <v>1.1277756468331701</v>
      </c>
    </row>
    <row r="44" spans="1:1" x14ac:dyDescent="0.35">
      <c r="A44">
        <f>ASIN(Reals!A44/10)</f>
        <v>-0.39825716561237734</v>
      </c>
    </row>
    <row r="45" spans="1:1" x14ac:dyDescent="0.35">
      <c r="A45">
        <f>ASIN(Reals!A45/10)</f>
        <v>0.68225801654818952</v>
      </c>
    </row>
    <row r="46" spans="1:1" x14ac:dyDescent="0.35">
      <c r="A46">
        <f>ASIN(Reals!A46/10)</f>
        <v>-0.86346270254157453</v>
      </c>
    </row>
    <row r="47" spans="1:1" x14ac:dyDescent="0.35">
      <c r="A47">
        <f>ASIN(Reals!A47/10)</f>
        <v>-0.18547294751901086</v>
      </c>
    </row>
    <row r="48" spans="1:1" x14ac:dyDescent="0.35">
      <c r="A48">
        <f>ASIN(Reals!A48/10)</f>
        <v>3.0477795841401353E-2</v>
      </c>
    </row>
    <row r="49" spans="1:1" x14ac:dyDescent="0.35">
      <c r="A49">
        <f>ASIN(Reals!A49/10)</f>
        <v>0.76719209078981609</v>
      </c>
    </row>
    <row r="50" spans="1:1" x14ac:dyDescent="0.35">
      <c r="A50">
        <f>ASIN(Reals!A50/10)</f>
        <v>-0.31327192581309626</v>
      </c>
    </row>
    <row r="51" spans="1:1" x14ac:dyDescent="0.35">
      <c r="A51">
        <f>ASIN(Reals!A51/10)</f>
        <v>-0.1539820436916417</v>
      </c>
    </row>
    <row r="52" spans="1:1" x14ac:dyDescent="0.35">
      <c r="A52">
        <f>ASIN(Reals!A52/10)</f>
        <v>0.16551696050966086</v>
      </c>
    </row>
    <row r="53" spans="1:1" x14ac:dyDescent="0.35">
      <c r="A53">
        <f>ASIN(Reals!A53/10)</f>
        <v>1.1479960965857725</v>
      </c>
    </row>
    <row r="54" spans="1:1" x14ac:dyDescent="0.35">
      <c r="A54">
        <f>ASIN(Reals!A54/10)</f>
        <v>0.45105956917684631</v>
      </c>
    </row>
    <row r="55" spans="1:1" x14ac:dyDescent="0.35">
      <c r="A55">
        <f>ASIN(Reals!A55/10)</f>
        <v>1.0463539042429677</v>
      </c>
    </row>
    <row r="56" spans="1:1" x14ac:dyDescent="0.35">
      <c r="A56">
        <f>ASIN(Reals!A56/10)</f>
        <v>0.58405192452206567</v>
      </c>
    </row>
    <row r="57" spans="1:1" x14ac:dyDescent="0.35">
      <c r="A57">
        <f>ASIN(Reals!A57/10)</f>
        <v>7.0297320259076992E-2</v>
      </c>
    </row>
    <row r="58" spans="1:1" x14ac:dyDescent="0.35">
      <c r="A58">
        <f>ASIN(Reals!A58/10)</f>
        <v>-0.53099419536371906</v>
      </c>
    </row>
    <row r="59" spans="1:1" x14ac:dyDescent="0.35">
      <c r="A59">
        <f>ASIN(Reals!A59/10)</f>
        <v>0.81423160224966362</v>
      </c>
    </row>
    <row r="60" spans="1:1" x14ac:dyDescent="0.35">
      <c r="A60">
        <f>ASIN(Reals!A60/10)</f>
        <v>1.179346644539484</v>
      </c>
    </row>
    <row r="61" spans="1:1" x14ac:dyDescent="0.35">
      <c r="A61">
        <f>ASIN(Reals!A61/10)</f>
        <v>5.0020856805770016E-2</v>
      </c>
    </row>
    <row r="62" spans="1:1" x14ac:dyDescent="0.35">
      <c r="A62">
        <f>ASIN(Reals!A62/10)</f>
        <v>0.1001674211615598</v>
      </c>
    </row>
    <row r="63" spans="1:1" x14ac:dyDescent="0.35">
      <c r="A63">
        <f>ASIN(Reals!A63/10)</f>
        <v>0.20135792079033082</v>
      </c>
    </row>
    <row r="64" spans="1:1" x14ac:dyDescent="0.35">
      <c r="A64">
        <f>ASIN(Reals!A64/10)</f>
        <v>-5.0020856805770016E-2</v>
      </c>
    </row>
    <row r="65" spans="1:1" x14ac:dyDescent="0.35">
      <c r="A65">
        <f>ASIN(Reals!A65/10)</f>
        <v>1.0000000000000001E-9</v>
      </c>
    </row>
    <row r="66" spans="1:1" x14ac:dyDescent="0.35">
      <c r="A66">
        <f>ASIN(Reals!A66/10)</f>
        <v>7.8620786813879601E-2</v>
      </c>
    </row>
    <row r="67" spans="1:1" x14ac:dyDescent="0.35">
      <c r="A67">
        <f>ASIN(Reals!A67/10)</f>
        <v>0.10491210260615108</v>
      </c>
    </row>
    <row r="68" spans="1:1" x14ac:dyDescent="0.35">
      <c r="A68">
        <f>ASIN(Reals!A68/10)</f>
        <v>5.2383831720077566E-2</v>
      </c>
    </row>
    <row r="69" spans="1:1" x14ac:dyDescent="0.35">
      <c r="A69">
        <f>ASIN(Reals!A69/10)</f>
        <v>0.23785591350743132</v>
      </c>
    </row>
    <row r="70" spans="1:1" x14ac:dyDescent="0.35">
      <c r="A70" t="e">
        <f>ASIN(Reals!A70/10)</f>
        <v>#NUM!</v>
      </c>
    </row>
    <row r="71" spans="1:1" x14ac:dyDescent="0.35">
      <c r="A71" t="e">
        <f>ASIN(Reals!A71/10)</f>
        <v>#NUM!</v>
      </c>
    </row>
    <row r="72" spans="1:1" x14ac:dyDescent="0.35">
      <c r="A72" t="e">
        <f>ASIN(Reals!A72/10)</f>
        <v>#NUM!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83B2-1C77-4002-978C-DADDA5BACA6D}">
  <dimension ref="A1:A72"/>
  <sheetViews>
    <sheetView workbookViewId="0"/>
  </sheetViews>
  <sheetFormatPr defaultRowHeight="14.5" x14ac:dyDescent="0.35"/>
  <sheetData>
    <row r="1" spans="1:1" x14ac:dyDescent="0.35">
      <c r="A1">
        <f>ACOS(Reals!A1/10)</f>
        <v>2.2335278112670984</v>
      </c>
    </row>
    <row r="2" spans="1:1" x14ac:dyDescent="0.35">
      <c r="A2">
        <f>ACOS(Reals!A2/10)</f>
        <v>2.0112115448129906</v>
      </c>
    </row>
    <row r="3" spans="1:1" x14ac:dyDescent="0.35">
      <c r="A3">
        <f>ACOS(Reals!A3/10)</f>
        <v>2.4398051661050144</v>
      </c>
    </row>
    <row r="4" spans="1:1" x14ac:dyDescent="0.35">
      <c r="A4">
        <f>ACOS(Reals!A4/10)</f>
        <v>1.9686235448917435</v>
      </c>
    </row>
    <row r="5" spans="1:1" x14ac:dyDescent="0.35">
      <c r="A5">
        <f>ACOS(Reals!A5/10)</f>
        <v>1.962012086560986</v>
      </c>
    </row>
    <row r="6" spans="1:1" x14ac:dyDescent="0.35">
      <c r="A6">
        <f>ACOS(Reals!A6/10)</f>
        <v>2.2537853645558314</v>
      </c>
    </row>
    <row r="7" spans="1:1" x14ac:dyDescent="0.35">
      <c r="A7">
        <f>ACOS(Reals!A7/10)</f>
        <v>1.4323819845896373</v>
      </c>
    </row>
    <row r="8" spans="1:1" x14ac:dyDescent="0.35">
      <c r="A8">
        <f>ACOS(Reals!A8/10)</f>
        <v>1.0799192384807239</v>
      </c>
    </row>
    <row r="9" spans="1:1" x14ac:dyDescent="0.35">
      <c r="A9">
        <f>ACOS(Reals!A9/10)</f>
        <v>2.2007823309400054</v>
      </c>
    </row>
    <row r="10" spans="1:1" x14ac:dyDescent="0.35">
      <c r="A10">
        <f>ACOS(Reals!A10/10)</f>
        <v>1.550805168122612</v>
      </c>
    </row>
    <row r="11" spans="1:1" x14ac:dyDescent="0.35">
      <c r="A11">
        <f>ACOS(Reals!A11/10)</f>
        <v>2.3325477471017071</v>
      </c>
    </row>
    <row r="12" spans="1:1" x14ac:dyDescent="0.35">
      <c r="A12">
        <f>ACOS(Reals!A12/10)</f>
        <v>0.31512719502223274</v>
      </c>
    </row>
    <row r="13" spans="1:1" x14ac:dyDescent="0.35">
      <c r="A13">
        <f>ACOS(Reals!A13/10)</f>
        <v>1.9384978166587823</v>
      </c>
    </row>
    <row r="14" spans="1:1" x14ac:dyDescent="0.35">
      <c r="A14">
        <f>ACOS(Reals!A14/10)</f>
        <v>1.5617689594933799</v>
      </c>
    </row>
    <row r="15" spans="1:1" x14ac:dyDescent="0.35">
      <c r="A15">
        <f>ACOS(Reals!A15/10)</f>
        <v>1.226479702609786</v>
      </c>
    </row>
    <row r="16" spans="1:1" x14ac:dyDescent="0.35">
      <c r="A16">
        <f>ACOS(Reals!A16/10)</f>
        <v>1.9059002789889825</v>
      </c>
    </row>
    <row r="17" spans="1:1" x14ac:dyDescent="0.35">
      <c r="A17">
        <f>ACOS(Reals!A17/10)</f>
        <v>1.6206008841695749</v>
      </c>
    </row>
    <row r="18" spans="1:1" x14ac:dyDescent="0.35">
      <c r="A18">
        <f>ACOS(Reals!A18/10)</f>
        <v>0.63789110709266839</v>
      </c>
    </row>
    <row r="19" spans="1:1" x14ac:dyDescent="0.35">
      <c r="A19">
        <f>ACOS(Reals!A19/10)</f>
        <v>1.4703520370946648</v>
      </c>
    </row>
    <row r="20" spans="1:1" x14ac:dyDescent="0.35">
      <c r="A20">
        <f>ACOS(Reals!A20/10)</f>
        <v>2.2007887930135057</v>
      </c>
    </row>
    <row r="21" spans="1:1" x14ac:dyDescent="0.35">
      <c r="A21">
        <f>ACOS(Reals!A21/10)</f>
        <v>0.66623012017962258</v>
      </c>
    </row>
    <row r="22" spans="1:1" x14ac:dyDescent="0.35">
      <c r="A22">
        <f>ACOS(Reals!A22/10)</f>
        <v>2.0170854923246102</v>
      </c>
    </row>
    <row r="23" spans="1:1" x14ac:dyDescent="0.35">
      <c r="A23">
        <f>ACOS(Reals!A23/10)</f>
        <v>2.0644030504571416</v>
      </c>
    </row>
    <row r="24" spans="1:1" x14ac:dyDescent="0.35">
      <c r="A24">
        <f>ACOS(Reals!A24/10)</f>
        <v>1.5605561212794765</v>
      </c>
    </row>
    <row r="25" spans="1:1" x14ac:dyDescent="0.35">
      <c r="A25">
        <f>ACOS(Reals!A25/10)</f>
        <v>1.3354353331908866</v>
      </c>
    </row>
    <row r="26" spans="1:1" x14ac:dyDescent="0.35">
      <c r="A26">
        <f>ACOS(Reals!A26/10)</f>
        <v>1.0764194600092023</v>
      </c>
    </row>
    <row r="27" spans="1:1" x14ac:dyDescent="0.35">
      <c r="A27">
        <f>ACOS(Reals!A27/10)</f>
        <v>2.0947146663016323</v>
      </c>
    </row>
    <row r="28" spans="1:1" x14ac:dyDescent="0.35">
      <c r="A28">
        <f>ACOS(Reals!A28/10)</f>
        <v>2.8106555836692628</v>
      </c>
    </row>
    <row r="29" spans="1:1" x14ac:dyDescent="0.35">
      <c r="A29">
        <f>ACOS(Reals!A29/10)</f>
        <v>2.4304679119261041</v>
      </c>
    </row>
    <row r="30" spans="1:1" x14ac:dyDescent="0.35">
      <c r="A30">
        <f>ACOS(Reals!A30/10)</f>
        <v>1.2435632956756915</v>
      </c>
    </row>
    <row r="31" spans="1:1" x14ac:dyDescent="0.35">
      <c r="A31">
        <f>ACOS(Reals!A31/10)</f>
        <v>2.485812207225897</v>
      </c>
    </row>
    <row r="32" spans="1:1" x14ac:dyDescent="0.35">
      <c r="A32">
        <f>ACOS(Reals!A32/10)</f>
        <v>1.9746161259321446</v>
      </c>
    </row>
    <row r="33" spans="1:1" x14ac:dyDescent="0.35">
      <c r="A33">
        <f>ACOS(Reals!A33/10)</f>
        <v>2.1256919249548343</v>
      </c>
    </row>
    <row r="34" spans="1:1" x14ac:dyDescent="0.35">
      <c r="A34">
        <f>ACOS(Reals!A34/10)</f>
        <v>0.33365535059842966</v>
      </c>
    </row>
    <row r="35" spans="1:1" x14ac:dyDescent="0.35">
      <c r="A35">
        <f>ACOS(Reals!A35/10)</f>
        <v>2.4565098311146976</v>
      </c>
    </row>
    <row r="36" spans="1:1" x14ac:dyDescent="0.35">
      <c r="A36">
        <f>ACOS(Reals!A36/10)</f>
        <v>1.0797751077325444</v>
      </c>
    </row>
    <row r="37" spans="1:1" x14ac:dyDescent="0.35">
      <c r="A37">
        <f>ACOS(Reals!A37/10)</f>
        <v>0.392532825928533</v>
      </c>
    </row>
    <row r="38" spans="1:1" x14ac:dyDescent="0.35">
      <c r="A38">
        <f>ACOS(Reals!A38/10)</f>
        <v>0.65372555778238983</v>
      </c>
    </row>
    <row r="39" spans="1:1" x14ac:dyDescent="0.35">
      <c r="A39">
        <f>ACOS(Reals!A39/10)</f>
        <v>2.2924070454144925</v>
      </c>
    </row>
    <row r="40" spans="1:1" x14ac:dyDescent="0.35">
      <c r="A40">
        <f>ACOS(Reals!A40/10)</f>
        <v>1.4816517813859544</v>
      </c>
    </row>
    <row r="41" spans="1:1" x14ac:dyDescent="0.35">
      <c r="A41">
        <f>ACOS(Reals!A41/10)</f>
        <v>1.716218496408233</v>
      </c>
    </row>
    <row r="42" spans="1:1" x14ac:dyDescent="0.35">
      <c r="A42">
        <f>ACOS(Reals!A42/10)</f>
        <v>0.19310179327563781</v>
      </c>
    </row>
    <row r="43" spans="1:1" x14ac:dyDescent="0.35">
      <c r="A43">
        <f>ACOS(Reals!A43/10)</f>
        <v>0.44302067996172645</v>
      </c>
    </row>
    <row r="44" spans="1:1" x14ac:dyDescent="0.35">
      <c r="A44">
        <f>ACOS(Reals!A44/10)</f>
        <v>1.9690534924072738</v>
      </c>
    </row>
    <row r="45" spans="1:1" x14ac:dyDescent="0.35">
      <c r="A45">
        <f>ACOS(Reals!A45/10)</f>
        <v>0.88853831024670704</v>
      </c>
    </row>
    <row r="46" spans="1:1" x14ac:dyDescent="0.35">
      <c r="A46">
        <f>ACOS(Reals!A46/10)</f>
        <v>2.434259029336471</v>
      </c>
    </row>
    <row r="47" spans="1:1" x14ac:dyDescent="0.35">
      <c r="A47">
        <f>ACOS(Reals!A47/10)</f>
        <v>1.7562692743139074</v>
      </c>
    </row>
    <row r="48" spans="1:1" x14ac:dyDescent="0.35">
      <c r="A48">
        <f>ACOS(Reals!A48/10)</f>
        <v>1.5403185309534952</v>
      </c>
    </row>
    <row r="49" spans="1:1" x14ac:dyDescent="0.35">
      <c r="A49">
        <f>ACOS(Reals!A49/10)</f>
        <v>0.80360423600508046</v>
      </c>
    </row>
    <row r="50" spans="1:1" x14ac:dyDescent="0.35">
      <c r="A50">
        <f>ACOS(Reals!A50/10)</f>
        <v>1.8840682526079928</v>
      </c>
    </row>
    <row r="51" spans="1:1" x14ac:dyDescent="0.35">
      <c r="A51">
        <f>ACOS(Reals!A51/10)</f>
        <v>1.7247783704865383</v>
      </c>
    </row>
    <row r="52" spans="1:1" x14ac:dyDescent="0.35">
      <c r="A52">
        <f>ACOS(Reals!A52/10)</f>
        <v>1.4052793662852356</v>
      </c>
    </row>
    <row r="53" spans="1:1" x14ac:dyDescent="0.35">
      <c r="A53">
        <f>ACOS(Reals!A53/10)</f>
        <v>0.42280023020912405</v>
      </c>
    </row>
    <row r="54" spans="1:1" x14ac:dyDescent="0.35">
      <c r="A54">
        <f>ACOS(Reals!A54/10)</f>
        <v>1.1197367576180501</v>
      </c>
    </row>
    <row r="55" spans="1:1" x14ac:dyDescent="0.35">
      <c r="A55">
        <f>ACOS(Reals!A55/10)</f>
        <v>0.52444242255192886</v>
      </c>
    </row>
    <row r="56" spans="1:1" x14ac:dyDescent="0.35">
      <c r="A56">
        <f>ACOS(Reals!A56/10)</f>
        <v>0.98674440227283089</v>
      </c>
    </row>
    <row r="57" spans="1:1" x14ac:dyDescent="0.35">
      <c r="A57">
        <f>ACOS(Reals!A57/10)</f>
        <v>1.5004990065358195</v>
      </c>
    </row>
    <row r="58" spans="1:1" x14ac:dyDescent="0.35">
      <c r="A58">
        <f>ACOS(Reals!A58/10)</f>
        <v>2.1017905221586157</v>
      </c>
    </row>
    <row r="59" spans="1:1" x14ac:dyDescent="0.35">
      <c r="A59">
        <f>ACOS(Reals!A59/10)</f>
        <v>0.75656472454523294</v>
      </c>
    </row>
    <row r="60" spans="1:1" x14ac:dyDescent="0.35">
      <c r="A60">
        <f>ACOS(Reals!A60/10)</f>
        <v>0.39144968225541255</v>
      </c>
    </row>
    <row r="61" spans="1:1" x14ac:dyDescent="0.35">
      <c r="A61">
        <f>ACOS(Reals!A61/10)</f>
        <v>1.5207754699891265</v>
      </c>
    </row>
    <row r="62" spans="1:1" x14ac:dyDescent="0.35">
      <c r="A62">
        <f>ACOS(Reals!A62/10)</f>
        <v>1.4706289056333368</v>
      </c>
    </row>
    <row r="63" spans="1:1" x14ac:dyDescent="0.35">
      <c r="A63">
        <f>ACOS(Reals!A63/10)</f>
        <v>1.3694384060045657</v>
      </c>
    </row>
    <row r="64" spans="1:1" x14ac:dyDescent="0.35">
      <c r="A64">
        <f>ACOS(Reals!A64/10)</f>
        <v>1.6208171836006666</v>
      </c>
    </row>
    <row r="65" spans="1:1" x14ac:dyDescent="0.35">
      <c r="A65">
        <f>ACOS(Reals!A65/10)</f>
        <v>1.5707963257948965</v>
      </c>
    </row>
    <row r="66" spans="1:1" x14ac:dyDescent="0.35">
      <c r="A66">
        <f>ACOS(Reals!A66/10)</f>
        <v>1.492175539981017</v>
      </c>
    </row>
    <row r="67" spans="1:1" x14ac:dyDescent="0.35">
      <c r="A67">
        <f>ACOS(Reals!A67/10)</f>
        <v>1.4658842241887455</v>
      </c>
    </row>
    <row r="68" spans="1:1" x14ac:dyDescent="0.35">
      <c r="A68">
        <f>ACOS(Reals!A68/10)</f>
        <v>1.518412495074819</v>
      </c>
    </row>
    <row r="69" spans="1:1" x14ac:dyDescent="0.35">
      <c r="A69">
        <f>ACOS(Reals!A69/10)</f>
        <v>1.3329404132874652</v>
      </c>
    </row>
    <row r="70" spans="1:1" x14ac:dyDescent="0.35">
      <c r="A70" t="e">
        <f>ACOS(Reals!A70/10)</f>
        <v>#NUM!</v>
      </c>
    </row>
    <row r="71" spans="1:1" x14ac:dyDescent="0.35">
      <c r="A71" t="e">
        <f>ACOS(Reals!A71/10)</f>
        <v>#NUM!</v>
      </c>
    </row>
    <row r="72" spans="1:1" x14ac:dyDescent="0.35">
      <c r="A72" t="e">
        <f>ACOS(Reals!A72/10)</f>
        <v>#NUM!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D03F-0265-4166-AD1B-52B7A8368D57}">
  <dimension ref="A1:A72"/>
  <sheetViews>
    <sheetView workbookViewId="0"/>
  </sheetViews>
  <sheetFormatPr defaultRowHeight="14.5" x14ac:dyDescent="0.35"/>
  <sheetData>
    <row r="1" spans="1:1" x14ac:dyDescent="0.35">
      <c r="A1">
        <f>LOG10(ABS(Reals!A1))</f>
        <v>0.78906744344372104</v>
      </c>
    </row>
    <row r="2" spans="1:1" x14ac:dyDescent="0.35">
      <c r="A2">
        <f>LOG10(ABS(Reals!A2))</f>
        <v>0.62973071303194872</v>
      </c>
    </row>
    <row r="3" spans="1:1" x14ac:dyDescent="0.35">
      <c r="A3">
        <f>LOG10(ABS(Reals!A3))</f>
        <v>0.88291678252684336</v>
      </c>
    </row>
    <row r="4" spans="1:1" x14ac:dyDescent="0.35">
      <c r="A4">
        <f>LOG10(ABS(Reals!A4))</f>
        <v>0.58817773216780689</v>
      </c>
    </row>
    <row r="5" spans="1:1" x14ac:dyDescent="0.35">
      <c r="A5">
        <f>LOG10(ABS(Reals!A5))</f>
        <v>0.58128115747887366</v>
      </c>
    </row>
    <row r="6" spans="1:1" x14ac:dyDescent="0.35">
      <c r="A6">
        <f>LOG10(ABS(Reals!A6))</f>
        <v>0.80010809351649892</v>
      </c>
    </row>
    <row r="7" spans="1:1" x14ac:dyDescent="0.35">
      <c r="A7">
        <f>LOG10(ABS(Reals!A7))</f>
        <v>0.13979346581159313</v>
      </c>
    </row>
    <row r="8" spans="1:1" x14ac:dyDescent="0.35">
      <c r="A8">
        <f>LOG10(ABS(Reals!A8))</f>
        <v>0.67338920127966151</v>
      </c>
    </row>
    <row r="9" spans="1:1" x14ac:dyDescent="0.35">
      <c r="A9">
        <f>LOG10(ABS(Reals!A9))</f>
        <v>0.77021368109293231</v>
      </c>
    </row>
    <row r="10" spans="1:1" x14ac:dyDescent="0.35">
      <c r="A10">
        <f>LOG10(ABS(Reals!A10))</f>
        <v>-0.69919096153422167</v>
      </c>
    </row>
    <row r="11" spans="1:1" x14ac:dyDescent="0.35">
      <c r="A11">
        <f>LOG10(ABS(Reals!A11))</f>
        <v>0.83896858731991664</v>
      </c>
    </row>
    <row r="12" spans="1:1" x14ac:dyDescent="0.35">
      <c r="A12">
        <f>LOG10(ABS(Reals!A12))</f>
        <v>0.97806951521793017</v>
      </c>
    </row>
    <row r="13" spans="1:1" x14ac:dyDescent="0.35">
      <c r="A13">
        <f>LOG10(ABS(Reals!A13))</f>
        <v>0.55566448172622551</v>
      </c>
    </row>
    <row r="14" spans="1:1" x14ac:dyDescent="0.35">
      <c r="A14">
        <f>LOG10(ABS(Reals!A14))</f>
        <v>-1.0444447855016685</v>
      </c>
    </row>
    <row r="15" spans="1:1" x14ac:dyDescent="0.35">
      <c r="A15">
        <f>LOG10(ABS(Reals!A15))</f>
        <v>0.52834260272284617</v>
      </c>
    </row>
    <row r="16" spans="1:1" x14ac:dyDescent="0.35">
      <c r="A16">
        <f>LOG10(ABS(Reals!A16))</f>
        <v>0.51702074773644202</v>
      </c>
    </row>
    <row r="17" spans="1:1" x14ac:dyDescent="0.35">
      <c r="A17">
        <f>LOG10(ABS(Reals!A17))</f>
        <v>-0.30291047421560202</v>
      </c>
    </row>
    <row r="18" spans="1:1" x14ac:dyDescent="0.35">
      <c r="A18">
        <f>LOG10(ABS(Reals!A18))</f>
        <v>0.90490663312517916</v>
      </c>
    </row>
    <row r="19" spans="1:1" x14ac:dyDescent="0.35">
      <c r="A19">
        <f>LOG10(ABS(Reals!A19))</f>
        <v>1.1947360384691871E-3</v>
      </c>
    </row>
    <row r="20" spans="1:1" x14ac:dyDescent="0.35">
      <c r="A20">
        <f>LOG10(ABS(Reals!A20))</f>
        <v>0.7702175302900659</v>
      </c>
    </row>
    <row r="21" spans="1:1" x14ac:dyDescent="0.35">
      <c r="A21">
        <f>LOG10(ABS(Reals!A21))</f>
        <v>0.8955093592656338</v>
      </c>
    </row>
    <row r="22" spans="1:1" x14ac:dyDescent="0.35">
      <c r="A22">
        <f>LOG10(ABS(Reals!A22))</f>
        <v>0.63510270428348092</v>
      </c>
    </row>
    <row r="23" spans="1:1" x14ac:dyDescent="0.35">
      <c r="A23">
        <f>LOG10(ABS(Reals!A23))</f>
        <v>0.67559977788464554</v>
      </c>
    </row>
    <row r="24" spans="1:1" x14ac:dyDescent="0.35">
      <c r="A24">
        <f>LOG10(ABS(Reals!A24))</f>
        <v>-0.98969891739328986</v>
      </c>
    </row>
    <row r="25" spans="1:1" x14ac:dyDescent="0.35">
      <c r="A25">
        <f>LOG10(ABS(Reals!A25))</f>
        <v>0.36771744981468585</v>
      </c>
    </row>
    <row r="26" spans="1:1" x14ac:dyDescent="0.35">
      <c r="A26">
        <f>LOG10(ABS(Reals!A26))</f>
        <v>0.67622085953648869</v>
      </c>
    </row>
    <row r="27" spans="1:1" x14ac:dyDescent="0.35">
      <c r="A27">
        <f>LOG10(ABS(Reals!A27))</f>
        <v>0.69921029806523149</v>
      </c>
    </row>
    <row r="28" spans="1:1" x14ac:dyDescent="0.35">
      <c r="A28">
        <f>LOG10(ABS(Reals!A28))</f>
        <v>0.97577096676375974</v>
      </c>
    </row>
    <row r="29" spans="1:1" x14ac:dyDescent="0.35">
      <c r="A29">
        <f>LOG10(ABS(Reals!A29))</f>
        <v>0.87945616108512814</v>
      </c>
    </row>
    <row r="30" spans="1:1" x14ac:dyDescent="0.35">
      <c r="A30">
        <f>LOG10(ABS(Reals!A30))</f>
        <v>0.50707846566151493</v>
      </c>
    </row>
    <row r="31" spans="1:1" x14ac:dyDescent="0.35">
      <c r="A31">
        <f>LOG10(ABS(Reals!A31))</f>
        <v>0.89903887373339941</v>
      </c>
    </row>
    <row r="32" spans="1:1" x14ac:dyDescent="0.35">
      <c r="A32">
        <f>LOG10(ABS(Reals!A32))</f>
        <v>0.59431934488910076</v>
      </c>
    </row>
    <row r="33" spans="1:1" x14ac:dyDescent="0.35">
      <c r="A33">
        <f>LOG10(ABS(Reals!A33))</f>
        <v>0.72169074836219094</v>
      </c>
    </row>
    <row r="34" spans="1:1" x14ac:dyDescent="0.35">
      <c r="A34">
        <f>LOG10(ABS(Reals!A34))</f>
        <v>0.97536357294973963</v>
      </c>
    </row>
    <row r="35" spans="1:1" x14ac:dyDescent="0.35">
      <c r="A35">
        <f>LOG10(ABS(Reals!A35))</f>
        <v>0.88894663788028638</v>
      </c>
    </row>
    <row r="36" spans="1:1" x14ac:dyDescent="0.35">
      <c r="A36">
        <f>LOG10(ABS(Reals!A36))</f>
        <v>0.67350628743313512</v>
      </c>
    </row>
    <row r="37" spans="1:1" x14ac:dyDescent="0.35">
      <c r="A37">
        <f>LOG10(ABS(Reals!A37))</f>
        <v>0.96564524675026864</v>
      </c>
    </row>
    <row r="38" spans="1:1" x14ac:dyDescent="0.35">
      <c r="A38">
        <f>LOG10(ABS(Reals!A38))</f>
        <v>0.89972401823043668</v>
      </c>
    </row>
    <row r="39" spans="1:1" x14ac:dyDescent="0.35">
      <c r="A39">
        <f>LOG10(ABS(Reals!A39))</f>
        <v>0.81993512678926894</v>
      </c>
    </row>
    <row r="40" spans="1:1" x14ac:dyDescent="0.35">
      <c r="A40">
        <f>LOG10(ABS(Reals!A40))</f>
        <v>-5.0480582745485773E-2</v>
      </c>
    </row>
    <row r="41" spans="1:1" x14ac:dyDescent="0.35">
      <c r="A41">
        <f>LOG10(ABS(Reals!A41))</f>
        <v>0.16109882442404541</v>
      </c>
    </row>
    <row r="42" spans="1:1" x14ac:dyDescent="0.35">
      <c r="A42">
        <f>LOG10(ABS(Reals!A42))</f>
        <v>0.99185212098888142</v>
      </c>
    </row>
    <row r="43" spans="1:1" x14ac:dyDescent="0.35">
      <c r="A43">
        <f>LOG10(ABS(Reals!A43))</f>
        <v>0.9559093670250397</v>
      </c>
    </row>
    <row r="44" spans="1:1" x14ac:dyDescent="0.35">
      <c r="A44">
        <f>LOG10(ABS(Reals!A44))</f>
        <v>0.58862179749488963</v>
      </c>
    </row>
    <row r="45" spans="1:1" x14ac:dyDescent="0.35">
      <c r="A45">
        <f>LOG10(ABS(Reals!A45))</f>
        <v>0.7997175957214514</v>
      </c>
    </row>
    <row r="46" spans="1:1" x14ac:dyDescent="0.35">
      <c r="A46">
        <f>LOG10(ABS(Reals!A46))</f>
        <v>0.88086913949614365</v>
      </c>
    </row>
    <row r="47" spans="1:1" x14ac:dyDescent="0.35">
      <c r="A47">
        <f>LOG10(ABS(Reals!A47))</f>
        <v>0.26578774181479764</v>
      </c>
    </row>
    <row r="48" spans="1:1" x14ac:dyDescent="0.35">
      <c r="A48">
        <f>LOG10(ABS(Reals!A48))</f>
        <v>-0.51608368225576029</v>
      </c>
    </row>
    <row r="49" spans="1:1" x14ac:dyDescent="0.35">
      <c r="A49">
        <f>LOG10(ABS(Reals!A49))</f>
        <v>0.84143247398231558</v>
      </c>
    </row>
    <row r="50" spans="1:1" x14ac:dyDescent="0.35">
      <c r="A50">
        <f>LOG10(ABS(Reals!A50))</f>
        <v>0.48879453368922132</v>
      </c>
    </row>
    <row r="51" spans="1:1" x14ac:dyDescent="0.35">
      <c r="A51">
        <f>LOG10(ABS(Reals!A51))</f>
        <v>0.18575249991526582</v>
      </c>
    </row>
    <row r="52" spans="1:1" x14ac:dyDescent="0.35">
      <c r="A52">
        <f>LOG10(ABS(Reals!A52))</f>
        <v>0.21685770973309104</v>
      </c>
    </row>
    <row r="53" spans="1:1" x14ac:dyDescent="0.35">
      <c r="A53">
        <f>LOG10(ABS(Reals!A53))</f>
        <v>0.9599679506537403</v>
      </c>
    </row>
    <row r="54" spans="1:1" x14ac:dyDescent="0.35">
      <c r="A54">
        <f>LOG10(ABS(Reals!A54))</f>
        <v>0.63940617298607105</v>
      </c>
    </row>
    <row r="55" spans="1:1" x14ac:dyDescent="0.35">
      <c r="A55">
        <f>LOG10(ABS(Reals!A55))</f>
        <v>0.93731888949144349</v>
      </c>
    </row>
    <row r="56" spans="1:1" x14ac:dyDescent="0.35">
      <c r="A56">
        <f>LOG10(ABS(Reals!A56))</f>
        <v>0.74147362370458625</v>
      </c>
    </row>
    <row r="57" spans="1:1" x14ac:dyDescent="0.35">
      <c r="A57">
        <f>LOG10(ABS(Reals!A57))</f>
        <v>-0.15341898208461438</v>
      </c>
    </row>
    <row r="58" spans="1:1" x14ac:dyDescent="0.35">
      <c r="A58">
        <f>LOG10(ABS(Reals!A58))</f>
        <v>0.70448588410830171</v>
      </c>
    </row>
    <row r="59" spans="1:1" x14ac:dyDescent="0.35">
      <c r="A59">
        <f>LOG10(ABS(Reals!A59))</f>
        <v>0.86165289321953498</v>
      </c>
    </row>
    <row r="60" spans="1:1" x14ac:dyDescent="0.35">
      <c r="A60">
        <f>LOG10(ABS(Reals!A60))</f>
        <v>0.96583970422974863</v>
      </c>
    </row>
    <row r="61" spans="1:1" x14ac:dyDescent="0.35">
      <c r="A61">
        <f>LOG10(ABS(Reals!A61))</f>
        <v>-0.3010299956639812</v>
      </c>
    </row>
    <row r="62" spans="1:1" x14ac:dyDescent="0.35">
      <c r="A62">
        <f>LOG10(ABS(Reals!A62))</f>
        <v>0</v>
      </c>
    </row>
    <row r="63" spans="1:1" x14ac:dyDescent="0.35">
      <c r="A63">
        <f>LOG10(ABS(Reals!A63))</f>
        <v>0.3010299956639812</v>
      </c>
    </row>
    <row r="64" spans="1:1" x14ac:dyDescent="0.35">
      <c r="A64">
        <f>LOG10(ABS(Reals!A64))</f>
        <v>-0.3010299956639812</v>
      </c>
    </row>
    <row r="65" spans="1:1" x14ac:dyDescent="0.35">
      <c r="A65">
        <f>LOG10(ABS(Reals!A65))</f>
        <v>-8</v>
      </c>
    </row>
    <row r="66" spans="1:1" x14ac:dyDescent="0.35">
      <c r="A66">
        <f>LOG10(ABS(Reals!A66))</f>
        <v>-0.10491011863382856</v>
      </c>
    </row>
    <row r="67" spans="1:1" x14ac:dyDescent="0.35">
      <c r="A67">
        <f>LOG10(ABS(Reals!A67))</f>
        <v>2.002861797447137E-2</v>
      </c>
    </row>
    <row r="68" spans="1:1" x14ac:dyDescent="0.35">
      <c r="A68">
        <f>LOG10(ABS(Reals!A68))</f>
        <v>-0.28100137768950983</v>
      </c>
    </row>
    <row r="69" spans="1:1" x14ac:dyDescent="0.35">
      <c r="A69">
        <f>LOG10(ABS(Reals!A69))</f>
        <v>0.37221113608583389</v>
      </c>
    </row>
    <row r="70" spans="1:1" x14ac:dyDescent="0.35">
      <c r="A70">
        <f>LOG10(ABS(Reals!A70))</f>
        <v>2</v>
      </c>
    </row>
    <row r="71" spans="1:1" x14ac:dyDescent="0.35">
      <c r="A71">
        <f>LOG10(ABS(Reals!A71))</f>
        <v>5</v>
      </c>
    </row>
    <row r="72" spans="1:1" x14ac:dyDescent="0.35">
      <c r="A72">
        <f>LOG10(ABS(Reals!A72))</f>
        <v>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FC65-D816-40A0-BA6C-01594A4BDF2F}">
  <dimension ref="A1:A72"/>
  <sheetViews>
    <sheetView workbookViewId="0"/>
  </sheetViews>
  <sheetFormatPr defaultRowHeight="14.5" x14ac:dyDescent="0.35"/>
  <sheetData>
    <row r="1" spans="1:1" x14ac:dyDescent="0.35">
      <c r="A1">
        <f>LOG(ABS(Reals!A1),2)</f>
        <v>2.621225309136642</v>
      </c>
    </row>
    <row r="2" spans="1:1" x14ac:dyDescent="0.35">
      <c r="A2">
        <f>LOG(ABS(Reals!A2),2)</f>
        <v>2.0919201478342817</v>
      </c>
    </row>
    <row r="3" spans="1:1" x14ac:dyDescent="0.35">
      <c r="A3">
        <f>LOG(ABS(Reals!A3),2)</f>
        <v>2.9329860653234765</v>
      </c>
    </row>
    <row r="4" spans="1:1" x14ac:dyDescent="0.35">
      <c r="A4">
        <f>LOG(ABS(Reals!A4),2)</f>
        <v>1.9538841332753722</v>
      </c>
    </row>
    <row r="5" spans="1:1" x14ac:dyDescent="0.35">
      <c r="A5">
        <f>LOG(ABS(Reals!A5),2)</f>
        <v>1.9309742080577155</v>
      </c>
    </row>
    <row r="6" spans="1:1" x14ac:dyDescent="0.35">
      <c r="A6">
        <f>LOG(ABS(Reals!A6),2)</f>
        <v>2.6579015547992229</v>
      </c>
    </row>
    <row r="7" spans="1:1" x14ac:dyDescent="0.35">
      <c r="A7">
        <f>LOG(ABS(Reals!A7),2)</f>
        <v>0.46438384156120716</v>
      </c>
    </row>
    <row r="8" spans="1:1" x14ac:dyDescent="0.35">
      <c r="A8">
        <f>LOG(ABS(Reals!A8),2)</f>
        <v>2.2369505065246686</v>
      </c>
    </row>
    <row r="9" spans="1:1" x14ac:dyDescent="0.35">
      <c r="A9">
        <f>LOG(ABS(Reals!A9),2)</f>
        <v>2.558594466289227</v>
      </c>
    </row>
    <row r="10" spans="1:1" x14ac:dyDescent="0.35">
      <c r="A10">
        <f>LOG(ABS(Reals!A10),2)</f>
        <v>-2.3226620988118398</v>
      </c>
    </row>
    <row r="11" spans="1:1" x14ac:dyDescent="0.35">
      <c r="A11">
        <f>LOG(ABS(Reals!A11),2)</f>
        <v>2.7869933209459923</v>
      </c>
    </row>
    <row r="12" spans="1:1" x14ac:dyDescent="0.35">
      <c r="A12">
        <f>LOG(ABS(Reals!A12),2)</f>
        <v>3.2490766013553047</v>
      </c>
    </row>
    <row r="13" spans="1:1" x14ac:dyDescent="0.35">
      <c r="A13">
        <f>LOG(ABS(Reals!A13),2)</f>
        <v>1.8458774531773741</v>
      </c>
    </row>
    <row r="14" spans="1:1" x14ac:dyDescent="0.35">
      <c r="A14">
        <f>LOG(ABS(Reals!A14),2)</f>
        <v>-3.4695704765165978</v>
      </c>
    </row>
    <row r="15" spans="1:1" x14ac:dyDescent="0.35">
      <c r="A15">
        <f>LOG(ABS(Reals!A15),2)</f>
        <v>1.7551161357109348</v>
      </c>
    </row>
    <row r="16" spans="1:1" x14ac:dyDescent="0.35">
      <c r="A16">
        <f>LOG(ABS(Reals!A16),2)</f>
        <v>1.7175057475453583</v>
      </c>
    </row>
    <row r="17" spans="1:1" x14ac:dyDescent="0.35">
      <c r="A17">
        <f>LOG(ABS(Reals!A17),2)</f>
        <v>-1.0062468145324623</v>
      </c>
    </row>
    <row r="18" spans="1:1" x14ac:dyDescent="0.35">
      <c r="A18">
        <f>LOG(ABS(Reals!A18),2)</f>
        <v>3.0060347678284636</v>
      </c>
    </row>
    <row r="19" spans="1:1" x14ac:dyDescent="0.35">
      <c r="A19">
        <f>LOG(ABS(Reals!A19),2)</f>
        <v>3.9688272121652214E-3</v>
      </c>
    </row>
    <row r="20" spans="1:1" x14ac:dyDescent="0.35">
      <c r="A20">
        <f>LOG(ABS(Reals!A20),2)</f>
        <v>2.5586072530453281</v>
      </c>
    </row>
    <row r="21" spans="1:1" x14ac:dyDescent="0.35">
      <c r="A21">
        <f>LOG(ABS(Reals!A21),2)</f>
        <v>2.9748176997790896</v>
      </c>
    </row>
    <row r="22" spans="1:1" x14ac:dyDescent="0.35">
      <c r="A22">
        <f>LOG(ABS(Reals!A22),2)</f>
        <v>2.1097655164982356</v>
      </c>
    </row>
    <row r="23" spans="1:1" x14ac:dyDescent="0.35">
      <c r="A23">
        <f>LOG(ABS(Reals!A23),2)</f>
        <v>2.2442938830546657</v>
      </c>
    </row>
    <row r="24" spans="1:1" x14ac:dyDescent="0.35">
      <c r="A24">
        <f>LOG(ABS(Reals!A24),2)</f>
        <v>-3.2877086391683763</v>
      </c>
    </row>
    <row r="25" spans="1:1" x14ac:dyDescent="0.35">
      <c r="A25">
        <f>LOG(ABS(Reals!A25),2)</f>
        <v>1.2215309275197386</v>
      </c>
    </row>
    <row r="26" spans="1:1" x14ac:dyDescent="0.35">
      <c r="A26">
        <f>LOG(ABS(Reals!A26),2)</f>
        <v>2.2463570716431422</v>
      </c>
    </row>
    <row r="27" spans="1:1" x14ac:dyDescent="0.35">
      <c r="A27">
        <f>LOG(ABS(Reals!A27),2)</f>
        <v>2.3227263333774593</v>
      </c>
    </row>
    <row r="28" spans="1:1" x14ac:dyDescent="0.35">
      <c r="A28">
        <f>LOG(ABS(Reals!A28),2)</f>
        <v>3.2414409886679363</v>
      </c>
    </row>
    <row r="29" spans="1:1" x14ac:dyDescent="0.35">
      <c r="A29">
        <f>LOG(ABS(Reals!A29),2)</f>
        <v>2.921490129730473</v>
      </c>
    </row>
    <row r="30" spans="1:1" x14ac:dyDescent="0.35">
      <c r="A30">
        <f>LOG(ABS(Reals!A30),2)</f>
        <v>1.6844782013933632</v>
      </c>
    </row>
    <row r="31" spans="1:1" x14ac:dyDescent="0.35">
      <c r="A31">
        <f>LOG(ABS(Reals!A31),2)</f>
        <v>2.9865424930508717</v>
      </c>
    </row>
    <row r="32" spans="1:1" x14ac:dyDescent="0.35">
      <c r="A32">
        <f>LOG(ABS(Reals!A32),2)</f>
        <v>1.9742861291221558</v>
      </c>
    </row>
    <row r="33" spans="1:1" x14ac:dyDescent="0.35">
      <c r="A33">
        <f>LOG(ABS(Reals!A33),2)</f>
        <v>2.3974047728046477</v>
      </c>
    </row>
    <row r="34" spans="1:1" x14ac:dyDescent="0.35">
      <c r="A34">
        <f>LOG(ABS(Reals!A34),2)</f>
        <v>3.2400876557114593</v>
      </c>
    </row>
    <row r="35" spans="1:1" x14ac:dyDescent="0.35">
      <c r="A35">
        <f>LOG(ABS(Reals!A35),2)</f>
        <v>2.953016811230186</v>
      </c>
    </row>
    <row r="36" spans="1:1" x14ac:dyDescent="0.35">
      <c r="A36">
        <f>LOG(ABS(Reals!A36),2)</f>
        <v>2.2373394583074151</v>
      </c>
    </row>
    <row r="37" spans="1:1" x14ac:dyDescent="0.35">
      <c r="A37">
        <f>LOG(ABS(Reals!A37),2)</f>
        <v>3.207804074874157</v>
      </c>
    </row>
    <row r="38" spans="1:1" x14ac:dyDescent="0.35">
      <c r="A38">
        <f>LOG(ABS(Reals!A38),2)</f>
        <v>2.9888184938046374</v>
      </c>
    </row>
    <row r="39" spans="1:1" x14ac:dyDescent="0.35">
      <c r="A39">
        <f>LOG(ABS(Reals!A39),2)</f>
        <v>2.7237655336663038</v>
      </c>
    </row>
    <row r="40" spans="1:1" x14ac:dyDescent="0.35">
      <c r="A40">
        <f>LOG(ABS(Reals!A40),2)</f>
        <v>-0.16769286606851544</v>
      </c>
    </row>
    <row r="41" spans="1:1" x14ac:dyDescent="0.35">
      <c r="A41">
        <f>LOG(ABS(Reals!A41),2)</f>
        <v>0.53515871090756295</v>
      </c>
    </row>
    <row r="42" spans="1:1" x14ac:dyDescent="0.35">
      <c r="A42">
        <f>LOG(ABS(Reals!A42),2)</f>
        <v>3.2948614266865848</v>
      </c>
    </row>
    <row r="43" spans="1:1" x14ac:dyDescent="0.35">
      <c r="A43">
        <f>LOG(ABS(Reals!A43),2)</f>
        <v>3.1754621824864744</v>
      </c>
    </row>
    <row r="44" spans="1:1" x14ac:dyDescent="0.35">
      <c r="A44">
        <f>LOG(ABS(Reals!A44),2)</f>
        <v>1.9553592863613733</v>
      </c>
    </row>
    <row r="45" spans="1:1" x14ac:dyDescent="0.35">
      <c r="A45">
        <f>LOG(ABS(Reals!A45),2)</f>
        <v>2.6566043492028628</v>
      </c>
    </row>
    <row r="46" spans="1:1" x14ac:dyDescent="0.35">
      <c r="A46">
        <f>LOG(ABS(Reals!A46),2)</f>
        <v>2.926183942411495</v>
      </c>
    </row>
    <row r="47" spans="1:1" x14ac:dyDescent="0.35">
      <c r="A47">
        <f>LOG(ABS(Reals!A47),2)</f>
        <v>0.88292776681124485</v>
      </c>
    </row>
    <row r="48" spans="1:1" x14ac:dyDescent="0.35">
      <c r="A48">
        <f>LOG(ABS(Reals!A48),2)</f>
        <v>-1.7143928833983328</v>
      </c>
    </row>
    <row r="49" spans="1:1" x14ac:dyDescent="0.35">
      <c r="A49">
        <f>LOG(ABS(Reals!A49),2)</f>
        <v>2.7951781752724338</v>
      </c>
    </row>
    <row r="50" spans="1:1" x14ac:dyDescent="0.35">
      <c r="A50">
        <f>LOG(ABS(Reals!A50),2)</f>
        <v>1.6237402940895918</v>
      </c>
    </row>
    <row r="51" spans="1:1" x14ac:dyDescent="0.35">
      <c r="A51">
        <f>LOG(ABS(Reals!A51),2)</f>
        <v>0.617056448164084</v>
      </c>
    </row>
    <row r="52" spans="1:1" x14ac:dyDescent="0.35">
      <c r="A52">
        <f>LOG(ABS(Reals!A52),2)</f>
        <v>0.72038571855528388</v>
      </c>
    </row>
    <row r="53" spans="1:1" x14ac:dyDescent="0.35">
      <c r="A53">
        <f>LOG(ABS(Reals!A53),2)</f>
        <v>3.1889445054681054</v>
      </c>
    </row>
    <row r="54" spans="1:1" x14ac:dyDescent="0.35">
      <c r="A54">
        <f>LOG(ABS(Reals!A54),2)</f>
        <v>2.1240613300868385</v>
      </c>
    </row>
    <row r="55" spans="1:1" x14ac:dyDescent="0.35">
      <c r="A55">
        <f>LOG(ABS(Reals!A55),2)</f>
        <v>3.1137059528702489</v>
      </c>
    </row>
    <row r="56" spans="1:1" x14ac:dyDescent="0.35">
      <c r="A56">
        <f>LOG(ABS(Reals!A56),2)</f>
        <v>2.4631220622022054</v>
      </c>
    </row>
    <row r="57" spans="1:1" x14ac:dyDescent="0.35">
      <c r="A57">
        <f>LOG(ABS(Reals!A57),2)</f>
        <v>-0.50964682687590146</v>
      </c>
    </row>
    <row r="58" spans="1:1" x14ac:dyDescent="0.35">
      <c r="A58">
        <f>LOG(ABS(Reals!A58),2)</f>
        <v>2.3402514508709298</v>
      </c>
    </row>
    <row r="59" spans="1:1" x14ac:dyDescent="0.35">
      <c r="A59">
        <f>LOG(ABS(Reals!A59),2)</f>
        <v>2.8623489540269538</v>
      </c>
    </row>
    <row r="60" spans="1:1" x14ac:dyDescent="0.35">
      <c r="A60">
        <f>LOG(ABS(Reals!A60),2)</f>
        <v>3.2084500486385026</v>
      </c>
    </row>
    <row r="61" spans="1:1" x14ac:dyDescent="0.35">
      <c r="A61">
        <f>LOG(ABS(Reals!A61),2)</f>
        <v>-1</v>
      </c>
    </row>
    <row r="62" spans="1:1" x14ac:dyDescent="0.35">
      <c r="A62">
        <f>LOG(ABS(Reals!A62),2)</f>
        <v>0</v>
      </c>
    </row>
    <row r="63" spans="1:1" x14ac:dyDescent="0.35">
      <c r="A63">
        <f>LOG(ABS(Reals!A63),2)</f>
        <v>1</v>
      </c>
    </row>
    <row r="64" spans="1:1" x14ac:dyDescent="0.35">
      <c r="A64">
        <f>LOG(ABS(Reals!A64),2)</f>
        <v>-1</v>
      </c>
    </row>
    <row r="65" spans="1:1" x14ac:dyDescent="0.35">
      <c r="A65">
        <f>LOG(ABS(Reals!A65),2)</f>
        <v>-26.575424759098901</v>
      </c>
    </row>
    <row r="66" spans="1:1" x14ac:dyDescent="0.35">
      <c r="A66">
        <f>LOG(ABS(Reals!A66),2)</f>
        <v>-0.34850387052768128</v>
      </c>
    </row>
    <row r="67" spans="1:1" x14ac:dyDescent="0.35">
      <c r="A67">
        <f>LOG(ABS(Reals!A67),2)</f>
        <v>6.6533628751162463E-2</v>
      </c>
    </row>
    <row r="68" spans="1:1" x14ac:dyDescent="0.35">
      <c r="A68">
        <f>LOG(ABS(Reals!A68),2)</f>
        <v>-0.93346637124883758</v>
      </c>
    </row>
    <row r="69" spans="1:1" x14ac:dyDescent="0.35">
      <c r="A69">
        <f>LOG(ABS(Reals!A69),2)</f>
        <v>1.236458630193475</v>
      </c>
    </row>
    <row r="70" spans="1:1" x14ac:dyDescent="0.35">
      <c r="A70">
        <f>LOG(ABS(Reals!A70),2)</f>
        <v>6.6438561897747253</v>
      </c>
    </row>
    <row r="71" spans="1:1" x14ac:dyDescent="0.35">
      <c r="A71">
        <f>LOG(ABS(Reals!A71),2)</f>
        <v>16.609640474436812</v>
      </c>
    </row>
    <row r="72" spans="1:1" x14ac:dyDescent="0.35">
      <c r="A72">
        <f>LOG(ABS(Reals!A72),2)</f>
        <v>23.253496664211539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382B-CEEA-4EB9-9B3E-C594DC6EAA93}">
  <dimension ref="A1:A72"/>
  <sheetViews>
    <sheetView workbookViewId="0"/>
  </sheetViews>
  <sheetFormatPr defaultRowHeight="14.5" x14ac:dyDescent="0.35"/>
  <sheetData>
    <row r="1" spans="1:1" x14ac:dyDescent="0.35">
      <c r="A1">
        <f>DEGREES(Reals!A1)</f>
        <v>-352.52512548409896</v>
      </c>
    </row>
    <row r="2" spans="1:1" x14ac:dyDescent="0.35">
      <c r="A2">
        <f>DEGREES(Reals!A2)</f>
        <v>-244.26055831200833</v>
      </c>
    </row>
    <row r="3" spans="1:1" x14ac:dyDescent="0.35">
      <c r="A3">
        <f>DEGREES(Reals!A3)</f>
        <v>-437.56181482315446</v>
      </c>
    </row>
    <row r="4" spans="1:1" x14ac:dyDescent="0.35">
      <c r="A4">
        <f>DEGREES(Reals!A4)</f>
        <v>-221.97310883500859</v>
      </c>
    </row>
    <row r="5" spans="1:1" x14ac:dyDescent="0.35">
      <c r="A5">
        <f>DEGREES(Reals!A5)</f>
        <v>-218.47602717931451</v>
      </c>
    </row>
    <row r="6" spans="1:1" x14ac:dyDescent="0.35">
      <c r="A6">
        <f>DEGREES(Reals!A6)</f>
        <v>-361.60191845138496</v>
      </c>
    </row>
    <row r="7" spans="1:1" x14ac:dyDescent="0.35">
      <c r="A7">
        <f>DEGREES(Reals!A7)</f>
        <v>79.052589077016393</v>
      </c>
    </row>
    <row r="8" spans="1:1" x14ac:dyDescent="0.35">
      <c r="A8">
        <f>DEGREES(Reals!A8)</f>
        <v>270.09207022132347</v>
      </c>
    </row>
    <row r="9" spans="1:1" x14ac:dyDescent="0.35">
      <c r="A9">
        <f>DEGREES(Reals!A9)</f>
        <v>-337.54860189023373</v>
      </c>
    </row>
    <row r="10" spans="1:1" x14ac:dyDescent="0.35">
      <c r="A10">
        <f>DEGREES(Reals!A10)</f>
        <v>11.453327279194484</v>
      </c>
    </row>
    <row r="11" spans="1:1" x14ac:dyDescent="0.35">
      <c r="A11">
        <f>DEGREES(Reals!A11)</f>
        <v>-395.44967206472023</v>
      </c>
    </row>
    <row r="12" spans="1:1" x14ac:dyDescent="0.35">
      <c r="A12">
        <f>DEGREES(Reals!A12)</f>
        <v>544.74361386171165</v>
      </c>
    </row>
    <row r="13" spans="1:1" x14ac:dyDescent="0.35">
      <c r="A13">
        <f>DEGREES(Reals!A13)</f>
        <v>-205.96200651162562</v>
      </c>
    </row>
    <row r="14" spans="1:1" x14ac:dyDescent="0.35">
      <c r="A14">
        <f>DEGREES(Reals!A14)</f>
        <v>5.1722302138416145</v>
      </c>
    </row>
    <row r="15" spans="1:1" x14ac:dyDescent="0.35">
      <c r="A15">
        <f>DEGREES(Reals!A15)</f>
        <v>193.4039034402785</v>
      </c>
    </row>
    <row r="16" spans="1:1" x14ac:dyDescent="0.35">
      <c r="A16">
        <f>DEGREES(Reals!A16)</f>
        <v>-188.42710694580677</v>
      </c>
    </row>
    <row r="17" spans="1:1" x14ac:dyDescent="0.35">
      <c r="A17">
        <f>DEGREES(Reals!A17)</f>
        <v>-28.524113652226131</v>
      </c>
    </row>
    <row r="18" spans="1:1" x14ac:dyDescent="0.35">
      <c r="A18">
        <f>DEGREES(Reals!A18)</f>
        <v>460.28758965218287</v>
      </c>
    </row>
    <row r="19" spans="1:1" x14ac:dyDescent="0.35">
      <c r="A19">
        <f>DEGREES(Reals!A19)</f>
        <v>57.453616139647202</v>
      </c>
    </row>
    <row r="20" spans="1:1" x14ac:dyDescent="0.35">
      <c r="A20">
        <f>DEGREES(Reals!A20)</f>
        <v>-337.55159363183515</v>
      </c>
    </row>
    <row r="21" spans="1:1" x14ac:dyDescent="0.35">
      <c r="A21">
        <f>DEGREES(Reals!A21)</f>
        <v>450.43485757824891</v>
      </c>
    </row>
    <row r="22" spans="1:1" x14ac:dyDescent="0.35">
      <c r="A22">
        <f>DEGREES(Reals!A22)</f>
        <v>-247.30069489339809</v>
      </c>
    </row>
    <row r="23" spans="1:1" x14ac:dyDescent="0.35">
      <c r="A23">
        <f>DEGREES(Reals!A23)</f>
        <v>-271.47035464780669</v>
      </c>
    </row>
    <row r="24" spans="1:1" x14ac:dyDescent="0.35">
      <c r="A24">
        <f>DEGREES(Reals!A24)</f>
        <v>5.8671030333742085</v>
      </c>
    </row>
    <row r="25" spans="1:1" x14ac:dyDescent="0.35">
      <c r="A25">
        <f>DEGREES(Reals!A25)</f>
        <v>133.6103440217542</v>
      </c>
    </row>
    <row r="26" spans="1:1" x14ac:dyDescent="0.35">
      <c r="A26">
        <f>DEGREES(Reals!A26)</f>
        <v>271.85886033102742</v>
      </c>
    </row>
    <row r="27" spans="1:1" x14ac:dyDescent="0.35">
      <c r="A27">
        <f>DEGREES(Reals!A27)</f>
        <v>-286.6374492699336</v>
      </c>
    </row>
    <row r="28" spans="1:1" x14ac:dyDescent="0.35">
      <c r="A28">
        <f>DEGREES(Reals!A28)</f>
        <v>-541.86811809715493</v>
      </c>
    </row>
    <row r="29" spans="1:1" x14ac:dyDescent="0.35">
      <c r="A29">
        <f>DEGREES(Reals!A29)</f>
        <v>-434.0890127171437</v>
      </c>
    </row>
    <row r="30" spans="1:1" x14ac:dyDescent="0.35">
      <c r="A30">
        <f>DEGREES(Reals!A30)</f>
        <v>184.16245598845228</v>
      </c>
    </row>
    <row r="31" spans="1:1" x14ac:dyDescent="0.35">
      <c r="A31">
        <f>DEGREES(Reals!A31)</f>
        <v>-454.11046059442867</v>
      </c>
    </row>
    <row r="32" spans="1:1" x14ac:dyDescent="0.35">
      <c r="A32">
        <f>DEGREES(Reals!A32)</f>
        <v>-225.13446120397248</v>
      </c>
    </row>
    <row r="33" spans="1:1" x14ac:dyDescent="0.35">
      <c r="A33">
        <f>DEGREES(Reals!A33)</f>
        <v>-301.8654305827028</v>
      </c>
    </row>
    <row r="34" spans="1:1" x14ac:dyDescent="0.35">
      <c r="A34">
        <f>DEGREES(Reals!A34)</f>
        <v>541.36005220893469</v>
      </c>
    </row>
    <row r="35" spans="1:1" x14ac:dyDescent="0.35">
      <c r="A35">
        <f>DEGREES(Reals!A35)</f>
        <v>-443.6794054796984</v>
      </c>
    </row>
    <row r="36" spans="1:1" x14ac:dyDescent="0.35">
      <c r="A36">
        <f>DEGREES(Reals!A36)</f>
        <v>270.16489708470982</v>
      </c>
    </row>
    <row r="37" spans="1:1" x14ac:dyDescent="0.35">
      <c r="A37">
        <f>DEGREES(Reals!A37)</f>
        <v>529.38042608038199</v>
      </c>
    </row>
    <row r="38" spans="1:1" x14ac:dyDescent="0.35">
      <c r="A38">
        <f>DEGREES(Reals!A38)</f>
        <v>454.82743224870813</v>
      </c>
    </row>
    <row r="39" spans="1:1" x14ac:dyDescent="0.35">
      <c r="A39">
        <f>DEGREES(Reals!A39)</f>
        <v>-378.49291921331189</v>
      </c>
    </row>
    <row r="40" spans="1:1" x14ac:dyDescent="0.35">
      <c r="A40">
        <f>DEGREES(Reals!A40)</f>
        <v>51.008440943502613</v>
      </c>
    </row>
    <row r="41" spans="1:1" x14ac:dyDescent="0.35">
      <c r="A41">
        <f>DEGREES(Reals!A41)</f>
        <v>-83.027403558366288</v>
      </c>
    </row>
    <row r="42" spans="1:1" x14ac:dyDescent="0.35">
      <c r="A42">
        <f>DEGREES(Reals!A42)</f>
        <v>562.30863586194312</v>
      </c>
    </row>
    <row r="43" spans="1:1" x14ac:dyDescent="0.35">
      <c r="A43">
        <f>DEGREES(Reals!A43)</f>
        <v>517.64497136211708</v>
      </c>
    </row>
    <row r="44" spans="1:1" x14ac:dyDescent="0.35">
      <c r="A44">
        <f>DEGREES(Reals!A44)</f>
        <v>-222.20019201607352</v>
      </c>
    </row>
    <row r="45" spans="1:1" x14ac:dyDescent="0.35">
      <c r="A45">
        <f>DEGREES(Reals!A45)</f>
        <v>361.27692862464994</v>
      </c>
    </row>
    <row r="46" spans="1:1" x14ac:dyDescent="0.35">
      <c r="A46">
        <f>DEGREES(Reals!A46)</f>
        <v>-435.50362260447821</v>
      </c>
    </row>
    <row r="47" spans="1:1" x14ac:dyDescent="0.35">
      <c r="A47">
        <f>DEGREES(Reals!A47)</f>
        <v>-105.65994352558442</v>
      </c>
    </row>
    <row r="48" spans="1:1" x14ac:dyDescent="0.35">
      <c r="A48">
        <f>DEGREES(Reals!A48)</f>
        <v>17.459787358220563</v>
      </c>
    </row>
    <row r="49" spans="1:1" x14ac:dyDescent="0.35">
      <c r="A49">
        <f>DEGREES(Reals!A49)</f>
        <v>397.69955623861182</v>
      </c>
    </row>
    <row r="50" spans="1:1" x14ac:dyDescent="0.35">
      <c r="A50">
        <f>DEGREES(Reals!A50)</f>
        <v>-176.57010126925942</v>
      </c>
    </row>
    <row r="51" spans="1:1" x14ac:dyDescent="0.35">
      <c r="A51">
        <f>DEGREES(Reals!A51)</f>
        <v>-87.876981797031718</v>
      </c>
    </row>
    <row r="52" spans="1:1" x14ac:dyDescent="0.35">
      <c r="A52">
        <f>DEGREES(Reals!A52)</f>
        <v>94.401814538518209</v>
      </c>
    </row>
    <row r="53" spans="1:1" x14ac:dyDescent="0.35">
      <c r="A53">
        <f>DEGREES(Reals!A53)</f>
        <v>522.50515925797345</v>
      </c>
    </row>
    <row r="54" spans="1:1" x14ac:dyDescent="0.35">
      <c r="A54">
        <f>DEGREES(Reals!A54)</f>
        <v>249.76340439181436</v>
      </c>
    </row>
    <row r="55" spans="1:1" x14ac:dyDescent="0.35">
      <c r="A55">
        <f>DEGREES(Reals!A55)</f>
        <v>495.9541422777649</v>
      </c>
    </row>
    <row r="56" spans="1:1" x14ac:dyDescent="0.35">
      <c r="A56">
        <f>DEGREES(Reals!A56)</f>
        <v>315.93392001130115</v>
      </c>
    </row>
    <row r="57" spans="1:1" x14ac:dyDescent="0.35">
      <c r="A57">
        <f>DEGREES(Reals!A57)</f>
        <v>40.244232590091499</v>
      </c>
    </row>
    <row r="58" spans="1:1" x14ac:dyDescent="0.35">
      <c r="A58">
        <f>DEGREES(Reals!A58)</f>
        <v>-290.14060781566559</v>
      </c>
    </row>
    <row r="59" spans="1:1" x14ac:dyDescent="0.35">
      <c r="A59">
        <f>DEGREES(Reals!A59)</f>
        <v>416.65397130802074</v>
      </c>
    </row>
    <row r="60" spans="1:1" x14ac:dyDescent="0.35">
      <c r="A60">
        <f>DEGREES(Reals!A60)</f>
        <v>529.61751183085903</v>
      </c>
    </row>
    <row r="61" spans="1:1" x14ac:dyDescent="0.35">
      <c r="A61">
        <f>DEGREES(Reals!A61)</f>
        <v>28.647889756541161</v>
      </c>
    </row>
    <row r="62" spans="1:1" x14ac:dyDescent="0.35">
      <c r="A62">
        <f>DEGREES(Reals!A62)</f>
        <v>57.295779513082323</v>
      </c>
    </row>
    <row r="63" spans="1:1" x14ac:dyDescent="0.35">
      <c r="A63">
        <f>DEGREES(Reals!A63)</f>
        <v>114.59155902616465</v>
      </c>
    </row>
    <row r="64" spans="1:1" x14ac:dyDescent="0.35">
      <c r="A64">
        <f>DEGREES(Reals!A64)</f>
        <v>-28.647889756541161</v>
      </c>
    </row>
    <row r="65" spans="1:1" x14ac:dyDescent="0.35">
      <c r="A65">
        <f>DEGREES(Reals!A65)</f>
        <v>5.7295779513082324E-7</v>
      </c>
    </row>
    <row r="66" spans="1:1" x14ac:dyDescent="0.35">
      <c r="A66">
        <f>DEGREES(Reals!A66)</f>
        <v>45</v>
      </c>
    </row>
    <row r="67" spans="1:1" x14ac:dyDescent="0.35">
      <c r="A67">
        <f>DEGREES(Reals!A67)</f>
        <v>59.999999999999993</v>
      </c>
    </row>
    <row r="68" spans="1:1" x14ac:dyDescent="0.35">
      <c r="A68">
        <f>DEGREES(Reals!A68)</f>
        <v>29.999999999999996</v>
      </c>
    </row>
    <row r="69" spans="1:1" x14ac:dyDescent="0.35">
      <c r="A69">
        <f>DEGREES(Reals!A69)</f>
        <v>135</v>
      </c>
    </row>
    <row r="70" spans="1:1" x14ac:dyDescent="0.35">
      <c r="A70">
        <f>DEGREES(Reals!A70)</f>
        <v>5729.5779513082325</v>
      </c>
    </row>
    <row r="71" spans="1:1" x14ac:dyDescent="0.35">
      <c r="A71">
        <f>DEGREES(Reals!A71)</f>
        <v>5729577.9513082327</v>
      </c>
    </row>
    <row r="72" spans="1:1" x14ac:dyDescent="0.35">
      <c r="A72">
        <f>DEGREES(Reals!A72)</f>
        <v>572957795.13082325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4C92-366A-4D4E-9985-372AA7BF3758}">
  <dimension ref="A1:A72"/>
  <sheetViews>
    <sheetView workbookViewId="0"/>
  </sheetViews>
  <sheetFormatPr defaultRowHeight="14.5" x14ac:dyDescent="0.35"/>
  <sheetData>
    <row r="1" spans="1:1" x14ac:dyDescent="0.35">
      <c r="A1">
        <f>RADIANS(Reals!A1)</f>
        <v>-0.10738529413495189</v>
      </c>
    </row>
    <row r="2" spans="1:1" x14ac:dyDescent="0.35">
      <c r="A2">
        <f>RADIANS(Reals!A2)</f>
        <v>-7.4406021028664851E-2</v>
      </c>
    </row>
    <row r="3" spans="1:1" x14ac:dyDescent="0.35">
      <c r="A3">
        <f>RADIANS(Reals!A3)</f>
        <v>-0.1332889510286189</v>
      </c>
    </row>
    <row r="4" spans="1:1" x14ac:dyDescent="0.35">
      <c r="A4">
        <f>RADIANS(Reals!A4)</f>
        <v>-6.7616875675354557E-2</v>
      </c>
    </row>
    <row r="5" spans="1:1" x14ac:dyDescent="0.35">
      <c r="A5">
        <f>RADIANS(Reals!A5)</f>
        <v>-6.6551603684613603E-2</v>
      </c>
    </row>
    <row r="6" spans="1:1" x14ac:dyDescent="0.35">
      <c r="A6">
        <f>RADIANS(Reals!A6)</f>
        <v>-0.1101502433885847</v>
      </c>
    </row>
    <row r="7" spans="1:1" x14ac:dyDescent="0.35">
      <c r="A7">
        <f>RADIANS(Reals!A7)</f>
        <v>2.4080795712099676E-2</v>
      </c>
    </row>
    <row r="8" spans="1:1" x14ac:dyDescent="0.35">
      <c r="A8">
        <f>RADIANS(Reals!A8)</f>
        <v>8.2274749535670072E-2</v>
      </c>
    </row>
    <row r="9" spans="1:1" x14ac:dyDescent="0.35">
      <c r="A9">
        <f>RADIANS(Reals!A9)</f>
        <v>-0.10282318416041392</v>
      </c>
    </row>
    <row r="10" spans="1:1" x14ac:dyDescent="0.35">
      <c r="A10">
        <f>RADIANS(Reals!A10)</f>
        <v>3.4888830037609472E-3</v>
      </c>
    </row>
    <row r="11" spans="1:1" x14ac:dyDescent="0.35">
      <c r="A11">
        <f>RADIANS(Reals!A11)</f>
        <v>-0.12046085875985513</v>
      </c>
    </row>
    <row r="12" spans="1:1" x14ac:dyDescent="0.35">
      <c r="A12">
        <f>RADIANS(Reals!A12)</f>
        <v>0.16593839409984168</v>
      </c>
    </row>
    <row r="13" spans="1:1" x14ac:dyDescent="0.35">
      <c r="A13">
        <f>RADIANS(Reals!A13)</f>
        <v>-6.2739614997664658E-2</v>
      </c>
    </row>
    <row r="14" spans="1:1" x14ac:dyDescent="0.35">
      <c r="A14">
        <f>RADIANS(Reals!A14)</f>
        <v>1.5755514222832885E-3</v>
      </c>
    </row>
    <row r="15" spans="1:1" x14ac:dyDescent="0.35">
      <c r="A15">
        <f>RADIANS(Reals!A15)</f>
        <v>5.8914198042655366E-2</v>
      </c>
    </row>
    <row r="16" spans="1:1" x14ac:dyDescent="0.35">
      <c r="A16">
        <f>RADIANS(Reals!A16)</f>
        <v>-5.7398179135705857E-2</v>
      </c>
    </row>
    <row r="17" spans="1:1" x14ac:dyDescent="0.35">
      <c r="A17">
        <f>RADIANS(Reals!A17)</f>
        <v>-8.6889419024439533E-3</v>
      </c>
    </row>
    <row r="18" spans="1:1" x14ac:dyDescent="0.35">
      <c r="A18">
        <f>RADIANS(Reals!A18)</f>
        <v>0.14021161791969125</v>
      </c>
    </row>
    <row r="19" spans="1:1" x14ac:dyDescent="0.35">
      <c r="A19">
        <f>RADIANS(Reals!A19)</f>
        <v>1.7501372305875326E-2</v>
      </c>
    </row>
    <row r="20" spans="1:1" x14ac:dyDescent="0.35">
      <c r="A20">
        <f>RADIANS(Reals!A20)</f>
        <v>-0.10282409549702119</v>
      </c>
    </row>
    <row r="21" spans="1:1" x14ac:dyDescent="0.35">
      <c r="A21">
        <f>RADIANS(Reals!A21)</f>
        <v>0.13721030409747975</v>
      </c>
    </row>
    <row r="22" spans="1:1" x14ac:dyDescent="0.35">
      <c r="A22">
        <f>RADIANS(Reals!A22)</f>
        <v>-7.5332099589886986E-2</v>
      </c>
    </row>
    <row r="23" spans="1:1" x14ac:dyDescent="0.35">
      <c r="A23">
        <f>RADIANS(Reals!A23)</f>
        <v>-8.2694598981397596E-2</v>
      </c>
    </row>
    <row r="24" spans="1:1" x14ac:dyDescent="0.35">
      <c r="A24">
        <f>RADIANS(Reals!A24)</f>
        <v>1.7872217876492224E-3</v>
      </c>
    </row>
    <row r="25" spans="1:1" x14ac:dyDescent="0.35">
      <c r="A25">
        <f>RADIANS(Reals!A25)</f>
        <v>4.0700038252721248E-2</v>
      </c>
    </row>
    <row r="26" spans="1:1" x14ac:dyDescent="0.35">
      <c r="A26">
        <f>RADIANS(Reals!A26)</f>
        <v>8.2812944580192754E-2</v>
      </c>
    </row>
    <row r="27" spans="1:1" x14ac:dyDescent="0.35">
      <c r="A27">
        <f>RADIANS(Reals!A27)</f>
        <v>-8.7314760210850745E-2</v>
      </c>
    </row>
    <row r="28" spans="1:1" x14ac:dyDescent="0.35">
      <c r="A28">
        <f>RADIANS(Reals!A28)</f>
        <v>-0.16506246799943483</v>
      </c>
    </row>
    <row r="29" spans="1:1" x14ac:dyDescent="0.35">
      <c r="A29">
        <f>RADIANS(Reals!A29)</f>
        <v>-0.13223107501165604</v>
      </c>
    </row>
    <row r="30" spans="1:1" x14ac:dyDescent="0.35">
      <c r="A30">
        <f>RADIANS(Reals!A30)</f>
        <v>5.6099092164785612E-2</v>
      </c>
    </row>
    <row r="31" spans="1:1" x14ac:dyDescent="0.35">
      <c r="A31">
        <f>RADIANS(Reals!A31)</f>
        <v>-0.13832995680442867</v>
      </c>
    </row>
    <row r="32" spans="1:1" x14ac:dyDescent="0.35">
      <c r="A32">
        <f>RADIANS(Reals!A32)</f>
        <v>-6.8579878677024947E-2</v>
      </c>
    </row>
    <row r="33" spans="1:1" x14ac:dyDescent="0.35">
      <c r="A33">
        <f>RADIANS(Reals!A33)</f>
        <v>-9.1953468586906714E-2</v>
      </c>
    </row>
    <row r="34" spans="1:1" x14ac:dyDescent="0.35">
      <c r="A34">
        <f>RADIANS(Reals!A34)</f>
        <v>0.16490770227948354</v>
      </c>
    </row>
    <row r="35" spans="1:1" x14ac:dyDescent="0.35">
      <c r="A35">
        <f>RADIANS(Reals!A35)</f>
        <v>-0.13515247570972658</v>
      </c>
    </row>
    <row r="36" spans="1:1" x14ac:dyDescent="0.35">
      <c r="A36">
        <f>RADIANS(Reals!A36)</f>
        <v>8.2296933866885968E-2</v>
      </c>
    </row>
    <row r="37" spans="1:1" x14ac:dyDescent="0.35">
      <c r="A37">
        <f>RADIANS(Reals!A37)</f>
        <v>0.16125849947819437</v>
      </c>
    </row>
    <row r="38" spans="1:1" x14ac:dyDescent="0.35">
      <c r="A38">
        <f>RADIANS(Reals!A38)</f>
        <v>0.13854835885981548</v>
      </c>
    </row>
    <row r="39" spans="1:1" x14ac:dyDescent="0.35">
      <c r="A39">
        <f>RADIANS(Reals!A39)</f>
        <v>-0.11529553645829821</v>
      </c>
    </row>
    <row r="40" spans="1:1" x14ac:dyDescent="0.35">
      <c r="A40">
        <f>RADIANS(Reals!A40)</f>
        <v>1.5538059667552468E-2</v>
      </c>
    </row>
    <row r="41" spans="1:1" x14ac:dyDescent="0.35">
      <c r="A41">
        <f>RADIANS(Reals!A41)</f>
        <v>-2.5291593443539324E-2</v>
      </c>
    </row>
    <row r="42" spans="1:1" x14ac:dyDescent="0.35">
      <c r="A42">
        <f>RADIANS(Reals!A42)</f>
        <v>0.17128900578004899</v>
      </c>
    </row>
    <row r="43" spans="1:1" x14ac:dyDescent="0.35">
      <c r="A43">
        <f>RADIANS(Reals!A43)</f>
        <v>0.15768367554189278</v>
      </c>
    </row>
    <row r="44" spans="1:1" x14ac:dyDescent="0.35">
      <c r="A44">
        <f>RADIANS(Reals!A44)</f>
        <v>-6.7686049168047518E-2</v>
      </c>
    </row>
    <row r="45" spans="1:1" x14ac:dyDescent="0.35">
      <c r="A45">
        <f>RADIANS(Reals!A45)</f>
        <v>0.11005124582610774</v>
      </c>
    </row>
    <row r="46" spans="1:1" x14ac:dyDescent="0.35">
      <c r="A46">
        <f>RADIANS(Reals!A46)</f>
        <v>-0.13266198982554064</v>
      </c>
    </row>
    <row r="47" spans="1:1" x14ac:dyDescent="0.35">
      <c r="A47">
        <f>RADIANS(Reals!A47)</f>
        <v>-3.2185859371572874E-2</v>
      </c>
    </row>
    <row r="48" spans="1:1" x14ac:dyDescent="0.35">
      <c r="A48">
        <f>RADIANS(Reals!A48)</f>
        <v>5.3185553750857402E-3</v>
      </c>
    </row>
    <row r="49" spans="1:1" x14ac:dyDescent="0.35">
      <c r="A49">
        <f>RADIANS(Reals!A49)</f>
        <v>0.12114621267172493</v>
      </c>
    </row>
    <row r="50" spans="1:1" x14ac:dyDescent="0.35">
      <c r="A50">
        <f>RADIANS(Reals!A50)</f>
        <v>-5.3786328660119648E-2</v>
      </c>
    </row>
    <row r="51" spans="1:1" x14ac:dyDescent="0.35">
      <c r="A51">
        <f>RADIANS(Reals!A51)</f>
        <v>-2.6768859453655359E-2</v>
      </c>
    </row>
    <row r="52" spans="1:1" x14ac:dyDescent="0.35">
      <c r="A52">
        <f>RADIANS(Reals!A52)</f>
        <v>2.8756437167906813E-2</v>
      </c>
    </row>
    <row r="53" spans="1:1" x14ac:dyDescent="0.35">
      <c r="A53">
        <f>RADIANS(Reals!A53)</f>
        <v>0.15916417343840711</v>
      </c>
    </row>
    <row r="54" spans="1:1" x14ac:dyDescent="0.35">
      <c r="A54">
        <f>RADIANS(Reals!A54)</f>
        <v>7.6082283802978767E-2</v>
      </c>
    </row>
    <row r="55" spans="1:1" x14ac:dyDescent="0.35">
      <c r="A55">
        <f>RADIANS(Reals!A55)</f>
        <v>0.1510762711531829</v>
      </c>
    </row>
    <row r="56" spans="1:1" x14ac:dyDescent="0.35">
      <c r="A56">
        <f>RADIANS(Reals!A56)</f>
        <v>9.6238975536942939E-2</v>
      </c>
    </row>
    <row r="57" spans="1:1" x14ac:dyDescent="0.35">
      <c r="A57">
        <f>RADIANS(Reals!A57)</f>
        <v>1.2259094292889841E-2</v>
      </c>
    </row>
    <row r="58" spans="1:1" x14ac:dyDescent="0.35">
      <c r="A58">
        <f>RADIANS(Reals!A58)</f>
        <v>-8.8381883328155372E-2</v>
      </c>
    </row>
    <row r="59" spans="1:1" x14ac:dyDescent="0.35">
      <c r="A59">
        <f>RADIANS(Reals!A59)</f>
        <v>0.12692005768373457</v>
      </c>
    </row>
    <row r="60" spans="1:1" x14ac:dyDescent="0.35">
      <c r="A60">
        <f>RADIANS(Reals!A60)</f>
        <v>0.1613307199277729</v>
      </c>
    </row>
    <row r="61" spans="1:1" x14ac:dyDescent="0.35">
      <c r="A61">
        <f>RADIANS(Reals!A61)</f>
        <v>8.7266462599716477E-3</v>
      </c>
    </row>
    <row r="62" spans="1:1" x14ac:dyDescent="0.35">
      <c r="A62">
        <f>RADIANS(Reals!A62)</f>
        <v>1.7453292519943295E-2</v>
      </c>
    </row>
    <row r="63" spans="1:1" x14ac:dyDescent="0.35">
      <c r="A63">
        <f>RADIANS(Reals!A63)</f>
        <v>3.4906585039886591E-2</v>
      </c>
    </row>
    <row r="64" spans="1:1" x14ac:dyDescent="0.35">
      <c r="A64">
        <f>RADIANS(Reals!A64)</f>
        <v>-8.7266462599716477E-3</v>
      </c>
    </row>
    <row r="65" spans="1:1" x14ac:dyDescent="0.35">
      <c r="A65">
        <f>RADIANS(Reals!A65)</f>
        <v>1.7453292519943295E-10</v>
      </c>
    </row>
    <row r="66" spans="1:1" x14ac:dyDescent="0.35">
      <c r="A66">
        <f>RADIANS(Reals!A66)</f>
        <v>1.3707783890401887E-2</v>
      </c>
    </row>
    <row r="67" spans="1:1" x14ac:dyDescent="0.35">
      <c r="A67">
        <f>RADIANS(Reals!A67)</f>
        <v>1.8277045187202513E-2</v>
      </c>
    </row>
    <row r="68" spans="1:1" x14ac:dyDescent="0.35">
      <c r="A68">
        <f>RADIANS(Reals!A68)</f>
        <v>9.1385225936012563E-3</v>
      </c>
    </row>
    <row r="69" spans="1:1" x14ac:dyDescent="0.35">
      <c r="A69">
        <f>RADIANS(Reals!A69)</f>
        <v>4.1123351671205656E-2</v>
      </c>
    </row>
    <row r="70" spans="1:1" x14ac:dyDescent="0.35">
      <c r="A70">
        <f>RADIANS(Reals!A70)</f>
        <v>1.7453292519943295</v>
      </c>
    </row>
    <row r="71" spans="1:1" x14ac:dyDescent="0.35">
      <c r="A71">
        <f>RADIANS(Reals!A71)</f>
        <v>1745.3292519943295</v>
      </c>
    </row>
    <row r="72" spans="1:1" x14ac:dyDescent="0.35">
      <c r="A72">
        <f>RADIANS(Reals!A72)</f>
        <v>174532.92519943297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B0FB-8256-40DC-A2B2-FE0D34D527E3}">
  <dimension ref="A1:A72"/>
  <sheetViews>
    <sheetView workbookViewId="0"/>
  </sheetViews>
  <sheetFormatPr defaultRowHeight="14.5" x14ac:dyDescent="0.35"/>
  <sheetData>
    <row r="1" spans="1:1" x14ac:dyDescent="0.35">
      <c r="A1">
        <f>ATAN2(Reals!A1,Reals!A2)</f>
        <v>-2.5356555609625877</v>
      </c>
    </row>
    <row r="2" spans="1:1" x14ac:dyDescent="0.35">
      <c r="A2">
        <f>ATAN2(Reals!A2,Reals!A3)</f>
        <v>-2.07993693288853</v>
      </c>
    </row>
    <row r="3" spans="1:1" x14ac:dyDescent="0.35">
      <c r="A3">
        <f>ATAN2(Reals!A3,Reals!A4)</f>
        <v>-2.6721257484821028</v>
      </c>
    </row>
    <row r="4" spans="1:1" x14ac:dyDescent="0.35">
      <c r="A4">
        <f>ATAN2(Reals!A4,Reals!A5)</f>
        <v>-2.3641341315414683</v>
      </c>
    </row>
    <row r="5" spans="1:1" x14ac:dyDescent="0.35">
      <c r="A5">
        <f>ATAN2(Reals!A5,Reals!A6)</f>
        <v>-2.1142905371561707</v>
      </c>
    </row>
    <row r="6" spans="1:1" x14ac:dyDescent="0.35">
      <c r="A6">
        <f>ATAN2(Reals!A6,Reals!A7)</f>
        <v>2.9263611910430769</v>
      </c>
    </row>
    <row r="7" spans="1:1" x14ac:dyDescent="0.35">
      <c r="A7">
        <f>ATAN2(Reals!A7,Reals!A8)</f>
        <v>1.2860616204490871</v>
      </c>
    </row>
    <row r="8" spans="1:1" x14ac:dyDescent="0.35">
      <c r="A8">
        <f>ATAN2(Reals!A8,Reals!A9)</f>
        <v>-0.89595931056384559</v>
      </c>
    </row>
    <row r="9" spans="1:1" x14ac:dyDescent="0.35">
      <c r="A9">
        <f>ATAN2(Reals!A9,Reals!A10)</f>
        <v>3.1076747679245114</v>
      </c>
    </row>
    <row r="10" spans="1:1" x14ac:dyDescent="0.35">
      <c r="A10">
        <f>ATAN2(Reals!A10,Reals!A11)</f>
        <v>-1.5418416274162978</v>
      </c>
    </row>
    <row r="11" spans="1:1" x14ac:dyDescent="0.35">
      <c r="A11">
        <f>ATAN2(Reals!A11,Reals!A12)</f>
        <v>2.1987185731336445</v>
      </c>
    </row>
    <row r="12" spans="1:1" x14ac:dyDescent="0.35">
      <c r="A12">
        <f>ATAN2(Reals!A12,Reals!A13)</f>
        <v>-0.36147678448603565</v>
      </c>
    </row>
    <row r="13" spans="1:1" x14ac:dyDescent="0.35">
      <c r="A13">
        <f>ATAN2(Reals!A13,Reals!A14)</f>
        <v>3.1164853853075876</v>
      </c>
    </row>
    <row r="14" spans="1:1" x14ac:dyDescent="0.35">
      <c r="A14">
        <f>ATAN2(Reals!A14,Reals!A15)</f>
        <v>1.5440595464222604</v>
      </c>
    </row>
    <row r="15" spans="1:1" x14ac:dyDescent="0.35">
      <c r="A15">
        <f>ATAN2(Reals!A15,Reals!A16)</f>
        <v>-0.77236487233772999</v>
      </c>
    </row>
    <row r="16" spans="1:1" x14ac:dyDescent="0.35">
      <c r="A16">
        <f>ATAN2(Reals!A16,Reals!A17)</f>
        <v>-2.9913532522790005</v>
      </c>
    </row>
    <row r="17" spans="1:1" x14ac:dyDescent="0.35">
      <c r="A17">
        <f>ATAN2(Reals!A17,Reals!A18)</f>
        <v>1.6326873801838631</v>
      </c>
    </row>
    <row r="18" spans="1:1" x14ac:dyDescent="0.35">
      <c r="A18">
        <f>ATAN2(Reals!A18,Reals!A19)</f>
        <v>0.12417887053713871</v>
      </c>
    </row>
    <row r="19" spans="1:1" x14ac:dyDescent="0.35">
      <c r="A19">
        <f>ATAN2(Reals!A19,Reals!A20)</f>
        <v>-1.4022050712912766</v>
      </c>
    </row>
    <row r="20" spans="1:1" x14ac:dyDescent="0.35">
      <c r="A20">
        <f>ATAN2(Reals!A20,Reals!A21)</f>
        <v>2.2139072279380603</v>
      </c>
    </row>
    <row r="21" spans="1:1" x14ac:dyDescent="0.35">
      <c r="A21">
        <f>ATAN2(Reals!A21,Reals!A22)</f>
        <v>-0.50209553164802179</v>
      </c>
    </row>
    <row r="22" spans="1:1" x14ac:dyDescent="0.35">
      <c r="A22">
        <f>ATAN2(Reals!A22,Reals!A23)</f>
        <v>-2.3096379320207001</v>
      </c>
    </row>
    <row r="23" spans="1:1" x14ac:dyDescent="0.35">
      <c r="A23">
        <f>ATAN2(Reals!A23,Reals!A24)</f>
        <v>3.1199837018343262</v>
      </c>
    </row>
    <row r="24" spans="1:1" x14ac:dyDescent="0.35">
      <c r="A24">
        <f>ATAN2(Reals!A24,Reals!A25)</f>
        <v>1.5269124769420117</v>
      </c>
    </row>
    <row r="25" spans="1:1" x14ac:dyDescent="0.35">
      <c r="A25">
        <f>ATAN2(Reals!A25,Reals!A26)</f>
        <v>1.1139963593347133</v>
      </c>
    </row>
    <row r="26" spans="1:1" x14ac:dyDescent="0.35">
      <c r="A26">
        <f>ATAN2(Reals!A26,Reals!A27)</f>
        <v>-0.81185338035255927</v>
      </c>
    </row>
    <row r="27" spans="1:1" x14ac:dyDescent="0.35">
      <c r="A27">
        <f>ATAN2(Reals!A27,Reals!A28)</f>
        <v>-2.0573583303651697</v>
      </c>
    </row>
    <row r="28" spans="1:1" x14ac:dyDescent="0.35">
      <c r="A28">
        <f>ATAN2(Reals!A28,Reals!A29)</f>
        <v>-2.4661830668333575</v>
      </c>
    </row>
    <row r="29" spans="1:1" x14ac:dyDescent="0.35">
      <c r="A29">
        <f>ATAN2(Reals!A29,Reals!A30)</f>
        <v>2.7403570588599515</v>
      </c>
    </row>
    <row r="30" spans="1:1" x14ac:dyDescent="0.35">
      <c r="A30">
        <f>ATAN2(Reals!A30,Reals!A31)</f>
        <v>-1.1855185025203316</v>
      </c>
    </row>
    <row r="31" spans="1:1" x14ac:dyDescent="0.35">
      <c r="A31">
        <f>ATAN2(Reals!A31,Reals!A32)</f>
        <v>-2.6813345581825114</v>
      </c>
    </row>
    <row r="32" spans="1:1" x14ac:dyDescent="0.35">
      <c r="A32">
        <f>ATAN2(Reals!A32,Reals!A33)</f>
        <v>-2.2116108731009012</v>
      </c>
    </row>
    <row r="33" spans="1:1" x14ac:dyDescent="0.35">
      <c r="A33">
        <f>ATAN2(Reals!A33,Reals!A34)</f>
        <v>2.0794600588292336</v>
      </c>
    </row>
    <row r="34" spans="1:1" x14ac:dyDescent="0.35">
      <c r="A34">
        <f>ATAN2(Reals!A34,Reals!A35)</f>
        <v>-0.68655710703232808</v>
      </c>
    </row>
    <row r="35" spans="1:1" x14ac:dyDescent="0.35">
      <c r="A35">
        <f>ATAN2(Reals!A35,Reals!A36)</f>
        <v>2.5946407350690954</v>
      </c>
    </row>
    <row r="36" spans="1:1" x14ac:dyDescent="0.35">
      <c r="A36">
        <f>ATAN2(Reals!A36,Reals!A37)</f>
        <v>1.0989096417300102</v>
      </c>
    </row>
    <row r="37" spans="1:1" x14ac:dyDescent="0.35">
      <c r="A37">
        <f>ATAN2(Reals!A37,Reals!A38)</f>
        <v>0.70979331182975913</v>
      </c>
    </row>
    <row r="38" spans="1:1" x14ac:dyDescent="0.35">
      <c r="A38">
        <f>ATAN2(Reals!A38,Reals!A39)</f>
        <v>-0.69405025408676113</v>
      </c>
    </row>
    <row r="39" spans="1:1" x14ac:dyDescent="0.35">
      <c r="A39">
        <f>ATAN2(Reals!A39,Reals!A40)</f>
        <v>3.0076325398984785</v>
      </c>
    </row>
    <row r="40" spans="1:1" x14ac:dyDescent="0.35">
      <c r="A40">
        <f>ATAN2(Reals!A40,Reals!A41)</f>
        <v>-1.0198872621514623</v>
      </c>
    </row>
    <row r="41" spans="1:1" x14ac:dyDescent="0.35">
      <c r="A41">
        <f>ATAN2(Reals!A41,Reals!A42)</f>
        <v>1.7173916067100796</v>
      </c>
    </row>
    <row r="42" spans="1:1" x14ac:dyDescent="0.35">
      <c r="A42">
        <f>ATAN2(Reals!A42,Reals!A43)</f>
        <v>0.74406469683929</v>
      </c>
    </row>
    <row r="43" spans="1:1" x14ac:dyDescent="0.35">
      <c r="A43">
        <f>ATAN2(Reals!A43,Reals!A44)</f>
        <v>-0.40546669617409598</v>
      </c>
    </row>
    <row r="44" spans="1:1" x14ac:dyDescent="0.35">
      <c r="A44">
        <f>ATAN2(Reals!A44,Reals!A45)</f>
        <v>2.1222021770207329</v>
      </c>
    </row>
    <row r="45" spans="1:1" x14ac:dyDescent="0.35">
      <c r="A45">
        <f>ATAN2(Reals!A45,Reals!A46)</f>
        <v>-0.8782883331490825</v>
      </c>
    </row>
    <row r="46" spans="1:1" x14ac:dyDescent="0.35">
      <c r="A46">
        <f>ATAN2(Reals!A46,Reals!A47)</f>
        <v>-2.9035760615001109</v>
      </c>
    </row>
    <row r="47" spans="1:1" x14ac:dyDescent="0.35">
      <c r="A47">
        <f>ATAN2(Reals!A47,Reals!A48)</f>
        <v>2.9778274454641869</v>
      </c>
    </row>
    <row r="48" spans="1:1" x14ac:dyDescent="0.35">
      <c r="A48">
        <f>ATAN2(Reals!A48,Reals!A49)</f>
        <v>1.5269225461611344</v>
      </c>
    </row>
    <row r="49" spans="1:1" x14ac:dyDescent="0.35">
      <c r="A49">
        <f>ATAN2(Reals!A49,Reals!A50)</f>
        <v>-0.4178352772588404</v>
      </c>
    </row>
    <row r="50" spans="1:1" x14ac:dyDescent="0.35">
      <c r="A50">
        <f>ATAN2(Reals!A50,Reals!A51)</f>
        <v>-2.6797956226900794</v>
      </c>
    </row>
    <row r="51" spans="1:1" x14ac:dyDescent="0.35">
      <c r="A51">
        <f>ATAN2(Reals!A51,Reals!A52)</f>
        <v>2.3204138719482064</v>
      </c>
    </row>
    <row r="52" spans="1:1" x14ac:dyDescent="0.35">
      <c r="A52">
        <f>ATAN2(Reals!A52,Reals!A53)</f>
        <v>1.392052994758735</v>
      </c>
    </row>
    <row r="53" spans="1:1" x14ac:dyDescent="0.35">
      <c r="A53">
        <f>ATAN2(Reals!A53,Reals!A54)</f>
        <v>0.44590247088631474</v>
      </c>
    </row>
    <row r="54" spans="1:1" x14ac:dyDescent="0.35">
      <c r="A54">
        <f>ATAN2(Reals!A54,Reals!A55)</f>
        <v>1.1042714220656842</v>
      </c>
    </row>
    <row r="55" spans="1:1" x14ac:dyDescent="0.35">
      <c r="A55">
        <f>ATAN2(Reals!A55,Reals!A56)</f>
        <v>0.56719799389557635</v>
      </c>
    </row>
    <row r="56" spans="1:1" x14ac:dyDescent="0.35">
      <c r="A56">
        <f>ATAN2(Reals!A56,Reals!A57)</f>
        <v>0.12669946357478856</v>
      </c>
    </row>
    <row r="57" spans="1:1" x14ac:dyDescent="0.35">
      <c r="A57">
        <f>ATAN2(Reals!A57,Reals!A58)</f>
        <v>-1.4329697710142473</v>
      </c>
    </row>
    <row r="58" spans="1:1" x14ac:dyDescent="0.35">
      <c r="A58">
        <f>ATAN2(Reals!A58,Reals!A59)</f>
        <v>2.1790742666550873</v>
      </c>
    </row>
    <row r="59" spans="1:1" x14ac:dyDescent="0.35">
      <c r="A59">
        <f>ATAN2(Reals!A59,Reals!A60)</f>
        <v>0.90421339828853109</v>
      </c>
    </row>
    <row r="60" spans="1:1" x14ac:dyDescent="0.35">
      <c r="A60">
        <f>ATAN2(Reals!A60,Reals!A61)</f>
        <v>5.4038995513670487E-2</v>
      </c>
    </row>
    <row r="61" spans="1:1" x14ac:dyDescent="0.35">
      <c r="A61">
        <f>ATAN2(Reals!A61,Reals!A62)</f>
        <v>1.1071487177940904</v>
      </c>
    </row>
    <row r="62" spans="1:1" x14ac:dyDescent="0.35">
      <c r="A62">
        <f>ATAN2(Reals!A62,Reals!A63)</f>
        <v>1.1071487177940904</v>
      </c>
    </row>
    <row r="63" spans="1:1" x14ac:dyDescent="0.35">
      <c r="A63">
        <f>ATAN2(Reals!A63,Reals!A64)</f>
        <v>-0.24497866312686414</v>
      </c>
    </row>
    <row r="64" spans="1:1" x14ac:dyDescent="0.35">
      <c r="A64">
        <f>ATAN2(Reals!A64,Reals!A65)</f>
        <v>3.1415926335897932</v>
      </c>
    </row>
    <row r="65" spans="1:1" x14ac:dyDescent="0.35">
      <c r="A65">
        <f>ATAN2(Reals!A65,Reals!A66)</f>
        <v>1.5707963140625012</v>
      </c>
    </row>
    <row r="66" spans="1:1" x14ac:dyDescent="0.35">
      <c r="A66">
        <f>ATAN2(Reals!A66,Reals!A67)</f>
        <v>0.92729521800161219</v>
      </c>
    </row>
    <row r="67" spans="1:1" x14ac:dyDescent="0.35">
      <c r="A67">
        <f>ATAN2(Reals!A67,Reals!A68)</f>
        <v>0.46364760900080609</v>
      </c>
    </row>
    <row r="68" spans="1:1" x14ac:dyDescent="0.35">
      <c r="A68">
        <f>ATAN2(Reals!A68,Reals!A69)</f>
        <v>1.3521273809209546</v>
      </c>
    </row>
    <row r="69" spans="1:1" x14ac:dyDescent="0.35">
      <c r="A69">
        <f>ATAN2(Reals!A69,Reals!A70)</f>
        <v>1.5472387406988088</v>
      </c>
    </row>
    <row r="70" spans="1:1" x14ac:dyDescent="0.35">
      <c r="A70">
        <f>ATAN2(Reals!A70,Reals!A71)</f>
        <v>1.5697963271282298</v>
      </c>
    </row>
    <row r="71" spans="1:1" x14ac:dyDescent="0.35">
      <c r="A71">
        <f>ATAN2(Reals!A71,Reals!A72)</f>
        <v>1.5607966601082315</v>
      </c>
    </row>
    <row r="72" spans="1:1" x14ac:dyDescent="0.35">
      <c r="A72">
        <f>ATAN2(Reals!A72,Reals!A1)</f>
        <v>-6.1527241357029198E-7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9D54-F303-4ECB-8591-5917D6F1DBD9}">
  <dimension ref="A1:A130"/>
  <sheetViews>
    <sheetView workbookViewId="0"/>
  </sheetViews>
  <sheetFormatPr defaultRowHeight="14.5" x14ac:dyDescent="0.35"/>
  <sheetData>
    <row r="1" spans="1:1" x14ac:dyDescent="0.35">
      <c r="A1">
        <f>ROUND(Rounding!A1,Rounding!B1)</f>
        <v>2.68</v>
      </c>
    </row>
    <row r="2" spans="1:1" x14ac:dyDescent="0.35">
      <c r="A2">
        <f>ROUND(Rounding!A2,Rounding!B2)</f>
        <v>2.68</v>
      </c>
    </row>
    <row r="3" spans="1:1" x14ac:dyDescent="0.35">
      <c r="A3">
        <f>ROUND(Rounding!A3,Rounding!B3)</f>
        <v>2.68</v>
      </c>
    </row>
    <row r="4" spans="1:1" x14ac:dyDescent="0.35">
      <c r="A4">
        <f>ROUND(Rounding!A4,Rounding!B4)</f>
        <v>2.68</v>
      </c>
    </row>
    <row r="5" spans="1:1" x14ac:dyDescent="0.35">
      <c r="A5">
        <f>ROUND(Rounding!A5,Rounding!B5)</f>
        <v>2.68</v>
      </c>
    </row>
    <row r="6" spans="1:1" x14ac:dyDescent="0.35">
      <c r="A6">
        <f>ROUND(Rounding!A6,Rounding!B6)</f>
        <v>1.01</v>
      </c>
    </row>
    <row r="7" spans="1:1" x14ac:dyDescent="0.35">
      <c r="A7">
        <f>ROUND(Rounding!A7,Rounding!B7)</f>
        <v>1.01</v>
      </c>
    </row>
    <row r="8" spans="1:1" x14ac:dyDescent="0.35">
      <c r="A8">
        <f>ROUND(Rounding!A8,Rounding!B8)</f>
        <v>1.01</v>
      </c>
    </row>
    <row r="9" spans="1:1" x14ac:dyDescent="0.35">
      <c r="A9">
        <f>ROUND(Rounding!A9,Rounding!B9)</f>
        <v>1.01</v>
      </c>
    </row>
    <row r="10" spans="1:1" x14ac:dyDescent="0.35">
      <c r="A10">
        <f>ROUND(Rounding!A10,Rounding!B10)</f>
        <v>1.01</v>
      </c>
    </row>
    <row r="11" spans="1:1" x14ac:dyDescent="0.35">
      <c r="A11">
        <f>ROUND(Rounding!A11,Rounding!B11)</f>
        <v>0.28999999999999998</v>
      </c>
    </row>
    <row r="12" spans="1:1" x14ac:dyDescent="0.35">
      <c r="A12">
        <f>ROUND(Rounding!A12,Rounding!B12)</f>
        <v>0.28999999999999998</v>
      </c>
    </row>
    <row r="13" spans="1:1" x14ac:dyDescent="0.35">
      <c r="A13">
        <f>ROUND(Rounding!A13,Rounding!B13)</f>
        <v>0.28999999999999998</v>
      </c>
    </row>
    <row r="14" spans="1:1" x14ac:dyDescent="0.35">
      <c r="A14">
        <f>ROUND(Rounding!A14,Rounding!B14)</f>
        <v>0.28999999999999998</v>
      </c>
    </row>
    <row r="15" spans="1:1" x14ac:dyDescent="0.35">
      <c r="A15">
        <f>ROUND(Rounding!A15,Rounding!B15)</f>
        <v>0.28999999999999998</v>
      </c>
    </row>
    <row r="16" spans="1:1" x14ac:dyDescent="0.35">
      <c r="A16">
        <f>ROUND(Rounding!A16,Rounding!B16)</f>
        <v>1235</v>
      </c>
    </row>
    <row r="17" spans="1:1" x14ac:dyDescent="0.35">
      <c r="A17">
        <f>ROUND(Rounding!A17,Rounding!B17)</f>
        <v>1235</v>
      </c>
    </row>
    <row r="18" spans="1:1" x14ac:dyDescent="0.35">
      <c r="A18">
        <f>ROUND(Rounding!A18,Rounding!B18)</f>
        <v>1235</v>
      </c>
    </row>
    <row r="19" spans="1:1" x14ac:dyDescent="0.35">
      <c r="A19">
        <f>ROUND(Rounding!A19,Rounding!B19)</f>
        <v>1235</v>
      </c>
    </row>
    <row r="20" spans="1:1" x14ac:dyDescent="0.35">
      <c r="A20">
        <f>ROUND(Rounding!A20,Rounding!B20)</f>
        <v>1235</v>
      </c>
    </row>
    <row r="21" spans="1:1" x14ac:dyDescent="0.35">
      <c r="A21">
        <f>ROUND(Rounding!A21,Rounding!B21)</f>
        <v>1</v>
      </c>
    </row>
    <row r="22" spans="1:1" x14ac:dyDescent="0.35">
      <c r="A22">
        <f>ROUND(Rounding!A22,Rounding!B22)</f>
        <v>1</v>
      </c>
    </row>
    <row r="23" spans="1:1" x14ac:dyDescent="0.35">
      <c r="A23">
        <f>ROUND(Rounding!A23,Rounding!B23)</f>
        <v>1</v>
      </c>
    </row>
    <row r="24" spans="1:1" x14ac:dyDescent="0.35">
      <c r="A24">
        <f>ROUND(Rounding!A24,Rounding!B24)</f>
        <v>1</v>
      </c>
    </row>
    <row r="25" spans="1:1" x14ac:dyDescent="0.35">
      <c r="A25">
        <f>ROUND(Rounding!A25,Rounding!B25)</f>
        <v>1</v>
      </c>
    </row>
    <row r="26" spans="1:1" x14ac:dyDescent="0.35">
      <c r="A26">
        <f>ROUND(Rounding!A26,Rounding!B26)</f>
        <v>3</v>
      </c>
    </row>
    <row r="27" spans="1:1" x14ac:dyDescent="0.35">
      <c r="A27">
        <f>ROUND(Rounding!A27,Rounding!B27)</f>
        <v>3</v>
      </c>
    </row>
    <row r="28" spans="1:1" x14ac:dyDescent="0.35">
      <c r="A28">
        <f>ROUND(Rounding!A28,Rounding!B28)</f>
        <v>3</v>
      </c>
    </row>
    <row r="29" spans="1:1" x14ac:dyDescent="0.35">
      <c r="A29">
        <f>ROUND(Rounding!A29,Rounding!B29)</f>
        <v>3</v>
      </c>
    </row>
    <row r="30" spans="1:1" x14ac:dyDescent="0.35">
      <c r="A30">
        <f>ROUND(Rounding!A30,Rounding!B30)</f>
        <v>3</v>
      </c>
    </row>
    <row r="31" spans="1:1" x14ac:dyDescent="0.35">
      <c r="A31">
        <f>ROUND(Rounding!A31,Rounding!B31)</f>
        <v>-3</v>
      </c>
    </row>
    <row r="32" spans="1:1" x14ac:dyDescent="0.35">
      <c r="A32">
        <f>ROUND(Rounding!A32,Rounding!B32)</f>
        <v>-3</v>
      </c>
    </row>
    <row r="33" spans="1:1" x14ac:dyDescent="0.35">
      <c r="A33">
        <f>ROUND(Rounding!A33,Rounding!B33)</f>
        <v>-3</v>
      </c>
    </row>
    <row r="34" spans="1:1" x14ac:dyDescent="0.35">
      <c r="A34">
        <f>ROUND(Rounding!A34,Rounding!B34)</f>
        <v>-3</v>
      </c>
    </row>
    <row r="35" spans="1:1" x14ac:dyDescent="0.35">
      <c r="A35">
        <f>ROUND(Rounding!A35,Rounding!B35)</f>
        <v>-3</v>
      </c>
    </row>
    <row r="36" spans="1:1" x14ac:dyDescent="0.35">
      <c r="A36">
        <f>ROUND(Rounding!A36,Rounding!B36)</f>
        <v>4.4000000000000004</v>
      </c>
    </row>
    <row r="37" spans="1:1" x14ac:dyDescent="0.35">
      <c r="A37">
        <f>ROUND(Rounding!A37,Rounding!B37)</f>
        <v>4.4000000000000004</v>
      </c>
    </row>
    <row r="38" spans="1:1" x14ac:dyDescent="0.35">
      <c r="A38">
        <f>ROUND(Rounding!A38,Rounding!B38)</f>
        <v>4.4000000000000004</v>
      </c>
    </row>
    <row r="39" spans="1:1" x14ac:dyDescent="0.35">
      <c r="A39">
        <f>ROUND(Rounding!A39,Rounding!B39)</f>
        <v>4.4000000000000004</v>
      </c>
    </row>
    <row r="40" spans="1:1" x14ac:dyDescent="0.35">
      <c r="A40">
        <f>ROUND(Rounding!A40,Rounding!B40)</f>
        <v>4.4000000000000004</v>
      </c>
    </row>
    <row r="41" spans="1:1" x14ac:dyDescent="0.35">
      <c r="A41">
        <f>ROUND(Rounding!A41,Rounding!B41)</f>
        <v>8.35</v>
      </c>
    </row>
    <row r="42" spans="1:1" x14ac:dyDescent="0.35">
      <c r="A42">
        <f>ROUND(Rounding!A42,Rounding!B42)</f>
        <v>8.35</v>
      </c>
    </row>
    <row r="43" spans="1:1" x14ac:dyDescent="0.35">
      <c r="A43">
        <f>ROUND(Rounding!A43,Rounding!B43)</f>
        <v>8.35</v>
      </c>
    </row>
    <row r="44" spans="1:1" x14ac:dyDescent="0.35">
      <c r="A44">
        <f>ROUND(Rounding!A44,Rounding!B44)</f>
        <v>8.35</v>
      </c>
    </row>
    <row r="45" spans="1:1" x14ac:dyDescent="0.35">
      <c r="A45">
        <f>ROUND(Rounding!A45,Rounding!B45)</f>
        <v>8.35</v>
      </c>
    </row>
    <row r="46" spans="1:1" x14ac:dyDescent="0.35">
      <c r="A46">
        <f>ROUND(Rounding!A46,Rounding!B46)</f>
        <v>0.05</v>
      </c>
    </row>
    <row r="47" spans="1:1" x14ac:dyDescent="0.35">
      <c r="A47">
        <f>ROUND(Rounding!A47,Rounding!B47)</f>
        <v>0.05</v>
      </c>
    </row>
    <row r="48" spans="1:1" x14ac:dyDescent="0.35">
      <c r="A48">
        <f>ROUND(Rounding!A48,Rounding!B48)</f>
        <v>0.05</v>
      </c>
    </row>
    <row r="49" spans="1:1" x14ac:dyDescent="0.35">
      <c r="A49">
        <f>ROUND(Rounding!A49,Rounding!B49)</f>
        <v>0.05</v>
      </c>
    </row>
    <row r="50" spans="1:1" x14ac:dyDescent="0.35">
      <c r="A50">
        <f>ROUND(Rounding!A50,Rounding!B50)</f>
        <v>0.05</v>
      </c>
    </row>
    <row r="51" spans="1:1" x14ac:dyDescent="0.35">
      <c r="A51">
        <f>ROUND(Rounding!A51,Rounding!B51)</f>
        <v>1.01</v>
      </c>
    </row>
    <row r="52" spans="1:1" x14ac:dyDescent="0.35">
      <c r="A52">
        <f>ROUND(Rounding!A52,Rounding!B52)</f>
        <v>1.01</v>
      </c>
    </row>
    <row r="53" spans="1:1" x14ac:dyDescent="0.35">
      <c r="A53">
        <f>ROUND(Rounding!A53,Rounding!B53)</f>
        <v>1.01</v>
      </c>
    </row>
    <row r="54" spans="1:1" x14ac:dyDescent="0.35">
      <c r="A54">
        <f>ROUND(Rounding!A54,Rounding!B54)</f>
        <v>1.01</v>
      </c>
    </row>
    <row r="55" spans="1:1" x14ac:dyDescent="0.35">
      <c r="A55">
        <f>ROUND(Rounding!A55,Rounding!B55)</f>
        <v>1.01</v>
      </c>
    </row>
    <row r="56" spans="1:1" x14ac:dyDescent="0.35">
      <c r="A56">
        <f>ROUND(Rounding!A56,Rounding!B56)</f>
        <v>2.35</v>
      </c>
    </row>
    <row r="57" spans="1:1" x14ac:dyDescent="0.35">
      <c r="A57">
        <f>ROUND(Rounding!A57,Rounding!B57)</f>
        <v>2.35</v>
      </c>
    </row>
    <row r="58" spans="1:1" x14ac:dyDescent="0.35">
      <c r="A58">
        <f>ROUND(Rounding!A58,Rounding!B58)</f>
        <v>2.35</v>
      </c>
    </row>
    <row r="59" spans="1:1" x14ac:dyDescent="0.35">
      <c r="A59">
        <f>ROUND(Rounding!A59,Rounding!B59)</f>
        <v>2.35</v>
      </c>
    </row>
    <row r="60" spans="1:1" x14ac:dyDescent="0.35">
      <c r="A60">
        <f>ROUND(Rounding!A60,Rounding!B60)</f>
        <v>2.35</v>
      </c>
    </row>
    <row r="61" spans="1:1" x14ac:dyDescent="0.35">
      <c r="A61">
        <f>ROUND(Rounding!A61,Rounding!B61)</f>
        <v>5.0199999999999996</v>
      </c>
    </row>
    <row r="62" spans="1:1" x14ac:dyDescent="0.35">
      <c r="A62">
        <f>ROUND(Rounding!A62,Rounding!B62)</f>
        <v>5.0199999999999996</v>
      </c>
    </row>
    <row r="63" spans="1:1" x14ac:dyDescent="0.35">
      <c r="A63">
        <f>ROUND(Rounding!A63,Rounding!B63)</f>
        <v>5.0199999999999996</v>
      </c>
    </row>
    <row r="64" spans="1:1" x14ac:dyDescent="0.35">
      <c r="A64">
        <f>ROUND(Rounding!A64,Rounding!B64)</f>
        <v>5.0199999999999996</v>
      </c>
    </row>
    <row r="65" spans="1:1" x14ac:dyDescent="0.35">
      <c r="A65">
        <f>ROUND(Rounding!A65,Rounding!B65)</f>
        <v>5.0199999999999996</v>
      </c>
    </row>
    <row r="66" spans="1:1" x14ac:dyDescent="0.35">
      <c r="A66">
        <f>ROUND(Rounding!A66,Rounding!B66)</f>
        <v>123.45699999999999</v>
      </c>
    </row>
    <row r="67" spans="1:1" x14ac:dyDescent="0.35">
      <c r="A67">
        <f>ROUND(Rounding!A67,Rounding!B67)</f>
        <v>123.45699999999999</v>
      </c>
    </row>
    <row r="68" spans="1:1" x14ac:dyDescent="0.35">
      <c r="A68">
        <f>ROUND(Rounding!A68,Rounding!B68)</f>
        <v>123.45699999999999</v>
      </c>
    </row>
    <row r="69" spans="1:1" x14ac:dyDescent="0.35">
      <c r="A69">
        <f>ROUND(Rounding!A69,Rounding!B69)</f>
        <v>123.45699999999999</v>
      </c>
    </row>
    <row r="70" spans="1:1" x14ac:dyDescent="0.35">
      <c r="A70">
        <f>ROUND(Rounding!A70,Rounding!B70)</f>
        <v>123.45699999999999</v>
      </c>
    </row>
    <row r="71" spans="1:1" x14ac:dyDescent="0.35">
      <c r="A71">
        <f>ROUND(Rounding!A71,Rounding!B71)</f>
        <v>0.2</v>
      </c>
    </row>
    <row r="72" spans="1:1" x14ac:dyDescent="0.35">
      <c r="A72">
        <f>ROUND(Rounding!A72,Rounding!B72)</f>
        <v>0.2</v>
      </c>
    </row>
    <row r="73" spans="1:1" x14ac:dyDescent="0.35">
      <c r="A73">
        <f>ROUND(Rounding!A73,Rounding!B73)</f>
        <v>0.2</v>
      </c>
    </row>
    <row r="74" spans="1:1" x14ac:dyDescent="0.35">
      <c r="A74">
        <f>ROUND(Rounding!A74,Rounding!B74)</f>
        <v>0.2</v>
      </c>
    </row>
    <row r="75" spans="1:1" x14ac:dyDescent="0.35">
      <c r="A75">
        <f>ROUND(Rounding!A75,Rounding!B75)</f>
        <v>0.2</v>
      </c>
    </row>
    <row r="76" spans="1:1" x14ac:dyDescent="0.35">
      <c r="A76">
        <f>ROUND(Rounding!A76,Rounding!B76)</f>
        <v>0.3</v>
      </c>
    </row>
    <row r="77" spans="1:1" x14ac:dyDescent="0.35">
      <c r="A77">
        <f>ROUND(Rounding!A77,Rounding!B77)</f>
        <v>0.3</v>
      </c>
    </row>
    <row r="78" spans="1:1" x14ac:dyDescent="0.35">
      <c r="A78">
        <f>ROUND(Rounding!A78,Rounding!B78)</f>
        <v>0.3</v>
      </c>
    </row>
    <row r="79" spans="1:1" x14ac:dyDescent="0.35">
      <c r="A79">
        <f>ROUND(Rounding!A79,Rounding!B79)</f>
        <v>0.3</v>
      </c>
    </row>
    <row r="80" spans="1:1" x14ac:dyDescent="0.35">
      <c r="A80">
        <f>ROUND(Rounding!A80,Rounding!B80)</f>
        <v>0.3</v>
      </c>
    </row>
    <row r="81" spans="1:1" x14ac:dyDescent="0.35">
      <c r="A81">
        <f>ROUND(Rounding!A81,Rounding!B81)</f>
        <v>0.4</v>
      </c>
    </row>
    <row r="82" spans="1:1" x14ac:dyDescent="0.35">
      <c r="A82">
        <f>ROUND(Rounding!A82,Rounding!B82)</f>
        <v>0.4</v>
      </c>
    </row>
    <row r="83" spans="1:1" x14ac:dyDescent="0.35">
      <c r="A83">
        <f>ROUND(Rounding!A83,Rounding!B83)</f>
        <v>0.4</v>
      </c>
    </row>
    <row r="84" spans="1:1" x14ac:dyDescent="0.35">
      <c r="A84">
        <f>ROUND(Rounding!A84,Rounding!B84)</f>
        <v>0.4</v>
      </c>
    </row>
    <row r="85" spans="1:1" x14ac:dyDescent="0.35">
      <c r="A85">
        <f>ROUND(Rounding!A85,Rounding!B85)</f>
        <v>0.4</v>
      </c>
    </row>
    <row r="86" spans="1:1" x14ac:dyDescent="0.35">
      <c r="A86">
        <f>ROUND(Rounding!A86,Rounding!B86)</f>
        <v>1000000000000000</v>
      </c>
    </row>
    <row r="87" spans="1:1" x14ac:dyDescent="0.35">
      <c r="A87">
        <f>ROUND(Rounding!A87,Rounding!B87)</f>
        <v>1000000000000000</v>
      </c>
    </row>
    <row r="88" spans="1:1" x14ac:dyDescent="0.35">
      <c r="A88">
        <f>ROUND(Rounding!A88,Rounding!B88)</f>
        <v>1000000000000000</v>
      </c>
    </row>
    <row r="89" spans="1:1" x14ac:dyDescent="0.35">
      <c r="A89">
        <f>ROUND(Rounding!A89,Rounding!B89)</f>
        <v>1000000000000000</v>
      </c>
    </row>
    <row r="90" spans="1:1" x14ac:dyDescent="0.35">
      <c r="A90">
        <f>ROUND(Rounding!A90,Rounding!B90)</f>
        <v>1000000000000000</v>
      </c>
    </row>
    <row r="91" spans="1:1" x14ac:dyDescent="0.35">
      <c r="A91">
        <f>ROUND(Rounding!A91,Rounding!B91)</f>
        <v>1E-4</v>
      </c>
    </row>
    <row r="92" spans="1:1" x14ac:dyDescent="0.35">
      <c r="A92">
        <f>ROUND(Rounding!A92,Rounding!B92)</f>
        <v>1E-4</v>
      </c>
    </row>
    <row r="93" spans="1:1" x14ac:dyDescent="0.35">
      <c r="A93">
        <f>ROUND(Rounding!A93,Rounding!B93)</f>
        <v>1E-4</v>
      </c>
    </row>
    <row r="94" spans="1:1" x14ac:dyDescent="0.35">
      <c r="A94">
        <f>ROUND(Rounding!A94,Rounding!B94)</f>
        <v>1E-4</v>
      </c>
    </row>
    <row r="95" spans="1:1" x14ac:dyDescent="0.35">
      <c r="A95">
        <f>ROUND(Rounding!A95,Rounding!B95)</f>
        <v>1E-4</v>
      </c>
    </row>
    <row r="96" spans="1:1" x14ac:dyDescent="0.35">
      <c r="A96">
        <f>ROUND(Rounding!A96,Rounding!B96)</f>
        <v>0.3</v>
      </c>
    </row>
    <row r="97" spans="1:1" x14ac:dyDescent="0.35">
      <c r="A97">
        <f>ROUND(Rounding!A97,Rounding!B97)</f>
        <v>0.3</v>
      </c>
    </row>
    <row r="98" spans="1:1" x14ac:dyDescent="0.35">
      <c r="A98">
        <f>ROUND(Rounding!A98,Rounding!B98)</f>
        <v>0.3</v>
      </c>
    </row>
    <row r="99" spans="1:1" x14ac:dyDescent="0.35">
      <c r="A99">
        <f>ROUND(Rounding!A99,Rounding!B99)</f>
        <v>0.3</v>
      </c>
    </row>
    <row r="100" spans="1:1" x14ac:dyDescent="0.35">
      <c r="A100">
        <f>ROUND(Rounding!A100,Rounding!B100)</f>
        <v>0.3</v>
      </c>
    </row>
    <row r="101" spans="1:1" x14ac:dyDescent="0.35">
      <c r="A101">
        <f>ROUND(Rounding!A101,Rounding!B101)</f>
        <v>0.3</v>
      </c>
    </row>
    <row r="102" spans="1:1" x14ac:dyDescent="0.35">
      <c r="A102">
        <f>ROUND(Rounding!A102,Rounding!B102)</f>
        <v>0.3</v>
      </c>
    </row>
    <row r="103" spans="1:1" x14ac:dyDescent="0.35">
      <c r="A103">
        <f>ROUND(Rounding!A103,Rounding!B103)</f>
        <v>0.3</v>
      </c>
    </row>
    <row r="104" spans="1:1" x14ac:dyDescent="0.35">
      <c r="A104">
        <f>ROUND(Rounding!A104,Rounding!B104)</f>
        <v>0.3</v>
      </c>
    </row>
    <row r="105" spans="1:1" x14ac:dyDescent="0.35">
      <c r="A105">
        <f>ROUND(Rounding!A105,Rounding!B105)</f>
        <v>0.3</v>
      </c>
    </row>
    <row r="106" spans="1:1" x14ac:dyDescent="0.35">
      <c r="A106">
        <f>ROUND(Rounding!A106,Rounding!B106)</f>
        <v>1200</v>
      </c>
    </row>
    <row r="107" spans="1:1" x14ac:dyDescent="0.35">
      <c r="A107">
        <f>ROUND(Rounding!A107,Rounding!B107)</f>
        <v>1200</v>
      </c>
    </row>
    <row r="108" spans="1:1" x14ac:dyDescent="0.35">
      <c r="A108">
        <f>ROUND(Rounding!A108,Rounding!B108)</f>
        <v>1200</v>
      </c>
    </row>
    <row r="109" spans="1:1" x14ac:dyDescent="0.35">
      <c r="A109">
        <f>ROUND(Rounding!A109,Rounding!B109)</f>
        <v>1200</v>
      </c>
    </row>
    <row r="110" spans="1:1" x14ac:dyDescent="0.35">
      <c r="A110">
        <f>ROUND(Rounding!A110,Rounding!B110)</f>
        <v>1200</v>
      </c>
    </row>
    <row r="111" spans="1:1" x14ac:dyDescent="0.35">
      <c r="A111">
        <f>ROUND(Rounding!A111,Rounding!B111)</f>
        <v>1300</v>
      </c>
    </row>
    <row r="112" spans="1:1" x14ac:dyDescent="0.35">
      <c r="A112">
        <f>ROUND(Rounding!A112,Rounding!B112)</f>
        <v>1300</v>
      </c>
    </row>
    <row r="113" spans="1:1" x14ac:dyDescent="0.35">
      <c r="A113">
        <f>ROUND(Rounding!A113,Rounding!B113)</f>
        <v>1300</v>
      </c>
    </row>
    <row r="114" spans="1:1" x14ac:dyDescent="0.35">
      <c r="A114">
        <f>ROUND(Rounding!A114,Rounding!B114)</f>
        <v>1300</v>
      </c>
    </row>
    <row r="115" spans="1:1" x14ac:dyDescent="0.35">
      <c r="A115">
        <f>ROUND(Rounding!A115,Rounding!B115)</f>
        <v>1300</v>
      </c>
    </row>
    <row r="116" spans="1:1" x14ac:dyDescent="0.35">
      <c r="A116">
        <f>ROUND(Rounding!A116,Rounding!B116)</f>
        <v>-1300</v>
      </c>
    </row>
    <row r="117" spans="1:1" x14ac:dyDescent="0.35">
      <c r="A117">
        <f>ROUND(Rounding!A117,Rounding!B117)</f>
        <v>-1300</v>
      </c>
    </row>
    <row r="118" spans="1:1" x14ac:dyDescent="0.35">
      <c r="A118">
        <f>ROUND(Rounding!A118,Rounding!B118)</f>
        <v>-1300</v>
      </c>
    </row>
    <row r="119" spans="1:1" x14ac:dyDescent="0.35">
      <c r="A119">
        <f>ROUND(Rounding!A119,Rounding!B119)</f>
        <v>-1300</v>
      </c>
    </row>
    <row r="120" spans="1:1" x14ac:dyDescent="0.35">
      <c r="A120">
        <f>ROUND(Rounding!A120,Rounding!B120)</f>
        <v>-1300</v>
      </c>
    </row>
    <row r="121" spans="1:1" x14ac:dyDescent="0.35">
      <c r="A121">
        <f>ROUND(Rounding!A121,Rounding!B121)</f>
        <v>1.23456789012345</v>
      </c>
    </row>
    <row r="122" spans="1:1" x14ac:dyDescent="0.35">
      <c r="A122">
        <f>ROUND(Rounding!A122,Rounding!B122)</f>
        <v>1.23456789012345</v>
      </c>
    </row>
    <row r="123" spans="1:1" x14ac:dyDescent="0.35">
      <c r="A123">
        <f>ROUND(Rounding!A123,Rounding!B123)</f>
        <v>1.23456789012345</v>
      </c>
    </row>
    <row r="124" spans="1:1" x14ac:dyDescent="0.35">
      <c r="A124">
        <f>ROUND(Rounding!A124,Rounding!B124)</f>
        <v>1.23456789012345</v>
      </c>
    </row>
    <row r="125" spans="1:1" x14ac:dyDescent="0.35">
      <c r="A125">
        <f>ROUND(Rounding!A125,Rounding!B125)</f>
        <v>1.23456789012345</v>
      </c>
    </row>
    <row r="126" spans="1:1" x14ac:dyDescent="0.35">
      <c r="A126">
        <f>ROUND(Rounding!A126,Rounding!B126)</f>
        <v>0.3</v>
      </c>
    </row>
    <row r="127" spans="1:1" x14ac:dyDescent="0.35">
      <c r="A127">
        <f>ROUND(Rounding!A127,Rounding!B127)</f>
        <v>0.3</v>
      </c>
    </row>
    <row r="128" spans="1:1" x14ac:dyDescent="0.35">
      <c r="A128">
        <f>ROUND(Rounding!A128,Rounding!B128)</f>
        <v>0.3</v>
      </c>
    </row>
    <row r="129" spans="1:1" x14ac:dyDescent="0.35">
      <c r="A129">
        <f>ROUND(Rounding!A129,Rounding!B129)</f>
        <v>0.3</v>
      </c>
    </row>
    <row r="130" spans="1:1" x14ac:dyDescent="0.35">
      <c r="A130">
        <f>ROUND(Rounding!A130,Rounding!B130)</f>
        <v>0.3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E00D-AD74-4479-A599-75375D55AFAB}">
  <dimension ref="A1:A130"/>
  <sheetViews>
    <sheetView workbookViewId="0"/>
  </sheetViews>
  <sheetFormatPr defaultRowHeight="14.5" x14ac:dyDescent="0.35"/>
  <sheetData>
    <row r="1" spans="1:1" x14ac:dyDescent="0.35">
      <c r="A1">
        <f>ROUNDUP(Rounding!A1,Rounding!B1)</f>
        <v>2.6799999999999997</v>
      </c>
    </row>
    <row r="2" spans="1:1" x14ac:dyDescent="0.35">
      <c r="A2">
        <f>ROUNDUP(Rounding!A2,Rounding!B2)</f>
        <v>2.6799999999999997</v>
      </c>
    </row>
    <row r="3" spans="1:1" x14ac:dyDescent="0.35">
      <c r="A3">
        <f>ROUNDUP(Rounding!A3,Rounding!B3)</f>
        <v>2.6799999999999997</v>
      </c>
    </row>
    <row r="4" spans="1:1" x14ac:dyDescent="0.35">
      <c r="A4">
        <f>ROUNDUP(Rounding!A4,Rounding!B4)</f>
        <v>2.6799999999999997</v>
      </c>
    </row>
    <row r="5" spans="1:1" x14ac:dyDescent="0.35">
      <c r="A5">
        <f>ROUNDUP(Rounding!A5,Rounding!B5)</f>
        <v>2.6799999999999997</v>
      </c>
    </row>
    <row r="6" spans="1:1" x14ac:dyDescent="0.35">
      <c r="A6">
        <f>ROUNDUP(Rounding!A6,Rounding!B6)</f>
        <v>1.01</v>
      </c>
    </row>
    <row r="7" spans="1:1" x14ac:dyDescent="0.35">
      <c r="A7">
        <f>ROUNDUP(Rounding!A7,Rounding!B7)</f>
        <v>1.01</v>
      </c>
    </row>
    <row r="8" spans="1:1" x14ac:dyDescent="0.35">
      <c r="A8">
        <f>ROUNDUP(Rounding!A8,Rounding!B8)</f>
        <v>1.01</v>
      </c>
    </row>
    <row r="9" spans="1:1" x14ac:dyDescent="0.35">
      <c r="A9">
        <f>ROUNDUP(Rounding!A9,Rounding!B9)</f>
        <v>1.01</v>
      </c>
    </row>
    <row r="10" spans="1:1" x14ac:dyDescent="0.35">
      <c r="A10">
        <f>ROUNDUP(Rounding!A10,Rounding!B10)</f>
        <v>1.01</v>
      </c>
    </row>
    <row r="11" spans="1:1" x14ac:dyDescent="0.35">
      <c r="A11">
        <f>ROUNDUP(Rounding!A11,Rounding!B11)</f>
        <v>0.29000000000000004</v>
      </c>
    </row>
    <row r="12" spans="1:1" x14ac:dyDescent="0.35">
      <c r="A12">
        <f>ROUNDUP(Rounding!A12,Rounding!B12)</f>
        <v>0.29000000000000004</v>
      </c>
    </row>
    <row r="13" spans="1:1" x14ac:dyDescent="0.35">
      <c r="A13">
        <f>ROUNDUP(Rounding!A13,Rounding!B13)</f>
        <v>0.29000000000000004</v>
      </c>
    </row>
    <row r="14" spans="1:1" x14ac:dyDescent="0.35">
      <c r="A14">
        <f>ROUNDUP(Rounding!A14,Rounding!B14)</f>
        <v>0.29000000000000004</v>
      </c>
    </row>
    <row r="15" spans="1:1" x14ac:dyDescent="0.35">
      <c r="A15">
        <f>ROUNDUP(Rounding!A15,Rounding!B15)</f>
        <v>0.29000000000000004</v>
      </c>
    </row>
    <row r="16" spans="1:1" x14ac:dyDescent="0.35">
      <c r="A16">
        <f>ROUNDUP(Rounding!A16,Rounding!B16)</f>
        <v>1235</v>
      </c>
    </row>
    <row r="17" spans="1:1" x14ac:dyDescent="0.35">
      <c r="A17">
        <f>ROUNDUP(Rounding!A17,Rounding!B17)</f>
        <v>1235</v>
      </c>
    </row>
    <row r="18" spans="1:1" x14ac:dyDescent="0.35">
      <c r="A18">
        <f>ROUNDUP(Rounding!A18,Rounding!B18)</f>
        <v>1235</v>
      </c>
    </row>
    <row r="19" spans="1:1" x14ac:dyDescent="0.35">
      <c r="A19">
        <f>ROUNDUP(Rounding!A19,Rounding!B19)</f>
        <v>1235</v>
      </c>
    </row>
    <row r="20" spans="1:1" x14ac:dyDescent="0.35">
      <c r="A20">
        <f>ROUNDUP(Rounding!A20,Rounding!B20)</f>
        <v>1235</v>
      </c>
    </row>
    <row r="21" spans="1:1" x14ac:dyDescent="0.35">
      <c r="A21">
        <f>ROUNDUP(Rounding!A21,Rounding!B21)</f>
        <v>1</v>
      </c>
    </row>
    <row r="22" spans="1:1" x14ac:dyDescent="0.35">
      <c r="A22">
        <f>ROUNDUP(Rounding!A22,Rounding!B22)</f>
        <v>1</v>
      </c>
    </row>
    <row r="23" spans="1:1" x14ac:dyDescent="0.35">
      <c r="A23">
        <f>ROUNDUP(Rounding!A23,Rounding!B23)</f>
        <v>1</v>
      </c>
    </row>
    <row r="24" spans="1:1" x14ac:dyDescent="0.35">
      <c r="A24">
        <f>ROUNDUP(Rounding!A24,Rounding!B24)</f>
        <v>1</v>
      </c>
    </row>
    <row r="25" spans="1:1" x14ac:dyDescent="0.35">
      <c r="A25">
        <f>ROUNDUP(Rounding!A25,Rounding!B25)</f>
        <v>1</v>
      </c>
    </row>
    <row r="26" spans="1:1" x14ac:dyDescent="0.35">
      <c r="A26">
        <f>ROUNDUP(Rounding!A26,Rounding!B26)</f>
        <v>3</v>
      </c>
    </row>
    <row r="27" spans="1:1" x14ac:dyDescent="0.35">
      <c r="A27">
        <f>ROUNDUP(Rounding!A27,Rounding!B27)</f>
        <v>3</v>
      </c>
    </row>
    <row r="28" spans="1:1" x14ac:dyDescent="0.35">
      <c r="A28">
        <f>ROUNDUP(Rounding!A28,Rounding!B28)</f>
        <v>3</v>
      </c>
    </row>
    <row r="29" spans="1:1" x14ac:dyDescent="0.35">
      <c r="A29">
        <f>ROUNDUP(Rounding!A29,Rounding!B29)</f>
        <v>3</v>
      </c>
    </row>
    <row r="30" spans="1:1" x14ac:dyDescent="0.35">
      <c r="A30">
        <f>ROUNDUP(Rounding!A30,Rounding!B30)</f>
        <v>3</v>
      </c>
    </row>
    <row r="31" spans="1:1" x14ac:dyDescent="0.35">
      <c r="A31">
        <f>ROUNDUP(Rounding!A31,Rounding!B31)</f>
        <v>-3</v>
      </c>
    </row>
    <row r="32" spans="1:1" x14ac:dyDescent="0.35">
      <c r="A32">
        <f>ROUNDUP(Rounding!A32,Rounding!B32)</f>
        <v>-3</v>
      </c>
    </row>
    <row r="33" spans="1:1" x14ac:dyDescent="0.35">
      <c r="A33">
        <f>ROUNDUP(Rounding!A33,Rounding!B33)</f>
        <v>-3</v>
      </c>
    </row>
    <row r="34" spans="1:1" x14ac:dyDescent="0.35">
      <c r="A34">
        <f>ROUNDUP(Rounding!A34,Rounding!B34)</f>
        <v>-3</v>
      </c>
    </row>
    <row r="35" spans="1:1" x14ac:dyDescent="0.35">
      <c r="A35">
        <f>ROUNDUP(Rounding!A35,Rounding!B35)</f>
        <v>-3</v>
      </c>
    </row>
    <row r="36" spans="1:1" x14ac:dyDescent="0.35">
      <c r="A36">
        <f>ROUNDUP(Rounding!A36,Rounding!B36)</f>
        <v>4.3999999999999995</v>
      </c>
    </row>
    <row r="37" spans="1:1" x14ac:dyDescent="0.35">
      <c r="A37">
        <f>ROUNDUP(Rounding!A37,Rounding!B37)</f>
        <v>4.3999999999999995</v>
      </c>
    </row>
    <row r="38" spans="1:1" x14ac:dyDescent="0.35">
      <c r="A38">
        <f>ROUNDUP(Rounding!A38,Rounding!B38)</f>
        <v>4.3999999999999995</v>
      </c>
    </row>
    <row r="39" spans="1:1" x14ac:dyDescent="0.35">
      <c r="A39">
        <f>ROUNDUP(Rounding!A39,Rounding!B39)</f>
        <v>4.3999999999999995</v>
      </c>
    </row>
    <row r="40" spans="1:1" x14ac:dyDescent="0.35">
      <c r="A40">
        <f>ROUNDUP(Rounding!A40,Rounding!B40)</f>
        <v>4.3999999999999995</v>
      </c>
    </row>
    <row r="41" spans="1:1" x14ac:dyDescent="0.35">
      <c r="A41">
        <f>ROUNDUP(Rounding!A41,Rounding!B41)</f>
        <v>8.35</v>
      </c>
    </row>
    <row r="42" spans="1:1" x14ac:dyDescent="0.35">
      <c r="A42">
        <f>ROUNDUP(Rounding!A42,Rounding!B42)</f>
        <v>8.35</v>
      </c>
    </row>
    <row r="43" spans="1:1" x14ac:dyDescent="0.35">
      <c r="A43">
        <f>ROUNDUP(Rounding!A43,Rounding!B43)</f>
        <v>8.35</v>
      </c>
    </row>
    <row r="44" spans="1:1" x14ac:dyDescent="0.35">
      <c r="A44">
        <f>ROUNDUP(Rounding!A44,Rounding!B44)</f>
        <v>8.35</v>
      </c>
    </row>
    <row r="45" spans="1:1" x14ac:dyDescent="0.35">
      <c r="A45">
        <f>ROUNDUP(Rounding!A45,Rounding!B45)</f>
        <v>8.35</v>
      </c>
    </row>
    <row r="46" spans="1:1" x14ac:dyDescent="0.35">
      <c r="A46">
        <f>ROUNDUP(Rounding!A46,Rounding!B46)</f>
        <v>0.05</v>
      </c>
    </row>
    <row r="47" spans="1:1" x14ac:dyDescent="0.35">
      <c r="A47">
        <f>ROUNDUP(Rounding!A47,Rounding!B47)</f>
        <v>0.05</v>
      </c>
    </row>
    <row r="48" spans="1:1" x14ac:dyDescent="0.35">
      <c r="A48">
        <f>ROUNDUP(Rounding!A48,Rounding!B48)</f>
        <v>0.05</v>
      </c>
    </row>
    <row r="49" spans="1:1" x14ac:dyDescent="0.35">
      <c r="A49">
        <f>ROUNDUP(Rounding!A49,Rounding!B49)</f>
        <v>0.05</v>
      </c>
    </row>
    <row r="50" spans="1:1" x14ac:dyDescent="0.35">
      <c r="A50">
        <f>ROUNDUP(Rounding!A50,Rounding!B50)</f>
        <v>0.05</v>
      </c>
    </row>
    <row r="51" spans="1:1" x14ac:dyDescent="0.35">
      <c r="A51">
        <f>ROUNDUP(Rounding!A51,Rounding!B51)</f>
        <v>1.01</v>
      </c>
    </row>
    <row r="52" spans="1:1" x14ac:dyDescent="0.35">
      <c r="A52">
        <f>ROUNDUP(Rounding!A52,Rounding!B52)</f>
        <v>1.01</v>
      </c>
    </row>
    <row r="53" spans="1:1" x14ac:dyDescent="0.35">
      <c r="A53">
        <f>ROUNDUP(Rounding!A53,Rounding!B53)</f>
        <v>1.01</v>
      </c>
    </row>
    <row r="54" spans="1:1" x14ac:dyDescent="0.35">
      <c r="A54">
        <f>ROUNDUP(Rounding!A54,Rounding!B54)</f>
        <v>1.01</v>
      </c>
    </row>
    <row r="55" spans="1:1" x14ac:dyDescent="0.35">
      <c r="A55">
        <f>ROUNDUP(Rounding!A55,Rounding!B55)</f>
        <v>1.01</v>
      </c>
    </row>
    <row r="56" spans="1:1" x14ac:dyDescent="0.35">
      <c r="A56">
        <f>ROUNDUP(Rounding!A56,Rounding!B56)</f>
        <v>2.3499999999999996</v>
      </c>
    </row>
    <row r="57" spans="1:1" x14ac:dyDescent="0.35">
      <c r="A57">
        <f>ROUNDUP(Rounding!A57,Rounding!B57)</f>
        <v>2.3499999999999996</v>
      </c>
    </row>
    <row r="58" spans="1:1" x14ac:dyDescent="0.35">
      <c r="A58">
        <f>ROUNDUP(Rounding!A58,Rounding!B58)</f>
        <v>2.3499999999999996</v>
      </c>
    </row>
    <row r="59" spans="1:1" x14ac:dyDescent="0.35">
      <c r="A59">
        <f>ROUNDUP(Rounding!A59,Rounding!B59)</f>
        <v>2.3499999999999996</v>
      </c>
    </row>
    <row r="60" spans="1:1" x14ac:dyDescent="0.35">
      <c r="A60">
        <f>ROUNDUP(Rounding!A60,Rounding!B60)</f>
        <v>2.3499999999999996</v>
      </c>
    </row>
    <row r="61" spans="1:1" x14ac:dyDescent="0.35">
      <c r="A61">
        <f>ROUNDUP(Rounding!A61,Rounding!B61)</f>
        <v>5.0199999999999996</v>
      </c>
    </row>
    <row r="62" spans="1:1" x14ac:dyDescent="0.35">
      <c r="A62">
        <f>ROUNDUP(Rounding!A62,Rounding!B62)</f>
        <v>5.0199999999999996</v>
      </c>
    </row>
    <row r="63" spans="1:1" x14ac:dyDescent="0.35">
      <c r="A63">
        <f>ROUNDUP(Rounding!A63,Rounding!B63)</f>
        <v>5.0199999999999996</v>
      </c>
    </row>
    <row r="64" spans="1:1" x14ac:dyDescent="0.35">
      <c r="A64">
        <f>ROUNDUP(Rounding!A64,Rounding!B64)</f>
        <v>5.0199999999999996</v>
      </c>
    </row>
    <row r="65" spans="1:1" x14ac:dyDescent="0.35">
      <c r="A65">
        <f>ROUNDUP(Rounding!A65,Rounding!B65)</f>
        <v>5.0199999999999996</v>
      </c>
    </row>
    <row r="66" spans="1:1" x14ac:dyDescent="0.35">
      <c r="A66">
        <f>ROUNDUP(Rounding!A66,Rounding!B66)</f>
        <v>123.45700000000001</v>
      </c>
    </row>
    <row r="67" spans="1:1" x14ac:dyDescent="0.35">
      <c r="A67">
        <f>ROUNDUP(Rounding!A67,Rounding!B67)</f>
        <v>123.45700000000001</v>
      </c>
    </row>
    <row r="68" spans="1:1" x14ac:dyDescent="0.35">
      <c r="A68">
        <f>ROUNDUP(Rounding!A68,Rounding!B68)</f>
        <v>123.45700000000001</v>
      </c>
    </row>
    <row r="69" spans="1:1" x14ac:dyDescent="0.35">
      <c r="A69">
        <f>ROUNDUP(Rounding!A69,Rounding!B69)</f>
        <v>123.45700000000001</v>
      </c>
    </row>
    <row r="70" spans="1:1" x14ac:dyDescent="0.35">
      <c r="A70">
        <f>ROUNDUP(Rounding!A70,Rounding!B70)</f>
        <v>123.45700000000001</v>
      </c>
    </row>
    <row r="71" spans="1:1" x14ac:dyDescent="0.35">
      <c r="A71">
        <f>ROUNDUP(Rounding!A71,Rounding!B71)</f>
        <v>0.2</v>
      </c>
    </row>
    <row r="72" spans="1:1" x14ac:dyDescent="0.35">
      <c r="A72">
        <f>ROUNDUP(Rounding!A72,Rounding!B72)</f>
        <v>0.2</v>
      </c>
    </row>
    <row r="73" spans="1:1" x14ac:dyDescent="0.35">
      <c r="A73">
        <f>ROUNDUP(Rounding!A73,Rounding!B73)</f>
        <v>0.2</v>
      </c>
    </row>
    <row r="74" spans="1:1" x14ac:dyDescent="0.35">
      <c r="A74">
        <f>ROUNDUP(Rounding!A74,Rounding!B74)</f>
        <v>0.2</v>
      </c>
    </row>
    <row r="75" spans="1:1" x14ac:dyDescent="0.35">
      <c r="A75">
        <f>ROUNDUP(Rounding!A75,Rounding!B75)</f>
        <v>0.2</v>
      </c>
    </row>
    <row r="76" spans="1:1" x14ac:dyDescent="0.35">
      <c r="A76">
        <f>ROUNDUP(Rounding!A76,Rounding!B76)</f>
        <v>0.30000000000000004</v>
      </c>
    </row>
    <row r="77" spans="1:1" x14ac:dyDescent="0.35">
      <c r="A77">
        <f>ROUNDUP(Rounding!A77,Rounding!B77)</f>
        <v>0.30000000000000004</v>
      </c>
    </row>
    <row r="78" spans="1:1" x14ac:dyDescent="0.35">
      <c r="A78">
        <f>ROUNDUP(Rounding!A78,Rounding!B78)</f>
        <v>0.30000000000000004</v>
      </c>
    </row>
    <row r="79" spans="1:1" x14ac:dyDescent="0.35">
      <c r="A79">
        <f>ROUNDUP(Rounding!A79,Rounding!B79)</f>
        <v>0.30000000000000004</v>
      </c>
    </row>
    <row r="80" spans="1:1" x14ac:dyDescent="0.35">
      <c r="A80">
        <f>ROUNDUP(Rounding!A80,Rounding!B80)</f>
        <v>0.30000000000000004</v>
      </c>
    </row>
    <row r="81" spans="1:1" x14ac:dyDescent="0.35">
      <c r="A81">
        <f>ROUNDUP(Rounding!A81,Rounding!B81)</f>
        <v>0.4</v>
      </c>
    </row>
    <row r="82" spans="1:1" x14ac:dyDescent="0.35">
      <c r="A82">
        <f>ROUNDUP(Rounding!A82,Rounding!B82)</f>
        <v>0.4</v>
      </c>
    </row>
    <row r="83" spans="1:1" x14ac:dyDescent="0.35">
      <c r="A83">
        <f>ROUNDUP(Rounding!A83,Rounding!B83)</f>
        <v>0.4</v>
      </c>
    </row>
    <row r="84" spans="1:1" x14ac:dyDescent="0.35">
      <c r="A84">
        <f>ROUNDUP(Rounding!A84,Rounding!B84)</f>
        <v>0.4</v>
      </c>
    </row>
    <row r="85" spans="1:1" x14ac:dyDescent="0.35">
      <c r="A85">
        <f>ROUNDUP(Rounding!A85,Rounding!B85)</f>
        <v>0.4</v>
      </c>
    </row>
    <row r="86" spans="1:1" x14ac:dyDescent="0.35">
      <c r="A86">
        <f>ROUNDUP(Rounding!A86,Rounding!B86)</f>
        <v>1000000000000000</v>
      </c>
    </row>
    <row r="87" spans="1:1" x14ac:dyDescent="0.35">
      <c r="A87">
        <f>ROUNDUP(Rounding!A87,Rounding!B87)</f>
        <v>1000000000000000</v>
      </c>
    </row>
    <row r="88" spans="1:1" x14ac:dyDescent="0.35">
      <c r="A88">
        <f>ROUNDUP(Rounding!A88,Rounding!B88)</f>
        <v>1000000000000000</v>
      </c>
    </row>
    <row r="89" spans="1:1" x14ac:dyDescent="0.35">
      <c r="A89">
        <f>ROUNDUP(Rounding!A89,Rounding!B89)</f>
        <v>1000000000000000</v>
      </c>
    </row>
    <row r="90" spans="1:1" x14ac:dyDescent="0.35">
      <c r="A90">
        <f>ROUNDUP(Rounding!A90,Rounding!B90)</f>
        <v>1000000000000000</v>
      </c>
    </row>
    <row r="91" spans="1:1" x14ac:dyDescent="0.35">
      <c r="A91">
        <f>ROUNDUP(Rounding!A91,Rounding!B91)</f>
        <v>1E-4</v>
      </c>
    </row>
    <row r="92" spans="1:1" x14ac:dyDescent="0.35">
      <c r="A92">
        <f>ROUNDUP(Rounding!A92,Rounding!B92)</f>
        <v>1E-4</v>
      </c>
    </row>
    <row r="93" spans="1:1" x14ac:dyDescent="0.35">
      <c r="A93">
        <f>ROUNDUP(Rounding!A93,Rounding!B93)</f>
        <v>1E-4</v>
      </c>
    </row>
    <row r="94" spans="1:1" x14ac:dyDescent="0.35">
      <c r="A94">
        <f>ROUNDUP(Rounding!A94,Rounding!B94)</f>
        <v>1E-4</v>
      </c>
    </row>
    <row r="95" spans="1:1" x14ac:dyDescent="0.35">
      <c r="A95">
        <f>ROUNDUP(Rounding!A95,Rounding!B95)</f>
        <v>1E-4</v>
      </c>
    </row>
    <row r="96" spans="1:1" x14ac:dyDescent="0.35">
      <c r="A96">
        <f>ROUNDUP(Rounding!A96,Rounding!B96)</f>
        <v>0.3</v>
      </c>
    </row>
    <row r="97" spans="1:1" x14ac:dyDescent="0.35">
      <c r="A97">
        <f>ROUNDUP(Rounding!A97,Rounding!B97)</f>
        <v>0.3</v>
      </c>
    </row>
    <row r="98" spans="1:1" x14ac:dyDescent="0.35">
      <c r="A98">
        <f>ROUNDUP(Rounding!A98,Rounding!B98)</f>
        <v>0.3</v>
      </c>
    </row>
    <row r="99" spans="1:1" x14ac:dyDescent="0.35">
      <c r="A99">
        <f>ROUNDUP(Rounding!A99,Rounding!B99)</f>
        <v>0.3</v>
      </c>
    </row>
    <row r="100" spans="1:1" x14ac:dyDescent="0.35">
      <c r="A100">
        <f>ROUNDUP(Rounding!A100,Rounding!B100)</f>
        <v>0.3</v>
      </c>
    </row>
    <row r="101" spans="1:1" x14ac:dyDescent="0.35">
      <c r="A101">
        <f>ROUNDUP(Rounding!A101,Rounding!B101)</f>
        <v>0.3</v>
      </c>
    </row>
    <row r="102" spans="1:1" x14ac:dyDescent="0.35">
      <c r="A102">
        <f>ROUNDUP(Rounding!A102,Rounding!B102)</f>
        <v>0.3</v>
      </c>
    </row>
    <row r="103" spans="1:1" x14ac:dyDescent="0.35">
      <c r="A103">
        <f>ROUNDUP(Rounding!A103,Rounding!B103)</f>
        <v>0.3</v>
      </c>
    </row>
    <row r="104" spans="1:1" x14ac:dyDescent="0.35">
      <c r="A104">
        <f>ROUNDUP(Rounding!A104,Rounding!B104)</f>
        <v>0.3</v>
      </c>
    </row>
    <row r="105" spans="1:1" x14ac:dyDescent="0.35">
      <c r="A105">
        <f>ROUNDUP(Rounding!A105,Rounding!B105)</f>
        <v>0.3</v>
      </c>
    </row>
    <row r="106" spans="1:1" x14ac:dyDescent="0.35">
      <c r="A106">
        <f>ROUNDUP(Rounding!A106,Rounding!B106)</f>
        <v>1300</v>
      </c>
    </row>
    <row r="107" spans="1:1" x14ac:dyDescent="0.35">
      <c r="A107">
        <f>ROUNDUP(Rounding!A107,Rounding!B107)</f>
        <v>1300</v>
      </c>
    </row>
    <row r="108" spans="1:1" x14ac:dyDescent="0.35">
      <c r="A108">
        <f>ROUNDUP(Rounding!A108,Rounding!B108)</f>
        <v>1300</v>
      </c>
    </row>
    <row r="109" spans="1:1" x14ac:dyDescent="0.35">
      <c r="A109">
        <f>ROUNDUP(Rounding!A109,Rounding!B109)</f>
        <v>1300</v>
      </c>
    </row>
    <row r="110" spans="1:1" x14ac:dyDescent="0.35">
      <c r="A110">
        <f>ROUNDUP(Rounding!A110,Rounding!B110)</f>
        <v>1300</v>
      </c>
    </row>
    <row r="111" spans="1:1" x14ac:dyDescent="0.35">
      <c r="A111">
        <f>ROUNDUP(Rounding!A111,Rounding!B111)</f>
        <v>1300</v>
      </c>
    </row>
    <row r="112" spans="1:1" x14ac:dyDescent="0.35">
      <c r="A112">
        <f>ROUNDUP(Rounding!A112,Rounding!B112)</f>
        <v>1300</v>
      </c>
    </row>
    <row r="113" spans="1:1" x14ac:dyDescent="0.35">
      <c r="A113">
        <f>ROUNDUP(Rounding!A113,Rounding!B113)</f>
        <v>1300</v>
      </c>
    </row>
    <row r="114" spans="1:1" x14ac:dyDescent="0.35">
      <c r="A114">
        <f>ROUNDUP(Rounding!A114,Rounding!B114)</f>
        <v>1300</v>
      </c>
    </row>
    <row r="115" spans="1:1" x14ac:dyDescent="0.35">
      <c r="A115">
        <f>ROUNDUP(Rounding!A115,Rounding!B115)</f>
        <v>1300</v>
      </c>
    </row>
    <row r="116" spans="1:1" x14ac:dyDescent="0.35">
      <c r="A116">
        <f>ROUNDUP(Rounding!A116,Rounding!B116)</f>
        <v>-1300</v>
      </c>
    </row>
    <row r="117" spans="1:1" x14ac:dyDescent="0.35">
      <c r="A117">
        <f>ROUNDUP(Rounding!A117,Rounding!B117)</f>
        <v>-1300</v>
      </c>
    </row>
    <row r="118" spans="1:1" x14ac:dyDescent="0.35">
      <c r="A118">
        <f>ROUNDUP(Rounding!A118,Rounding!B118)</f>
        <v>-1300</v>
      </c>
    </row>
    <row r="119" spans="1:1" x14ac:dyDescent="0.35">
      <c r="A119">
        <f>ROUNDUP(Rounding!A119,Rounding!B119)</f>
        <v>-1300</v>
      </c>
    </row>
    <row r="120" spans="1:1" x14ac:dyDescent="0.35">
      <c r="A120">
        <f>ROUNDUP(Rounding!A120,Rounding!B120)</f>
        <v>-1300</v>
      </c>
    </row>
    <row r="121" spans="1:1" x14ac:dyDescent="0.35">
      <c r="A121">
        <f>ROUNDUP(Rounding!A121,Rounding!B121)</f>
        <v>1.23456789012345</v>
      </c>
    </row>
    <row r="122" spans="1:1" x14ac:dyDescent="0.35">
      <c r="A122">
        <f>ROUNDUP(Rounding!A122,Rounding!B122)</f>
        <v>1.23456789012345</v>
      </c>
    </row>
    <row r="123" spans="1:1" x14ac:dyDescent="0.35">
      <c r="A123">
        <f>ROUNDUP(Rounding!A123,Rounding!B123)</f>
        <v>1.23456789012345</v>
      </c>
    </row>
    <row r="124" spans="1:1" x14ac:dyDescent="0.35">
      <c r="A124">
        <f>ROUNDUP(Rounding!A124,Rounding!B124)</f>
        <v>1.23456789012345</v>
      </c>
    </row>
    <row r="125" spans="1:1" x14ac:dyDescent="0.35">
      <c r="A125">
        <f>ROUNDUP(Rounding!A125,Rounding!B125)</f>
        <v>1.23456789012345</v>
      </c>
    </row>
    <row r="126" spans="1:1" x14ac:dyDescent="0.35">
      <c r="A126">
        <f>ROUNDUP(Rounding!A126,Rounding!B126)</f>
        <v>0.3</v>
      </c>
    </row>
    <row r="127" spans="1:1" x14ac:dyDescent="0.35">
      <c r="A127">
        <f>ROUNDUP(Rounding!A127,Rounding!B127)</f>
        <v>0.3</v>
      </c>
    </row>
    <row r="128" spans="1:1" x14ac:dyDescent="0.35">
      <c r="A128">
        <f>ROUNDUP(Rounding!A128,Rounding!B128)</f>
        <v>0.3</v>
      </c>
    </row>
    <row r="129" spans="1:1" x14ac:dyDescent="0.35">
      <c r="A129">
        <f>ROUNDUP(Rounding!A129,Rounding!B129)</f>
        <v>0.3</v>
      </c>
    </row>
    <row r="130" spans="1:1" x14ac:dyDescent="0.35">
      <c r="A130">
        <f>ROUNDUP(Rounding!A130,Rounding!B130)</f>
        <v>0.3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983A-CE9B-4FB0-A795-9BBB1BA389B9}">
  <dimension ref="A1:A130"/>
  <sheetViews>
    <sheetView workbookViewId="0"/>
  </sheetViews>
  <sheetFormatPr defaultRowHeight="14.5" x14ac:dyDescent="0.35"/>
  <sheetData>
    <row r="1" spans="1:1" x14ac:dyDescent="0.35">
      <c r="A1">
        <f>ROUNDDOWN(Rounding!A1,Rounding!B1)</f>
        <v>2.67</v>
      </c>
    </row>
    <row r="2" spans="1:1" x14ac:dyDescent="0.35">
      <c r="A2">
        <f>ROUNDDOWN(Rounding!A2,Rounding!B2)</f>
        <v>2.67</v>
      </c>
    </row>
    <row r="3" spans="1:1" x14ac:dyDescent="0.35">
      <c r="A3">
        <f>ROUNDDOWN(Rounding!A3,Rounding!B3)</f>
        <v>2.67</v>
      </c>
    </row>
    <row r="4" spans="1:1" x14ac:dyDescent="0.35">
      <c r="A4">
        <f>ROUNDDOWN(Rounding!A4,Rounding!B4)</f>
        <v>2.67</v>
      </c>
    </row>
    <row r="5" spans="1:1" x14ac:dyDescent="0.35">
      <c r="A5">
        <f>ROUNDDOWN(Rounding!A5,Rounding!B5)</f>
        <v>2.67</v>
      </c>
    </row>
    <row r="6" spans="1:1" x14ac:dyDescent="0.35">
      <c r="A6">
        <f>ROUNDDOWN(Rounding!A6,Rounding!B6)</f>
        <v>1</v>
      </c>
    </row>
    <row r="7" spans="1:1" x14ac:dyDescent="0.35">
      <c r="A7">
        <f>ROUNDDOWN(Rounding!A7,Rounding!B7)</f>
        <v>1</v>
      </c>
    </row>
    <row r="8" spans="1:1" x14ac:dyDescent="0.35">
      <c r="A8">
        <f>ROUNDDOWN(Rounding!A8,Rounding!B8)</f>
        <v>1</v>
      </c>
    </row>
    <row r="9" spans="1:1" x14ac:dyDescent="0.35">
      <c r="A9">
        <f>ROUNDDOWN(Rounding!A9,Rounding!B9)</f>
        <v>1</v>
      </c>
    </row>
    <row r="10" spans="1:1" x14ac:dyDescent="0.35">
      <c r="A10">
        <f>ROUNDDOWN(Rounding!A10,Rounding!B10)</f>
        <v>1</v>
      </c>
    </row>
    <row r="11" spans="1:1" x14ac:dyDescent="0.35">
      <c r="A11">
        <f>ROUNDDOWN(Rounding!A11,Rounding!B11)</f>
        <v>0.28000000000000003</v>
      </c>
    </row>
    <row r="12" spans="1:1" x14ac:dyDescent="0.35">
      <c r="A12">
        <f>ROUNDDOWN(Rounding!A12,Rounding!B12)</f>
        <v>0.28000000000000003</v>
      </c>
    </row>
    <row r="13" spans="1:1" x14ac:dyDescent="0.35">
      <c r="A13">
        <f>ROUNDDOWN(Rounding!A13,Rounding!B13)</f>
        <v>0.28000000000000003</v>
      </c>
    </row>
    <row r="14" spans="1:1" x14ac:dyDescent="0.35">
      <c r="A14">
        <f>ROUNDDOWN(Rounding!A14,Rounding!B14)</f>
        <v>0.28000000000000003</v>
      </c>
    </row>
    <row r="15" spans="1:1" x14ac:dyDescent="0.35">
      <c r="A15">
        <f>ROUNDDOWN(Rounding!A15,Rounding!B15)</f>
        <v>0.28000000000000003</v>
      </c>
    </row>
    <row r="16" spans="1:1" x14ac:dyDescent="0.35">
      <c r="A16">
        <f>ROUNDDOWN(Rounding!A16,Rounding!B16)</f>
        <v>1234</v>
      </c>
    </row>
    <row r="17" spans="1:1" x14ac:dyDescent="0.35">
      <c r="A17">
        <f>ROUNDDOWN(Rounding!A17,Rounding!B17)</f>
        <v>1234</v>
      </c>
    </row>
    <row r="18" spans="1:1" x14ac:dyDescent="0.35">
      <c r="A18">
        <f>ROUNDDOWN(Rounding!A18,Rounding!B18)</f>
        <v>1234</v>
      </c>
    </row>
    <row r="19" spans="1:1" x14ac:dyDescent="0.35">
      <c r="A19">
        <f>ROUNDDOWN(Rounding!A19,Rounding!B19)</f>
        <v>1234</v>
      </c>
    </row>
    <row r="20" spans="1:1" x14ac:dyDescent="0.35">
      <c r="A20">
        <f>ROUNDDOWN(Rounding!A20,Rounding!B20)</f>
        <v>1234</v>
      </c>
    </row>
    <row r="21" spans="1:1" x14ac:dyDescent="0.35">
      <c r="A21">
        <f>ROUNDDOWN(Rounding!A21,Rounding!B21)</f>
        <v>0</v>
      </c>
    </row>
    <row r="22" spans="1:1" x14ac:dyDescent="0.35">
      <c r="A22">
        <f>ROUNDDOWN(Rounding!A22,Rounding!B22)</f>
        <v>0</v>
      </c>
    </row>
    <row r="23" spans="1:1" x14ac:dyDescent="0.35">
      <c r="A23">
        <f>ROUNDDOWN(Rounding!A23,Rounding!B23)</f>
        <v>0</v>
      </c>
    </row>
    <row r="24" spans="1:1" x14ac:dyDescent="0.35">
      <c r="A24">
        <f>ROUNDDOWN(Rounding!A24,Rounding!B24)</f>
        <v>0</v>
      </c>
    </row>
    <row r="25" spans="1:1" x14ac:dyDescent="0.35">
      <c r="A25">
        <f>ROUNDDOWN(Rounding!A25,Rounding!B25)</f>
        <v>0</v>
      </c>
    </row>
    <row r="26" spans="1:1" x14ac:dyDescent="0.35">
      <c r="A26">
        <f>ROUNDDOWN(Rounding!A26,Rounding!B26)</f>
        <v>2</v>
      </c>
    </row>
    <row r="27" spans="1:1" x14ac:dyDescent="0.35">
      <c r="A27">
        <f>ROUNDDOWN(Rounding!A27,Rounding!B27)</f>
        <v>2</v>
      </c>
    </row>
    <row r="28" spans="1:1" x14ac:dyDescent="0.35">
      <c r="A28">
        <f>ROUNDDOWN(Rounding!A28,Rounding!B28)</f>
        <v>2</v>
      </c>
    </row>
    <row r="29" spans="1:1" x14ac:dyDescent="0.35">
      <c r="A29">
        <f>ROUNDDOWN(Rounding!A29,Rounding!B29)</f>
        <v>2</v>
      </c>
    </row>
    <row r="30" spans="1:1" x14ac:dyDescent="0.35">
      <c r="A30">
        <f>ROUNDDOWN(Rounding!A30,Rounding!B30)</f>
        <v>2</v>
      </c>
    </row>
    <row r="31" spans="1:1" x14ac:dyDescent="0.35">
      <c r="A31">
        <f>ROUNDDOWN(Rounding!A31,Rounding!B31)</f>
        <v>-2</v>
      </c>
    </row>
    <row r="32" spans="1:1" x14ac:dyDescent="0.35">
      <c r="A32">
        <f>ROUNDDOWN(Rounding!A32,Rounding!B32)</f>
        <v>-2</v>
      </c>
    </row>
    <row r="33" spans="1:1" x14ac:dyDescent="0.35">
      <c r="A33">
        <f>ROUNDDOWN(Rounding!A33,Rounding!B33)</f>
        <v>-2</v>
      </c>
    </row>
    <row r="34" spans="1:1" x14ac:dyDescent="0.35">
      <c r="A34">
        <f>ROUNDDOWN(Rounding!A34,Rounding!B34)</f>
        <v>-2</v>
      </c>
    </row>
    <row r="35" spans="1:1" x14ac:dyDescent="0.35">
      <c r="A35">
        <f>ROUNDDOWN(Rounding!A35,Rounding!B35)</f>
        <v>-2</v>
      </c>
    </row>
    <row r="36" spans="1:1" x14ac:dyDescent="0.35">
      <c r="A36">
        <f>ROUNDDOWN(Rounding!A36,Rounding!B36)</f>
        <v>4.3</v>
      </c>
    </row>
    <row r="37" spans="1:1" x14ac:dyDescent="0.35">
      <c r="A37">
        <f>ROUNDDOWN(Rounding!A37,Rounding!B37)</f>
        <v>4.3</v>
      </c>
    </row>
    <row r="38" spans="1:1" x14ac:dyDescent="0.35">
      <c r="A38">
        <f>ROUNDDOWN(Rounding!A38,Rounding!B38)</f>
        <v>4.3</v>
      </c>
    </row>
    <row r="39" spans="1:1" x14ac:dyDescent="0.35">
      <c r="A39">
        <f>ROUNDDOWN(Rounding!A39,Rounding!B39)</f>
        <v>4.3</v>
      </c>
    </row>
    <row r="40" spans="1:1" x14ac:dyDescent="0.35">
      <c r="A40">
        <f>ROUNDDOWN(Rounding!A40,Rounding!B40)</f>
        <v>4.3</v>
      </c>
    </row>
    <row r="41" spans="1:1" x14ac:dyDescent="0.35">
      <c r="A41">
        <f>ROUNDDOWN(Rounding!A41,Rounding!B41)</f>
        <v>8.34</v>
      </c>
    </row>
    <row r="42" spans="1:1" x14ac:dyDescent="0.35">
      <c r="A42">
        <f>ROUNDDOWN(Rounding!A42,Rounding!B42)</f>
        <v>8.34</v>
      </c>
    </row>
    <row r="43" spans="1:1" x14ac:dyDescent="0.35">
      <c r="A43">
        <f>ROUNDDOWN(Rounding!A43,Rounding!B43)</f>
        <v>8.34</v>
      </c>
    </row>
    <row r="44" spans="1:1" x14ac:dyDescent="0.35">
      <c r="A44">
        <f>ROUNDDOWN(Rounding!A44,Rounding!B44)</f>
        <v>8.34</v>
      </c>
    </row>
    <row r="45" spans="1:1" x14ac:dyDescent="0.35">
      <c r="A45">
        <f>ROUNDDOWN(Rounding!A45,Rounding!B45)</f>
        <v>8.34</v>
      </c>
    </row>
    <row r="46" spans="1:1" x14ac:dyDescent="0.35">
      <c r="A46">
        <f>ROUNDDOWN(Rounding!A46,Rounding!B46)</f>
        <v>0.04</v>
      </c>
    </row>
    <row r="47" spans="1:1" x14ac:dyDescent="0.35">
      <c r="A47">
        <f>ROUNDDOWN(Rounding!A47,Rounding!B47)</f>
        <v>0.04</v>
      </c>
    </row>
    <row r="48" spans="1:1" x14ac:dyDescent="0.35">
      <c r="A48">
        <f>ROUNDDOWN(Rounding!A48,Rounding!B48)</f>
        <v>0.04</v>
      </c>
    </row>
    <row r="49" spans="1:1" x14ac:dyDescent="0.35">
      <c r="A49">
        <f>ROUNDDOWN(Rounding!A49,Rounding!B49)</f>
        <v>0.04</v>
      </c>
    </row>
    <row r="50" spans="1:1" x14ac:dyDescent="0.35">
      <c r="A50">
        <f>ROUNDDOWN(Rounding!A50,Rounding!B50)</f>
        <v>0.04</v>
      </c>
    </row>
    <row r="51" spans="1:1" x14ac:dyDescent="0.35">
      <c r="A51">
        <f>ROUNDDOWN(Rounding!A51,Rounding!B51)</f>
        <v>1</v>
      </c>
    </row>
    <row r="52" spans="1:1" x14ac:dyDescent="0.35">
      <c r="A52">
        <f>ROUNDDOWN(Rounding!A52,Rounding!B52)</f>
        <v>1</v>
      </c>
    </row>
    <row r="53" spans="1:1" x14ac:dyDescent="0.35">
      <c r="A53">
        <f>ROUNDDOWN(Rounding!A53,Rounding!B53)</f>
        <v>1</v>
      </c>
    </row>
    <row r="54" spans="1:1" x14ac:dyDescent="0.35">
      <c r="A54">
        <f>ROUNDDOWN(Rounding!A54,Rounding!B54)</f>
        <v>1</v>
      </c>
    </row>
    <row r="55" spans="1:1" x14ac:dyDescent="0.35">
      <c r="A55">
        <f>ROUNDDOWN(Rounding!A55,Rounding!B55)</f>
        <v>1</v>
      </c>
    </row>
    <row r="56" spans="1:1" x14ac:dyDescent="0.35">
      <c r="A56">
        <f>ROUNDDOWN(Rounding!A56,Rounding!B56)</f>
        <v>2.34</v>
      </c>
    </row>
    <row r="57" spans="1:1" x14ac:dyDescent="0.35">
      <c r="A57">
        <f>ROUNDDOWN(Rounding!A57,Rounding!B57)</f>
        <v>2.34</v>
      </c>
    </row>
    <row r="58" spans="1:1" x14ac:dyDescent="0.35">
      <c r="A58">
        <f>ROUNDDOWN(Rounding!A58,Rounding!B58)</f>
        <v>2.34</v>
      </c>
    </row>
    <row r="59" spans="1:1" x14ac:dyDescent="0.35">
      <c r="A59">
        <f>ROUNDDOWN(Rounding!A59,Rounding!B59)</f>
        <v>2.34</v>
      </c>
    </row>
    <row r="60" spans="1:1" x14ac:dyDescent="0.35">
      <c r="A60">
        <f>ROUNDDOWN(Rounding!A60,Rounding!B60)</f>
        <v>2.34</v>
      </c>
    </row>
    <row r="61" spans="1:1" x14ac:dyDescent="0.35">
      <c r="A61">
        <f>ROUNDDOWN(Rounding!A61,Rounding!B61)</f>
        <v>5.01</v>
      </c>
    </row>
    <row r="62" spans="1:1" x14ac:dyDescent="0.35">
      <c r="A62">
        <f>ROUNDDOWN(Rounding!A62,Rounding!B62)</f>
        <v>5.01</v>
      </c>
    </row>
    <row r="63" spans="1:1" x14ac:dyDescent="0.35">
      <c r="A63">
        <f>ROUNDDOWN(Rounding!A63,Rounding!B63)</f>
        <v>5.01</v>
      </c>
    </row>
    <row r="64" spans="1:1" x14ac:dyDescent="0.35">
      <c r="A64">
        <f>ROUNDDOWN(Rounding!A64,Rounding!B64)</f>
        <v>5.01</v>
      </c>
    </row>
    <row r="65" spans="1:1" x14ac:dyDescent="0.35">
      <c r="A65">
        <f>ROUNDDOWN(Rounding!A65,Rounding!B65)</f>
        <v>5.01</v>
      </c>
    </row>
    <row r="66" spans="1:1" x14ac:dyDescent="0.35">
      <c r="A66">
        <f>ROUNDDOWN(Rounding!A66,Rounding!B66)</f>
        <v>123.456</v>
      </c>
    </row>
    <row r="67" spans="1:1" x14ac:dyDescent="0.35">
      <c r="A67">
        <f>ROUNDDOWN(Rounding!A67,Rounding!B67)</f>
        <v>123.456</v>
      </c>
    </row>
    <row r="68" spans="1:1" x14ac:dyDescent="0.35">
      <c r="A68">
        <f>ROUNDDOWN(Rounding!A68,Rounding!B68)</f>
        <v>123.456</v>
      </c>
    </row>
    <row r="69" spans="1:1" x14ac:dyDescent="0.35">
      <c r="A69">
        <f>ROUNDDOWN(Rounding!A69,Rounding!B69)</f>
        <v>123.456</v>
      </c>
    </row>
    <row r="70" spans="1:1" x14ac:dyDescent="0.35">
      <c r="A70">
        <f>ROUNDDOWN(Rounding!A70,Rounding!B70)</f>
        <v>123.456</v>
      </c>
    </row>
    <row r="71" spans="1:1" x14ac:dyDescent="0.35">
      <c r="A71">
        <f>ROUNDDOWN(Rounding!A71,Rounding!B71)</f>
        <v>0.1</v>
      </c>
    </row>
    <row r="72" spans="1:1" x14ac:dyDescent="0.35">
      <c r="A72">
        <f>ROUNDDOWN(Rounding!A72,Rounding!B72)</f>
        <v>0.1</v>
      </c>
    </row>
    <row r="73" spans="1:1" x14ac:dyDescent="0.35">
      <c r="A73">
        <f>ROUNDDOWN(Rounding!A73,Rounding!B73)</f>
        <v>0.1</v>
      </c>
    </row>
    <row r="74" spans="1:1" x14ac:dyDescent="0.35">
      <c r="A74">
        <f>ROUNDDOWN(Rounding!A74,Rounding!B74)</f>
        <v>0.1</v>
      </c>
    </row>
    <row r="75" spans="1:1" x14ac:dyDescent="0.35">
      <c r="A75">
        <f>ROUNDDOWN(Rounding!A75,Rounding!B75)</f>
        <v>0.1</v>
      </c>
    </row>
    <row r="76" spans="1:1" x14ac:dyDescent="0.35">
      <c r="A76">
        <f>ROUNDDOWN(Rounding!A76,Rounding!B76)</f>
        <v>0.2</v>
      </c>
    </row>
    <row r="77" spans="1:1" x14ac:dyDescent="0.35">
      <c r="A77">
        <f>ROUNDDOWN(Rounding!A77,Rounding!B77)</f>
        <v>0.2</v>
      </c>
    </row>
    <row r="78" spans="1:1" x14ac:dyDescent="0.35">
      <c r="A78">
        <f>ROUNDDOWN(Rounding!A78,Rounding!B78)</f>
        <v>0.2</v>
      </c>
    </row>
    <row r="79" spans="1:1" x14ac:dyDescent="0.35">
      <c r="A79">
        <f>ROUNDDOWN(Rounding!A79,Rounding!B79)</f>
        <v>0.2</v>
      </c>
    </row>
    <row r="80" spans="1:1" x14ac:dyDescent="0.35">
      <c r="A80">
        <f>ROUNDDOWN(Rounding!A80,Rounding!B80)</f>
        <v>0.2</v>
      </c>
    </row>
    <row r="81" spans="1:1" x14ac:dyDescent="0.35">
      <c r="A81">
        <f>ROUNDDOWN(Rounding!A81,Rounding!B81)</f>
        <v>0.3</v>
      </c>
    </row>
    <row r="82" spans="1:1" x14ac:dyDescent="0.35">
      <c r="A82">
        <f>ROUNDDOWN(Rounding!A82,Rounding!B82)</f>
        <v>0.3</v>
      </c>
    </row>
    <row r="83" spans="1:1" x14ac:dyDescent="0.35">
      <c r="A83">
        <f>ROUNDDOWN(Rounding!A83,Rounding!B83)</f>
        <v>0.3</v>
      </c>
    </row>
    <row r="84" spans="1:1" x14ac:dyDescent="0.35">
      <c r="A84">
        <f>ROUNDDOWN(Rounding!A84,Rounding!B84)</f>
        <v>0.3</v>
      </c>
    </row>
    <row r="85" spans="1:1" x14ac:dyDescent="0.35">
      <c r="A85">
        <f>ROUNDDOWN(Rounding!A85,Rounding!B85)</f>
        <v>0.3</v>
      </c>
    </row>
    <row r="86" spans="1:1" x14ac:dyDescent="0.35">
      <c r="A86">
        <f>ROUNDDOWN(Rounding!A86,Rounding!B86)</f>
        <v>1000000000000000</v>
      </c>
    </row>
    <row r="87" spans="1:1" x14ac:dyDescent="0.35">
      <c r="A87">
        <f>ROUNDDOWN(Rounding!A87,Rounding!B87)</f>
        <v>1000000000000000</v>
      </c>
    </row>
    <row r="88" spans="1:1" x14ac:dyDescent="0.35">
      <c r="A88">
        <f>ROUNDDOWN(Rounding!A88,Rounding!B88)</f>
        <v>1000000000000000</v>
      </c>
    </row>
    <row r="89" spans="1:1" x14ac:dyDescent="0.35">
      <c r="A89">
        <f>ROUNDDOWN(Rounding!A89,Rounding!B89)</f>
        <v>1000000000000000</v>
      </c>
    </row>
    <row r="90" spans="1:1" x14ac:dyDescent="0.35">
      <c r="A90">
        <f>ROUNDDOWN(Rounding!A90,Rounding!B90)</f>
        <v>1000000000000000</v>
      </c>
    </row>
    <row r="91" spans="1:1" x14ac:dyDescent="0.35">
      <c r="A91">
        <f>ROUNDDOWN(Rounding!A91,Rounding!B91)</f>
        <v>0</v>
      </c>
    </row>
    <row r="92" spans="1:1" x14ac:dyDescent="0.35">
      <c r="A92">
        <f>ROUNDDOWN(Rounding!A92,Rounding!B92)</f>
        <v>0</v>
      </c>
    </row>
    <row r="93" spans="1:1" x14ac:dyDescent="0.35">
      <c r="A93">
        <f>ROUNDDOWN(Rounding!A93,Rounding!B93)</f>
        <v>0</v>
      </c>
    </row>
    <row r="94" spans="1:1" x14ac:dyDescent="0.35">
      <c r="A94">
        <f>ROUNDDOWN(Rounding!A94,Rounding!B94)</f>
        <v>0</v>
      </c>
    </row>
    <row r="95" spans="1:1" x14ac:dyDescent="0.35">
      <c r="A95">
        <f>ROUNDDOWN(Rounding!A95,Rounding!B95)</f>
        <v>0</v>
      </c>
    </row>
    <row r="96" spans="1:1" x14ac:dyDescent="0.35">
      <c r="A96">
        <f>ROUNDDOWN(Rounding!A96,Rounding!B96)</f>
        <v>0.3</v>
      </c>
    </row>
    <row r="97" spans="1:1" x14ac:dyDescent="0.35">
      <c r="A97">
        <f>ROUNDDOWN(Rounding!A97,Rounding!B97)</f>
        <v>0.3</v>
      </c>
    </row>
    <row r="98" spans="1:1" x14ac:dyDescent="0.35">
      <c r="A98">
        <f>ROUNDDOWN(Rounding!A98,Rounding!B98)</f>
        <v>0.3</v>
      </c>
    </row>
    <row r="99" spans="1:1" x14ac:dyDescent="0.35">
      <c r="A99">
        <f>ROUNDDOWN(Rounding!A99,Rounding!B99)</f>
        <v>0.3</v>
      </c>
    </row>
    <row r="100" spans="1:1" x14ac:dyDescent="0.35">
      <c r="A100">
        <f>ROUNDDOWN(Rounding!A100,Rounding!B100)</f>
        <v>0.3</v>
      </c>
    </row>
    <row r="101" spans="1:1" x14ac:dyDescent="0.35">
      <c r="A101">
        <f>ROUNDDOWN(Rounding!A101,Rounding!B101)</f>
        <v>0.3</v>
      </c>
    </row>
    <row r="102" spans="1:1" x14ac:dyDescent="0.35">
      <c r="A102">
        <f>ROUNDDOWN(Rounding!A102,Rounding!B102)</f>
        <v>0.3</v>
      </c>
    </row>
    <row r="103" spans="1:1" x14ac:dyDescent="0.35">
      <c r="A103">
        <f>ROUNDDOWN(Rounding!A103,Rounding!B103)</f>
        <v>0.3</v>
      </c>
    </row>
    <row r="104" spans="1:1" x14ac:dyDescent="0.35">
      <c r="A104">
        <f>ROUNDDOWN(Rounding!A104,Rounding!B104)</f>
        <v>0.3</v>
      </c>
    </row>
    <row r="105" spans="1:1" x14ac:dyDescent="0.35">
      <c r="A105">
        <f>ROUNDDOWN(Rounding!A105,Rounding!B105)</f>
        <v>0.3</v>
      </c>
    </row>
    <row r="106" spans="1:1" x14ac:dyDescent="0.35">
      <c r="A106">
        <f>ROUNDDOWN(Rounding!A106,Rounding!B106)</f>
        <v>1200</v>
      </c>
    </row>
    <row r="107" spans="1:1" x14ac:dyDescent="0.35">
      <c r="A107">
        <f>ROUNDDOWN(Rounding!A107,Rounding!B107)</f>
        <v>1200</v>
      </c>
    </row>
    <row r="108" spans="1:1" x14ac:dyDescent="0.35">
      <c r="A108">
        <f>ROUNDDOWN(Rounding!A108,Rounding!B108)</f>
        <v>1200</v>
      </c>
    </row>
    <row r="109" spans="1:1" x14ac:dyDescent="0.35">
      <c r="A109">
        <f>ROUNDDOWN(Rounding!A109,Rounding!B109)</f>
        <v>1200</v>
      </c>
    </row>
    <row r="110" spans="1:1" x14ac:dyDescent="0.35">
      <c r="A110">
        <f>ROUNDDOWN(Rounding!A110,Rounding!B110)</f>
        <v>1200</v>
      </c>
    </row>
    <row r="111" spans="1:1" x14ac:dyDescent="0.35">
      <c r="A111">
        <f>ROUNDDOWN(Rounding!A111,Rounding!B111)</f>
        <v>1200</v>
      </c>
    </row>
    <row r="112" spans="1:1" x14ac:dyDescent="0.35">
      <c r="A112">
        <f>ROUNDDOWN(Rounding!A112,Rounding!B112)</f>
        <v>1200</v>
      </c>
    </row>
    <row r="113" spans="1:1" x14ac:dyDescent="0.35">
      <c r="A113">
        <f>ROUNDDOWN(Rounding!A113,Rounding!B113)</f>
        <v>1200</v>
      </c>
    </row>
    <row r="114" spans="1:1" x14ac:dyDescent="0.35">
      <c r="A114">
        <f>ROUNDDOWN(Rounding!A114,Rounding!B114)</f>
        <v>1200</v>
      </c>
    </row>
    <row r="115" spans="1:1" x14ac:dyDescent="0.35">
      <c r="A115">
        <f>ROUNDDOWN(Rounding!A115,Rounding!B115)</f>
        <v>1200</v>
      </c>
    </row>
    <row r="116" spans="1:1" x14ac:dyDescent="0.35">
      <c r="A116">
        <f>ROUNDDOWN(Rounding!A116,Rounding!B116)</f>
        <v>-1200</v>
      </c>
    </row>
    <row r="117" spans="1:1" x14ac:dyDescent="0.35">
      <c r="A117">
        <f>ROUNDDOWN(Rounding!A117,Rounding!B117)</f>
        <v>-1200</v>
      </c>
    </row>
    <row r="118" spans="1:1" x14ac:dyDescent="0.35">
      <c r="A118">
        <f>ROUNDDOWN(Rounding!A118,Rounding!B118)</f>
        <v>-1200</v>
      </c>
    </row>
    <row r="119" spans="1:1" x14ac:dyDescent="0.35">
      <c r="A119">
        <f>ROUNDDOWN(Rounding!A119,Rounding!B119)</f>
        <v>-1200</v>
      </c>
    </row>
    <row r="120" spans="1:1" x14ac:dyDescent="0.35">
      <c r="A120">
        <f>ROUNDDOWN(Rounding!A120,Rounding!B120)</f>
        <v>-1200</v>
      </c>
    </row>
    <row r="121" spans="1:1" x14ac:dyDescent="0.35">
      <c r="A121">
        <f>ROUNDDOWN(Rounding!A121,Rounding!B121)</f>
        <v>1.23456789012345</v>
      </c>
    </row>
    <row r="122" spans="1:1" x14ac:dyDescent="0.35">
      <c r="A122">
        <f>ROUNDDOWN(Rounding!A122,Rounding!B122)</f>
        <v>1.23456789012345</v>
      </c>
    </row>
    <row r="123" spans="1:1" x14ac:dyDescent="0.35">
      <c r="A123">
        <f>ROUNDDOWN(Rounding!A123,Rounding!B123)</f>
        <v>1.23456789012345</v>
      </c>
    </row>
    <row r="124" spans="1:1" x14ac:dyDescent="0.35">
      <c r="A124">
        <f>ROUNDDOWN(Rounding!A124,Rounding!B124)</f>
        <v>1.23456789012345</v>
      </c>
    </row>
    <row r="125" spans="1:1" x14ac:dyDescent="0.35">
      <c r="A125">
        <f>ROUNDDOWN(Rounding!A125,Rounding!B125)</f>
        <v>1.23456789012345</v>
      </c>
    </row>
    <row r="126" spans="1:1" x14ac:dyDescent="0.35">
      <c r="A126">
        <f>ROUNDDOWN(Rounding!A126,Rounding!B126)</f>
        <v>0.3</v>
      </c>
    </row>
    <row r="127" spans="1:1" x14ac:dyDescent="0.35">
      <c r="A127">
        <f>ROUNDDOWN(Rounding!A127,Rounding!B127)</f>
        <v>0.3</v>
      </c>
    </row>
    <row r="128" spans="1:1" x14ac:dyDescent="0.35">
      <c r="A128">
        <f>ROUNDDOWN(Rounding!A128,Rounding!B128)</f>
        <v>0.3</v>
      </c>
    </row>
    <row r="129" spans="1:1" x14ac:dyDescent="0.35">
      <c r="A129">
        <f>ROUNDDOWN(Rounding!A129,Rounding!B129)</f>
        <v>0.3</v>
      </c>
    </row>
    <row r="130" spans="1:1" x14ac:dyDescent="0.35">
      <c r="A130">
        <f>ROUNDDOWN(Rounding!A130,Rounding!B130)</f>
        <v>0.3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8849-0D18-4B72-BD02-1B2E377D86F0}">
  <dimension ref="A1:A130"/>
  <sheetViews>
    <sheetView workbookViewId="0"/>
  </sheetViews>
  <sheetFormatPr defaultRowHeight="14.5" x14ac:dyDescent="0.35"/>
  <sheetData>
    <row r="1" spans="1:1" x14ac:dyDescent="0.35">
      <c r="A1">
        <f>TRUNC(Rounding!A1,Rounding!B1)</f>
        <v>2.67</v>
      </c>
    </row>
    <row r="2" spans="1:1" x14ac:dyDescent="0.35">
      <c r="A2">
        <f>TRUNC(Rounding!A2,Rounding!B2)</f>
        <v>2.67</v>
      </c>
    </row>
    <row r="3" spans="1:1" x14ac:dyDescent="0.35">
      <c r="A3">
        <f>TRUNC(Rounding!A3,Rounding!B3)</f>
        <v>2.67</v>
      </c>
    </row>
    <row r="4" spans="1:1" x14ac:dyDescent="0.35">
      <c r="A4">
        <f>TRUNC(Rounding!A4,Rounding!B4)</f>
        <v>2.67</v>
      </c>
    </row>
    <row r="5" spans="1:1" x14ac:dyDescent="0.35">
      <c r="A5">
        <f>TRUNC(Rounding!A5,Rounding!B5)</f>
        <v>2.67</v>
      </c>
    </row>
    <row r="6" spans="1:1" x14ac:dyDescent="0.35">
      <c r="A6">
        <f>TRUNC(Rounding!A6,Rounding!B6)</f>
        <v>1</v>
      </c>
    </row>
    <row r="7" spans="1:1" x14ac:dyDescent="0.35">
      <c r="A7">
        <f>TRUNC(Rounding!A7,Rounding!B7)</f>
        <v>1</v>
      </c>
    </row>
    <row r="8" spans="1:1" x14ac:dyDescent="0.35">
      <c r="A8">
        <f>TRUNC(Rounding!A8,Rounding!B8)</f>
        <v>1</v>
      </c>
    </row>
    <row r="9" spans="1:1" x14ac:dyDescent="0.35">
      <c r="A9">
        <f>TRUNC(Rounding!A9,Rounding!B9)</f>
        <v>1</v>
      </c>
    </row>
    <row r="10" spans="1:1" x14ac:dyDescent="0.35">
      <c r="A10">
        <f>TRUNC(Rounding!A10,Rounding!B10)</f>
        <v>1</v>
      </c>
    </row>
    <row r="11" spans="1:1" x14ac:dyDescent="0.35">
      <c r="A11">
        <f>TRUNC(Rounding!A11,Rounding!B11)</f>
        <v>0.28000000000000003</v>
      </c>
    </row>
    <row r="12" spans="1:1" x14ac:dyDescent="0.35">
      <c r="A12">
        <f>TRUNC(Rounding!A12,Rounding!B12)</f>
        <v>0.28000000000000003</v>
      </c>
    </row>
    <row r="13" spans="1:1" x14ac:dyDescent="0.35">
      <c r="A13">
        <f>TRUNC(Rounding!A13,Rounding!B13)</f>
        <v>0.28000000000000003</v>
      </c>
    </row>
    <row r="14" spans="1:1" x14ac:dyDescent="0.35">
      <c r="A14">
        <f>TRUNC(Rounding!A14,Rounding!B14)</f>
        <v>0.28000000000000003</v>
      </c>
    </row>
    <row r="15" spans="1:1" x14ac:dyDescent="0.35">
      <c r="A15">
        <f>TRUNC(Rounding!A15,Rounding!B15)</f>
        <v>0.28000000000000003</v>
      </c>
    </row>
    <row r="16" spans="1:1" x14ac:dyDescent="0.35">
      <c r="A16">
        <f>TRUNC(Rounding!A16,Rounding!B16)</f>
        <v>1234</v>
      </c>
    </row>
    <row r="17" spans="1:1" x14ac:dyDescent="0.35">
      <c r="A17">
        <f>TRUNC(Rounding!A17,Rounding!B17)</f>
        <v>1234</v>
      </c>
    </row>
    <row r="18" spans="1:1" x14ac:dyDescent="0.35">
      <c r="A18">
        <f>TRUNC(Rounding!A18,Rounding!B18)</f>
        <v>1234</v>
      </c>
    </row>
    <row r="19" spans="1:1" x14ac:dyDescent="0.35">
      <c r="A19">
        <f>TRUNC(Rounding!A19,Rounding!B19)</f>
        <v>1234</v>
      </c>
    </row>
    <row r="20" spans="1:1" x14ac:dyDescent="0.35">
      <c r="A20">
        <f>TRUNC(Rounding!A20,Rounding!B20)</f>
        <v>1234</v>
      </c>
    </row>
    <row r="21" spans="1:1" x14ac:dyDescent="0.35">
      <c r="A21">
        <f>TRUNC(Rounding!A21,Rounding!B21)</f>
        <v>0</v>
      </c>
    </row>
    <row r="22" spans="1:1" x14ac:dyDescent="0.35">
      <c r="A22">
        <f>TRUNC(Rounding!A22,Rounding!B22)</f>
        <v>0</v>
      </c>
    </row>
    <row r="23" spans="1:1" x14ac:dyDescent="0.35">
      <c r="A23">
        <f>TRUNC(Rounding!A23,Rounding!B23)</f>
        <v>0</v>
      </c>
    </row>
    <row r="24" spans="1:1" x14ac:dyDescent="0.35">
      <c r="A24">
        <f>TRUNC(Rounding!A24,Rounding!B24)</f>
        <v>0</v>
      </c>
    </row>
    <row r="25" spans="1:1" x14ac:dyDescent="0.35">
      <c r="A25">
        <f>TRUNC(Rounding!A25,Rounding!B25)</f>
        <v>0</v>
      </c>
    </row>
    <row r="26" spans="1:1" x14ac:dyDescent="0.35">
      <c r="A26">
        <f>TRUNC(Rounding!A26,Rounding!B26)</f>
        <v>2</v>
      </c>
    </row>
    <row r="27" spans="1:1" x14ac:dyDescent="0.35">
      <c r="A27">
        <f>TRUNC(Rounding!A27,Rounding!B27)</f>
        <v>2</v>
      </c>
    </row>
    <row r="28" spans="1:1" x14ac:dyDescent="0.35">
      <c r="A28">
        <f>TRUNC(Rounding!A28,Rounding!B28)</f>
        <v>2</v>
      </c>
    </row>
    <row r="29" spans="1:1" x14ac:dyDescent="0.35">
      <c r="A29">
        <f>TRUNC(Rounding!A29,Rounding!B29)</f>
        <v>2</v>
      </c>
    </row>
    <row r="30" spans="1:1" x14ac:dyDescent="0.35">
      <c r="A30">
        <f>TRUNC(Rounding!A30,Rounding!B30)</f>
        <v>2</v>
      </c>
    </row>
    <row r="31" spans="1:1" x14ac:dyDescent="0.35">
      <c r="A31">
        <f>TRUNC(Rounding!A31,Rounding!B31)</f>
        <v>-2</v>
      </c>
    </row>
    <row r="32" spans="1:1" x14ac:dyDescent="0.35">
      <c r="A32">
        <f>TRUNC(Rounding!A32,Rounding!B32)</f>
        <v>-2</v>
      </c>
    </row>
    <row r="33" spans="1:1" x14ac:dyDescent="0.35">
      <c r="A33">
        <f>TRUNC(Rounding!A33,Rounding!B33)</f>
        <v>-2</v>
      </c>
    </row>
    <row r="34" spans="1:1" x14ac:dyDescent="0.35">
      <c r="A34">
        <f>TRUNC(Rounding!A34,Rounding!B34)</f>
        <v>-2</v>
      </c>
    </row>
    <row r="35" spans="1:1" x14ac:dyDescent="0.35">
      <c r="A35">
        <f>TRUNC(Rounding!A35,Rounding!B35)</f>
        <v>-2</v>
      </c>
    </row>
    <row r="36" spans="1:1" x14ac:dyDescent="0.35">
      <c r="A36">
        <f>TRUNC(Rounding!A36,Rounding!B36)</f>
        <v>4.3</v>
      </c>
    </row>
    <row r="37" spans="1:1" x14ac:dyDescent="0.35">
      <c r="A37">
        <f>TRUNC(Rounding!A37,Rounding!B37)</f>
        <v>4.3</v>
      </c>
    </row>
    <row r="38" spans="1:1" x14ac:dyDescent="0.35">
      <c r="A38">
        <f>TRUNC(Rounding!A38,Rounding!B38)</f>
        <v>4.3</v>
      </c>
    </row>
    <row r="39" spans="1:1" x14ac:dyDescent="0.35">
      <c r="A39">
        <f>TRUNC(Rounding!A39,Rounding!B39)</f>
        <v>4.3</v>
      </c>
    </row>
    <row r="40" spans="1:1" x14ac:dyDescent="0.35">
      <c r="A40">
        <f>TRUNC(Rounding!A40,Rounding!B40)</f>
        <v>4.3</v>
      </c>
    </row>
    <row r="41" spans="1:1" x14ac:dyDescent="0.35">
      <c r="A41">
        <f>TRUNC(Rounding!A41,Rounding!B41)</f>
        <v>8.34</v>
      </c>
    </row>
    <row r="42" spans="1:1" x14ac:dyDescent="0.35">
      <c r="A42">
        <f>TRUNC(Rounding!A42,Rounding!B42)</f>
        <v>8.34</v>
      </c>
    </row>
    <row r="43" spans="1:1" x14ac:dyDescent="0.35">
      <c r="A43">
        <f>TRUNC(Rounding!A43,Rounding!B43)</f>
        <v>8.34</v>
      </c>
    </row>
    <row r="44" spans="1:1" x14ac:dyDescent="0.35">
      <c r="A44">
        <f>TRUNC(Rounding!A44,Rounding!B44)</f>
        <v>8.34</v>
      </c>
    </row>
    <row r="45" spans="1:1" x14ac:dyDescent="0.35">
      <c r="A45">
        <f>TRUNC(Rounding!A45,Rounding!B45)</f>
        <v>8.34</v>
      </c>
    </row>
    <row r="46" spans="1:1" x14ac:dyDescent="0.35">
      <c r="A46">
        <f>TRUNC(Rounding!A46,Rounding!B46)</f>
        <v>0.04</v>
      </c>
    </row>
    <row r="47" spans="1:1" x14ac:dyDescent="0.35">
      <c r="A47">
        <f>TRUNC(Rounding!A47,Rounding!B47)</f>
        <v>0.04</v>
      </c>
    </row>
    <row r="48" spans="1:1" x14ac:dyDescent="0.35">
      <c r="A48">
        <f>TRUNC(Rounding!A48,Rounding!B48)</f>
        <v>0.04</v>
      </c>
    </row>
    <row r="49" spans="1:1" x14ac:dyDescent="0.35">
      <c r="A49">
        <f>TRUNC(Rounding!A49,Rounding!B49)</f>
        <v>0.04</v>
      </c>
    </row>
    <row r="50" spans="1:1" x14ac:dyDescent="0.35">
      <c r="A50">
        <f>TRUNC(Rounding!A50,Rounding!B50)</f>
        <v>0.04</v>
      </c>
    </row>
    <row r="51" spans="1:1" x14ac:dyDescent="0.35">
      <c r="A51">
        <f>TRUNC(Rounding!A51,Rounding!B51)</f>
        <v>1</v>
      </c>
    </row>
    <row r="52" spans="1:1" x14ac:dyDescent="0.35">
      <c r="A52">
        <f>TRUNC(Rounding!A52,Rounding!B52)</f>
        <v>1</v>
      </c>
    </row>
    <row r="53" spans="1:1" x14ac:dyDescent="0.35">
      <c r="A53">
        <f>TRUNC(Rounding!A53,Rounding!B53)</f>
        <v>1</v>
      </c>
    </row>
    <row r="54" spans="1:1" x14ac:dyDescent="0.35">
      <c r="A54">
        <f>TRUNC(Rounding!A54,Rounding!B54)</f>
        <v>1</v>
      </c>
    </row>
    <row r="55" spans="1:1" x14ac:dyDescent="0.35">
      <c r="A55">
        <f>TRUNC(Rounding!A55,Rounding!B55)</f>
        <v>1</v>
      </c>
    </row>
    <row r="56" spans="1:1" x14ac:dyDescent="0.35">
      <c r="A56">
        <f>TRUNC(Rounding!A56,Rounding!B56)</f>
        <v>2.34</v>
      </c>
    </row>
    <row r="57" spans="1:1" x14ac:dyDescent="0.35">
      <c r="A57">
        <f>TRUNC(Rounding!A57,Rounding!B57)</f>
        <v>2.34</v>
      </c>
    </row>
    <row r="58" spans="1:1" x14ac:dyDescent="0.35">
      <c r="A58">
        <f>TRUNC(Rounding!A58,Rounding!B58)</f>
        <v>2.34</v>
      </c>
    </row>
    <row r="59" spans="1:1" x14ac:dyDescent="0.35">
      <c r="A59">
        <f>TRUNC(Rounding!A59,Rounding!B59)</f>
        <v>2.34</v>
      </c>
    </row>
    <row r="60" spans="1:1" x14ac:dyDescent="0.35">
      <c r="A60">
        <f>TRUNC(Rounding!A60,Rounding!B60)</f>
        <v>2.34</v>
      </c>
    </row>
    <row r="61" spans="1:1" x14ac:dyDescent="0.35">
      <c r="A61">
        <f>TRUNC(Rounding!A61,Rounding!B61)</f>
        <v>5.01</v>
      </c>
    </row>
    <row r="62" spans="1:1" x14ac:dyDescent="0.35">
      <c r="A62">
        <f>TRUNC(Rounding!A62,Rounding!B62)</f>
        <v>5.01</v>
      </c>
    </row>
    <row r="63" spans="1:1" x14ac:dyDescent="0.35">
      <c r="A63">
        <f>TRUNC(Rounding!A63,Rounding!B63)</f>
        <v>5.01</v>
      </c>
    </row>
    <row r="64" spans="1:1" x14ac:dyDescent="0.35">
      <c r="A64">
        <f>TRUNC(Rounding!A64,Rounding!B64)</f>
        <v>5.01</v>
      </c>
    </row>
    <row r="65" spans="1:1" x14ac:dyDescent="0.35">
      <c r="A65">
        <f>TRUNC(Rounding!A65,Rounding!B65)</f>
        <v>5.01</v>
      </c>
    </row>
    <row r="66" spans="1:1" x14ac:dyDescent="0.35">
      <c r="A66">
        <f>TRUNC(Rounding!A66,Rounding!B66)</f>
        <v>123.456</v>
      </c>
    </row>
    <row r="67" spans="1:1" x14ac:dyDescent="0.35">
      <c r="A67">
        <f>TRUNC(Rounding!A67,Rounding!B67)</f>
        <v>123.456</v>
      </c>
    </row>
    <row r="68" spans="1:1" x14ac:dyDescent="0.35">
      <c r="A68">
        <f>TRUNC(Rounding!A68,Rounding!B68)</f>
        <v>123.456</v>
      </c>
    </row>
    <row r="69" spans="1:1" x14ac:dyDescent="0.35">
      <c r="A69">
        <f>TRUNC(Rounding!A69,Rounding!B69)</f>
        <v>123.456</v>
      </c>
    </row>
    <row r="70" spans="1:1" x14ac:dyDescent="0.35">
      <c r="A70">
        <f>TRUNC(Rounding!A70,Rounding!B70)</f>
        <v>123.456</v>
      </c>
    </row>
    <row r="71" spans="1:1" x14ac:dyDescent="0.35">
      <c r="A71">
        <f>TRUNC(Rounding!A71,Rounding!B71)</f>
        <v>0.1</v>
      </c>
    </row>
    <row r="72" spans="1:1" x14ac:dyDescent="0.35">
      <c r="A72">
        <f>TRUNC(Rounding!A72,Rounding!B72)</f>
        <v>0.1</v>
      </c>
    </row>
    <row r="73" spans="1:1" x14ac:dyDescent="0.35">
      <c r="A73">
        <f>TRUNC(Rounding!A73,Rounding!B73)</f>
        <v>0.1</v>
      </c>
    </row>
    <row r="74" spans="1:1" x14ac:dyDescent="0.35">
      <c r="A74">
        <f>TRUNC(Rounding!A74,Rounding!B74)</f>
        <v>0.1</v>
      </c>
    </row>
    <row r="75" spans="1:1" x14ac:dyDescent="0.35">
      <c r="A75">
        <f>TRUNC(Rounding!A75,Rounding!B75)</f>
        <v>0.1</v>
      </c>
    </row>
    <row r="76" spans="1:1" x14ac:dyDescent="0.35">
      <c r="A76">
        <f>TRUNC(Rounding!A76,Rounding!B76)</f>
        <v>0.2</v>
      </c>
    </row>
    <row r="77" spans="1:1" x14ac:dyDescent="0.35">
      <c r="A77">
        <f>TRUNC(Rounding!A77,Rounding!B77)</f>
        <v>0.2</v>
      </c>
    </row>
    <row r="78" spans="1:1" x14ac:dyDescent="0.35">
      <c r="A78">
        <f>TRUNC(Rounding!A78,Rounding!B78)</f>
        <v>0.2</v>
      </c>
    </row>
    <row r="79" spans="1:1" x14ac:dyDescent="0.35">
      <c r="A79">
        <f>TRUNC(Rounding!A79,Rounding!B79)</f>
        <v>0.2</v>
      </c>
    </row>
    <row r="80" spans="1:1" x14ac:dyDescent="0.35">
      <c r="A80">
        <f>TRUNC(Rounding!A80,Rounding!B80)</f>
        <v>0.2</v>
      </c>
    </row>
    <row r="81" spans="1:1" x14ac:dyDescent="0.35">
      <c r="A81">
        <f>TRUNC(Rounding!A81,Rounding!B81)</f>
        <v>0.3</v>
      </c>
    </row>
    <row r="82" spans="1:1" x14ac:dyDescent="0.35">
      <c r="A82">
        <f>TRUNC(Rounding!A82,Rounding!B82)</f>
        <v>0.3</v>
      </c>
    </row>
    <row r="83" spans="1:1" x14ac:dyDescent="0.35">
      <c r="A83">
        <f>TRUNC(Rounding!A83,Rounding!B83)</f>
        <v>0.3</v>
      </c>
    </row>
    <row r="84" spans="1:1" x14ac:dyDescent="0.35">
      <c r="A84">
        <f>TRUNC(Rounding!A84,Rounding!B84)</f>
        <v>0.3</v>
      </c>
    </row>
    <row r="85" spans="1:1" x14ac:dyDescent="0.35">
      <c r="A85">
        <f>TRUNC(Rounding!A85,Rounding!B85)</f>
        <v>0.3</v>
      </c>
    </row>
    <row r="86" spans="1:1" x14ac:dyDescent="0.35">
      <c r="A86">
        <f>TRUNC(Rounding!A86,Rounding!B86)</f>
        <v>1000000000000000</v>
      </c>
    </row>
    <row r="87" spans="1:1" x14ac:dyDescent="0.35">
      <c r="A87">
        <f>TRUNC(Rounding!A87,Rounding!B87)</f>
        <v>1000000000000000</v>
      </c>
    </row>
    <row r="88" spans="1:1" x14ac:dyDescent="0.35">
      <c r="A88">
        <f>TRUNC(Rounding!A88,Rounding!B88)</f>
        <v>1000000000000000</v>
      </c>
    </row>
    <row r="89" spans="1:1" x14ac:dyDescent="0.35">
      <c r="A89">
        <f>TRUNC(Rounding!A89,Rounding!B89)</f>
        <v>1000000000000000</v>
      </c>
    </row>
    <row r="90" spans="1:1" x14ac:dyDescent="0.35">
      <c r="A90">
        <f>TRUNC(Rounding!A90,Rounding!B90)</f>
        <v>1000000000000000</v>
      </c>
    </row>
    <row r="91" spans="1:1" x14ac:dyDescent="0.35">
      <c r="A91">
        <f>TRUNC(Rounding!A91,Rounding!B91)</f>
        <v>0</v>
      </c>
    </row>
    <row r="92" spans="1:1" x14ac:dyDescent="0.35">
      <c r="A92">
        <f>TRUNC(Rounding!A92,Rounding!B92)</f>
        <v>0</v>
      </c>
    </row>
    <row r="93" spans="1:1" x14ac:dyDescent="0.35">
      <c r="A93">
        <f>TRUNC(Rounding!A93,Rounding!B93)</f>
        <v>0</v>
      </c>
    </row>
    <row r="94" spans="1:1" x14ac:dyDescent="0.35">
      <c r="A94">
        <f>TRUNC(Rounding!A94,Rounding!B94)</f>
        <v>0</v>
      </c>
    </row>
    <row r="95" spans="1:1" x14ac:dyDescent="0.35">
      <c r="A95">
        <f>TRUNC(Rounding!A95,Rounding!B95)</f>
        <v>0</v>
      </c>
    </row>
    <row r="96" spans="1:1" x14ac:dyDescent="0.35">
      <c r="A96">
        <f>TRUNC(Rounding!A96,Rounding!B96)</f>
        <v>0.3</v>
      </c>
    </row>
    <row r="97" spans="1:1" x14ac:dyDescent="0.35">
      <c r="A97">
        <f>TRUNC(Rounding!A97,Rounding!B97)</f>
        <v>0.3</v>
      </c>
    </row>
    <row r="98" spans="1:1" x14ac:dyDescent="0.35">
      <c r="A98">
        <f>TRUNC(Rounding!A98,Rounding!B98)</f>
        <v>0.3</v>
      </c>
    </row>
    <row r="99" spans="1:1" x14ac:dyDescent="0.35">
      <c r="A99">
        <f>TRUNC(Rounding!A99,Rounding!B99)</f>
        <v>0.3</v>
      </c>
    </row>
    <row r="100" spans="1:1" x14ac:dyDescent="0.35">
      <c r="A100">
        <f>TRUNC(Rounding!A100,Rounding!B100)</f>
        <v>0.3</v>
      </c>
    </row>
    <row r="101" spans="1:1" x14ac:dyDescent="0.35">
      <c r="A101">
        <f>TRUNC(Rounding!A101,Rounding!B101)</f>
        <v>0.3</v>
      </c>
    </row>
    <row r="102" spans="1:1" x14ac:dyDescent="0.35">
      <c r="A102">
        <f>TRUNC(Rounding!A102,Rounding!B102)</f>
        <v>0.3</v>
      </c>
    </row>
    <row r="103" spans="1:1" x14ac:dyDescent="0.35">
      <c r="A103">
        <f>TRUNC(Rounding!A103,Rounding!B103)</f>
        <v>0.3</v>
      </c>
    </row>
    <row r="104" spans="1:1" x14ac:dyDescent="0.35">
      <c r="A104">
        <f>TRUNC(Rounding!A104,Rounding!B104)</f>
        <v>0.3</v>
      </c>
    </row>
    <row r="105" spans="1:1" x14ac:dyDescent="0.35">
      <c r="A105">
        <f>TRUNC(Rounding!A105,Rounding!B105)</f>
        <v>0.3</v>
      </c>
    </row>
    <row r="106" spans="1:1" x14ac:dyDescent="0.35">
      <c r="A106">
        <f>TRUNC(Rounding!A106,Rounding!B106)</f>
        <v>1200</v>
      </c>
    </row>
    <row r="107" spans="1:1" x14ac:dyDescent="0.35">
      <c r="A107">
        <f>TRUNC(Rounding!A107,Rounding!B107)</f>
        <v>1200</v>
      </c>
    </row>
    <row r="108" spans="1:1" x14ac:dyDescent="0.35">
      <c r="A108">
        <f>TRUNC(Rounding!A108,Rounding!B108)</f>
        <v>1200</v>
      </c>
    </row>
    <row r="109" spans="1:1" x14ac:dyDescent="0.35">
      <c r="A109">
        <f>TRUNC(Rounding!A109,Rounding!B109)</f>
        <v>1200</v>
      </c>
    </row>
    <row r="110" spans="1:1" x14ac:dyDescent="0.35">
      <c r="A110">
        <f>TRUNC(Rounding!A110,Rounding!B110)</f>
        <v>1200</v>
      </c>
    </row>
    <row r="111" spans="1:1" x14ac:dyDescent="0.35">
      <c r="A111">
        <f>TRUNC(Rounding!A111,Rounding!B111)</f>
        <v>1200</v>
      </c>
    </row>
    <row r="112" spans="1:1" x14ac:dyDescent="0.35">
      <c r="A112">
        <f>TRUNC(Rounding!A112,Rounding!B112)</f>
        <v>1200</v>
      </c>
    </row>
    <row r="113" spans="1:1" x14ac:dyDescent="0.35">
      <c r="A113">
        <f>TRUNC(Rounding!A113,Rounding!B113)</f>
        <v>1200</v>
      </c>
    </row>
    <row r="114" spans="1:1" x14ac:dyDescent="0.35">
      <c r="A114">
        <f>TRUNC(Rounding!A114,Rounding!B114)</f>
        <v>1200</v>
      </c>
    </row>
    <row r="115" spans="1:1" x14ac:dyDescent="0.35">
      <c r="A115">
        <f>TRUNC(Rounding!A115,Rounding!B115)</f>
        <v>1200</v>
      </c>
    </row>
    <row r="116" spans="1:1" x14ac:dyDescent="0.35">
      <c r="A116">
        <f>TRUNC(Rounding!A116,Rounding!B116)</f>
        <v>-1200</v>
      </c>
    </row>
    <row r="117" spans="1:1" x14ac:dyDescent="0.35">
      <c r="A117">
        <f>TRUNC(Rounding!A117,Rounding!B117)</f>
        <v>-1200</v>
      </c>
    </row>
    <row r="118" spans="1:1" x14ac:dyDescent="0.35">
      <c r="A118">
        <f>TRUNC(Rounding!A118,Rounding!B118)</f>
        <v>-1200</v>
      </c>
    </row>
    <row r="119" spans="1:1" x14ac:dyDescent="0.35">
      <c r="A119">
        <f>TRUNC(Rounding!A119,Rounding!B119)</f>
        <v>-1200</v>
      </c>
    </row>
    <row r="120" spans="1:1" x14ac:dyDescent="0.35">
      <c r="A120">
        <f>TRUNC(Rounding!A120,Rounding!B120)</f>
        <v>-1200</v>
      </c>
    </row>
    <row r="121" spans="1:1" x14ac:dyDescent="0.35">
      <c r="A121">
        <f>TRUNC(Rounding!A121,Rounding!B121)</f>
        <v>1.23456789012345</v>
      </c>
    </row>
    <row r="122" spans="1:1" x14ac:dyDescent="0.35">
      <c r="A122">
        <f>TRUNC(Rounding!A122,Rounding!B122)</f>
        <v>1.23456789012345</v>
      </c>
    </row>
    <row r="123" spans="1:1" x14ac:dyDescent="0.35">
      <c r="A123">
        <f>TRUNC(Rounding!A123,Rounding!B123)</f>
        <v>1.23456789012345</v>
      </c>
    </row>
    <row r="124" spans="1:1" x14ac:dyDescent="0.35">
      <c r="A124">
        <f>TRUNC(Rounding!A124,Rounding!B124)</f>
        <v>1.23456789012345</v>
      </c>
    </row>
    <row r="125" spans="1:1" x14ac:dyDescent="0.35">
      <c r="A125">
        <f>TRUNC(Rounding!A125,Rounding!B125)</f>
        <v>1.23456789012345</v>
      </c>
    </row>
    <row r="126" spans="1:1" x14ac:dyDescent="0.35">
      <c r="A126">
        <f>TRUNC(Rounding!A126,Rounding!B126)</f>
        <v>0.3</v>
      </c>
    </row>
    <row r="127" spans="1:1" x14ac:dyDescent="0.35">
      <c r="A127">
        <f>TRUNC(Rounding!A127,Rounding!B127)</f>
        <v>0.3</v>
      </c>
    </row>
    <row r="128" spans="1:1" x14ac:dyDescent="0.35">
      <c r="A128">
        <f>TRUNC(Rounding!A128,Rounding!B128)</f>
        <v>0.3</v>
      </c>
    </row>
    <row r="129" spans="1:1" x14ac:dyDescent="0.35">
      <c r="A129">
        <f>TRUNC(Rounding!A129,Rounding!B129)</f>
        <v>0.3</v>
      </c>
    </row>
    <row r="130" spans="1:1" x14ac:dyDescent="0.35">
      <c r="A130">
        <f>TRUNC(Rounding!A130,Rounding!B130)</f>
        <v>0.3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D3AE-6D00-4B5C-B9B7-3BDDFAD91C65}">
  <dimension ref="A1:A90"/>
  <sheetViews>
    <sheetView workbookViewId="0"/>
  </sheetViews>
  <sheetFormatPr defaultRowHeight="14.5" x14ac:dyDescent="0.35"/>
  <sheetData>
    <row r="1" spans="1:1" x14ac:dyDescent="0.35">
      <c r="A1">
        <f>INT(Wholes!A1)</f>
        <v>3</v>
      </c>
    </row>
    <row r="2" spans="1:1" x14ac:dyDescent="0.35">
      <c r="A2">
        <f>INT(Wholes!A2)</f>
        <v>3</v>
      </c>
    </row>
    <row r="3" spans="1:1" x14ac:dyDescent="0.35">
      <c r="A3">
        <f>INT(Wholes!A3)</f>
        <v>3</v>
      </c>
    </row>
    <row r="4" spans="1:1" x14ac:dyDescent="0.35">
      <c r="A4">
        <f>INT(Wholes!A4)</f>
        <v>3</v>
      </c>
    </row>
    <row r="5" spans="1:1" x14ac:dyDescent="0.35">
      <c r="A5">
        <f>INT(Wholes!A5)</f>
        <v>3</v>
      </c>
    </row>
    <row r="6" spans="1:1" x14ac:dyDescent="0.35">
      <c r="A6">
        <f>INT(Wholes!A6)</f>
        <v>3</v>
      </c>
    </row>
    <row r="7" spans="1:1" x14ac:dyDescent="0.35">
      <c r="A7">
        <f>INT(Wholes!A7)</f>
        <v>3</v>
      </c>
    </row>
    <row r="8" spans="1:1" x14ac:dyDescent="0.35">
      <c r="A8">
        <f>INT(Wholes!A8)</f>
        <v>3</v>
      </c>
    </row>
    <row r="9" spans="1:1" x14ac:dyDescent="0.35">
      <c r="A9">
        <f>INT(Wholes!A9)</f>
        <v>3</v>
      </c>
    </row>
    <row r="10" spans="1:1" x14ac:dyDescent="0.35">
      <c r="A10">
        <f>INT(Wholes!A10)</f>
        <v>-3</v>
      </c>
    </row>
    <row r="11" spans="1:1" x14ac:dyDescent="0.35">
      <c r="A11">
        <f>INT(Wholes!A11)</f>
        <v>-3</v>
      </c>
    </row>
    <row r="12" spans="1:1" x14ac:dyDescent="0.35">
      <c r="A12">
        <f>INT(Wholes!A12)</f>
        <v>-3</v>
      </c>
    </row>
    <row r="13" spans="1:1" x14ac:dyDescent="0.35">
      <c r="A13">
        <f>INT(Wholes!A13)</f>
        <v>-3</v>
      </c>
    </row>
    <row r="14" spans="1:1" x14ac:dyDescent="0.35">
      <c r="A14">
        <f>INT(Wholes!A14)</f>
        <v>-3</v>
      </c>
    </row>
    <row r="15" spans="1:1" x14ac:dyDescent="0.35">
      <c r="A15">
        <f>INT(Wholes!A15)</f>
        <v>-3</v>
      </c>
    </row>
    <row r="16" spans="1:1" x14ac:dyDescent="0.35">
      <c r="A16">
        <f>INT(Wholes!A16)</f>
        <v>-3</v>
      </c>
    </row>
    <row r="17" spans="1:1" x14ac:dyDescent="0.35">
      <c r="A17">
        <f>INT(Wholes!A17)</f>
        <v>-3</v>
      </c>
    </row>
    <row r="18" spans="1:1" x14ac:dyDescent="0.35">
      <c r="A18">
        <f>INT(Wholes!A18)</f>
        <v>-3</v>
      </c>
    </row>
    <row r="19" spans="1:1" x14ac:dyDescent="0.35">
      <c r="A19">
        <f>INT(Wholes!A19)</f>
        <v>1</v>
      </c>
    </row>
    <row r="20" spans="1:1" x14ac:dyDescent="0.35">
      <c r="A20">
        <f>INT(Wholes!A20)</f>
        <v>1</v>
      </c>
    </row>
    <row r="21" spans="1:1" x14ac:dyDescent="0.35">
      <c r="A21">
        <f>INT(Wholes!A21)</f>
        <v>1</v>
      </c>
    </row>
    <row r="22" spans="1:1" x14ac:dyDescent="0.35">
      <c r="A22">
        <f>INT(Wholes!A22)</f>
        <v>1</v>
      </c>
    </row>
    <row r="23" spans="1:1" x14ac:dyDescent="0.35">
      <c r="A23">
        <f>INT(Wholes!A23)</f>
        <v>1</v>
      </c>
    </row>
    <row r="24" spans="1:1" x14ac:dyDescent="0.35">
      <c r="A24">
        <f>INT(Wholes!A24)</f>
        <v>1</v>
      </c>
    </row>
    <row r="25" spans="1:1" x14ac:dyDescent="0.35">
      <c r="A25">
        <f>INT(Wholes!A25)</f>
        <v>1</v>
      </c>
    </row>
    <row r="26" spans="1:1" x14ac:dyDescent="0.35">
      <c r="A26">
        <f>INT(Wholes!A26)</f>
        <v>1</v>
      </c>
    </row>
    <row r="27" spans="1:1" x14ac:dyDescent="0.35">
      <c r="A27">
        <f>INT(Wholes!A27)</f>
        <v>1</v>
      </c>
    </row>
    <row r="28" spans="1:1" x14ac:dyDescent="0.35">
      <c r="A28">
        <f>INT(Wholes!A28)</f>
        <v>0</v>
      </c>
    </row>
    <row r="29" spans="1:1" x14ac:dyDescent="0.35">
      <c r="A29">
        <f>INT(Wholes!A29)</f>
        <v>0</v>
      </c>
    </row>
    <row r="30" spans="1:1" x14ac:dyDescent="0.35">
      <c r="A30">
        <f>INT(Wholes!A30)</f>
        <v>0</v>
      </c>
    </row>
    <row r="31" spans="1:1" x14ac:dyDescent="0.35">
      <c r="A31">
        <f>INT(Wholes!A31)</f>
        <v>0</v>
      </c>
    </row>
    <row r="32" spans="1:1" x14ac:dyDescent="0.35">
      <c r="A32">
        <f>INT(Wholes!A32)</f>
        <v>0</v>
      </c>
    </row>
    <row r="33" spans="1:1" x14ac:dyDescent="0.35">
      <c r="A33">
        <f>INT(Wholes!A33)</f>
        <v>0</v>
      </c>
    </row>
    <row r="34" spans="1:1" x14ac:dyDescent="0.35">
      <c r="A34">
        <f>INT(Wholes!A34)</f>
        <v>0</v>
      </c>
    </row>
    <row r="35" spans="1:1" x14ac:dyDescent="0.35">
      <c r="A35">
        <f>INT(Wholes!A35)</f>
        <v>0</v>
      </c>
    </row>
    <row r="36" spans="1:1" x14ac:dyDescent="0.35">
      <c r="A36">
        <f>INT(Wholes!A36)</f>
        <v>0</v>
      </c>
    </row>
    <row r="37" spans="1:1" x14ac:dyDescent="0.35">
      <c r="A37">
        <f>INT(Wholes!A37)</f>
        <v>99</v>
      </c>
    </row>
    <row r="38" spans="1:1" x14ac:dyDescent="0.35">
      <c r="A38">
        <f>INT(Wholes!A38)</f>
        <v>100</v>
      </c>
    </row>
    <row r="39" spans="1:1" x14ac:dyDescent="0.35">
      <c r="A39">
        <f>INT(Wholes!A39)</f>
        <v>100</v>
      </c>
    </row>
    <row r="40" spans="1:1" x14ac:dyDescent="0.35">
      <c r="A40">
        <f>INT(Wholes!A40)</f>
        <v>100</v>
      </c>
    </row>
    <row r="41" spans="1:1" x14ac:dyDescent="0.35">
      <c r="A41">
        <f>INT(Wholes!A41)</f>
        <v>100</v>
      </c>
    </row>
    <row r="42" spans="1:1" x14ac:dyDescent="0.35">
      <c r="A42">
        <f>INT(Wholes!A42)</f>
        <v>100</v>
      </c>
    </row>
    <row r="43" spans="1:1" x14ac:dyDescent="0.35">
      <c r="A43">
        <f>INT(Wholes!A43)</f>
        <v>100</v>
      </c>
    </row>
    <row r="44" spans="1:1" x14ac:dyDescent="0.35">
      <c r="A44">
        <f>INT(Wholes!A44)</f>
        <v>100</v>
      </c>
    </row>
    <row r="45" spans="1:1" x14ac:dyDescent="0.35">
      <c r="A45">
        <f>INT(Wholes!A45)</f>
        <v>100</v>
      </c>
    </row>
    <row r="46" spans="1:1" x14ac:dyDescent="0.35">
      <c r="A46">
        <f>INT(Wholes!A46)</f>
        <v>1000000000000000</v>
      </c>
    </row>
    <row r="47" spans="1:1" x14ac:dyDescent="0.35">
      <c r="A47">
        <f>INT(Wholes!A47)</f>
        <v>1000000000000000</v>
      </c>
    </row>
    <row r="48" spans="1:1" x14ac:dyDescent="0.35">
      <c r="A48">
        <f>INT(Wholes!A48)</f>
        <v>1000000000000000</v>
      </c>
    </row>
    <row r="49" spans="1:1" x14ac:dyDescent="0.35">
      <c r="A49">
        <f>INT(Wholes!A49)</f>
        <v>1000000000000000</v>
      </c>
    </row>
    <row r="50" spans="1:1" x14ac:dyDescent="0.35">
      <c r="A50">
        <f>INT(Wholes!A50)</f>
        <v>1000000000000000</v>
      </c>
    </row>
    <row r="51" spans="1:1" x14ac:dyDescent="0.35">
      <c r="A51">
        <f>INT(Wholes!A51)</f>
        <v>1000000000000000</v>
      </c>
    </row>
    <row r="52" spans="1:1" x14ac:dyDescent="0.35">
      <c r="A52">
        <f>INT(Wholes!A52)</f>
        <v>1000000000000000</v>
      </c>
    </row>
    <row r="53" spans="1:1" x14ac:dyDescent="0.35">
      <c r="A53">
        <f>INT(Wholes!A53)</f>
        <v>1000000000000000</v>
      </c>
    </row>
    <row r="54" spans="1:1" x14ac:dyDescent="0.35">
      <c r="A54">
        <f>INT(Wholes!A54)</f>
        <v>1000000000000000</v>
      </c>
    </row>
    <row r="55" spans="1:1" x14ac:dyDescent="0.35">
      <c r="A55">
        <f>INT(Wholes!A55)</f>
        <v>4503599627370494</v>
      </c>
    </row>
    <row r="56" spans="1:1" x14ac:dyDescent="0.35">
      <c r="A56">
        <f>INT(Wholes!A56)</f>
        <v>4503599627370494</v>
      </c>
    </row>
    <row r="57" spans="1:1" x14ac:dyDescent="0.35">
      <c r="A57">
        <f>INT(Wholes!A57)</f>
        <v>4503599627370495</v>
      </c>
    </row>
    <row r="58" spans="1:1" x14ac:dyDescent="0.35">
      <c r="A58">
        <f>INT(Wholes!A58)</f>
        <v>4503599627370495</v>
      </c>
    </row>
    <row r="59" spans="1:1" x14ac:dyDescent="0.35">
      <c r="A59">
        <f>INT(Wholes!A59)</f>
        <v>4503599627370496</v>
      </c>
    </row>
    <row r="60" spans="1:1" x14ac:dyDescent="0.35">
      <c r="A60">
        <f>INT(Wholes!A60)</f>
        <v>4503599627370497</v>
      </c>
    </row>
    <row r="61" spans="1:1" x14ac:dyDescent="0.35">
      <c r="A61">
        <f>INT(Wholes!A61)</f>
        <v>4503599627370498</v>
      </c>
    </row>
    <row r="62" spans="1:1" x14ac:dyDescent="0.35">
      <c r="A62">
        <f>INT(Wholes!A62)</f>
        <v>4503599627370499</v>
      </c>
    </row>
    <row r="63" spans="1:1" x14ac:dyDescent="0.35">
      <c r="A63">
        <f>INT(Wholes!A63)</f>
        <v>4503599627370500</v>
      </c>
    </row>
    <row r="64" spans="1:1" x14ac:dyDescent="0.35">
      <c r="A64">
        <f>INT(Wholes!A64)</f>
        <v>3</v>
      </c>
    </row>
    <row r="65" spans="1:1" x14ac:dyDescent="0.35">
      <c r="A65">
        <f>INT(Wholes!A65)</f>
        <v>3</v>
      </c>
    </row>
    <row r="66" spans="1:1" x14ac:dyDescent="0.35">
      <c r="A66">
        <f>INT(Wholes!A66)</f>
        <v>3</v>
      </c>
    </row>
    <row r="67" spans="1:1" x14ac:dyDescent="0.35">
      <c r="A67">
        <f>INT(Wholes!A67)</f>
        <v>3</v>
      </c>
    </row>
    <row r="68" spans="1:1" x14ac:dyDescent="0.35">
      <c r="A68">
        <f>INT(Wholes!A68)</f>
        <v>3</v>
      </c>
    </row>
    <row r="69" spans="1:1" x14ac:dyDescent="0.35">
      <c r="A69">
        <f>INT(Wholes!A69)</f>
        <v>3</v>
      </c>
    </row>
    <row r="70" spans="1:1" x14ac:dyDescent="0.35">
      <c r="A70">
        <f>INT(Wholes!A70)</f>
        <v>3</v>
      </c>
    </row>
    <row r="71" spans="1:1" x14ac:dyDescent="0.35">
      <c r="A71">
        <f>INT(Wholes!A71)</f>
        <v>3</v>
      </c>
    </row>
    <row r="72" spans="1:1" x14ac:dyDescent="0.35">
      <c r="A72">
        <f>INT(Wholes!A72)</f>
        <v>3</v>
      </c>
    </row>
    <row r="73" spans="1:1" x14ac:dyDescent="0.35">
      <c r="A73">
        <f>INT(Wholes!A73)</f>
        <v>435</v>
      </c>
    </row>
    <row r="74" spans="1:1" x14ac:dyDescent="0.35">
      <c r="A74">
        <f>INT(Wholes!A74)</f>
        <v>435</v>
      </c>
    </row>
    <row r="75" spans="1:1" x14ac:dyDescent="0.35">
      <c r="A75">
        <f>INT(Wholes!A75)</f>
        <v>435</v>
      </c>
    </row>
    <row r="76" spans="1:1" x14ac:dyDescent="0.35">
      <c r="A76">
        <f>INT(Wholes!A76)</f>
        <v>435</v>
      </c>
    </row>
    <row r="77" spans="1:1" x14ac:dyDescent="0.35">
      <c r="A77">
        <f>INT(Wholes!A77)</f>
        <v>435</v>
      </c>
    </row>
    <row r="78" spans="1:1" x14ac:dyDescent="0.35">
      <c r="A78">
        <f>INT(Wholes!A78)</f>
        <v>435</v>
      </c>
    </row>
    <row r="79" spans="1:1" x14ac:dyDescent="0.35">
      <c r="A79">
        <f>INT(Wholes!A79)</f>
        <v>435</v>
      </c>
    </row>
    <row r="80" spans="1:1" x14ac:dyDescent="0.35">
      <c r="A80">
        <f>INT(Wholes!A80)</f>
        <v>435</v>
      </c>
    </row>
    <row r="81" spans="1:1" x14ac:dyDescent="0.35">
      <c r="A81">
        <f>INT(Wholes!A81)</f>
        <v>435</v>
      </c>
    </row>
    <row r="82" spans="1:1" x14ac:dyDescent="0.35">
      <c r="A82">
        <f>INT(Wholes!A82)</f>
        <v>3</v>
      </c>
    </row>
    <row r="83" spans="1:1" x14ac:dyDescent="0.35">
      <c r="A83">
        <f>INT(Wholes!A83)</f>
        <v>3</v>
      </c>
    </row>
    <row r="84" spans="1:1" x14ac:dyDescent="0.35">
      <c r="A84">
        <f>INT(Wholes!A84)</f>
        <v>3</v>
      </c>
    </row>
    <row r="85" spans="1:1" x14ac:dyDescent="0.35">
      <c r="A85">
        <f>INT(Wholes!A85)</f>
        <v>3</v>
      </c>
    </row>
    <row r="86" spans="1:1" x14ac:dyDescent="0.35">
      <c r="A86">
        <f>INT(Wholes!A86)</f>
        <v>3</v>
      </c>
    </row>
    <row r="87" spans="1:1" x14ac:dyDescent="0.35">
      <c r="A87">
        <f>INT(Wholes!A87)</f>
        <v>3</v>
      </c>
    </row>
    <row r="88" spans="1:1" x14ac:dyDescent="0.35">
      <c r="A88">
        <f>INT(Wholes!A88)</f>
        <v>3</v>
      </c>
    </row>
    <row r="89" spans="1:1" x14ac:dyDescent="0.35">
      <c r="A89">
        <f>INT(Wholes!A89)</f>
        <v>3</v>
      </c>
    </row>
    <row r="90" spans="1:1" x14ac:dyDescent="0.35">
      <c r="A90">
        <f>INT(Wholes!A90)</f>
        <v>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3113-4873-4824-81BF-5555027887DC}">
  <dimension ref="A1:A90"/>
  <sheetViews>
    <sheetView workbookViewId="0"/>
  </sheetViews>
  <sheetFormatPr defaultRowHeight="14.5" x14ac:dyDescent="0.35"/>
  <sheetData>
    <row r="1" spans="1:1" x14ac:dyDescent="0.35">
      <c r="A1">
        <f>TRUNC(Wholes!A1)</f>
        <v>3</v>
      </c>
    </row>
    <row r="2" spans="1:1" x14ac:dyDescent="0.35">
      <c r="A2">
        <f>TRUNC(Wholes!A2)</f>
        <v>3</v>
      </c>
    </row>
    <row r="3" spans="1:1" x14ac:dyDescent="0.35">
      <c r="A3">
        <f>TRUNC(Wholes!A3)</f>
        <v>3</v>
      </c>
    </row>
    <row r="4" spans="1:1" x14ac:dyDescent="0.35">
      <c r="A4">
        <f>TRUNC(Wholes!A4)</f>
        <v>3</v>
      </c>
    </row>
    <row r="5" spans="1:1" x14ac:dyDescent="0.35">
      <c r="A5">
        <f>TRUNC(Wholes!A5)</f>
        <v>3</v>
      </c>
    </row>
    <row r="6" spans="1:1" x14ac:dyDescent="0.35">
      <c r="A6">
        <f>TRUNC(Wholes!A6)</f>
        <v>3</v>
      </c>
    </row>
    <row r="7" spans="1:1" x14ac:dyDescent="0.35">
      <c r="A7">
        <f>TRUNC(Wholes!A7)</f>
        <v>3</v>
      </c>
    </row>
    <row r="8" spans="1:1" x14ac:dyDescent="0.35">
      <c r="A8">
        <f>TRUNC(Wholes!A8)</f>
        <v>3</v>
      </c>
    </row>
    <row r="9" spans="1:1" x14ac:dyDescent="0.35">
      <c r="A9">
        <f>TRUNC(Wholes!A9)</f>
        <v>3</v>
      </c>
    </row>
    <row r="10" spans="1:1" x14ac:dyDescent="0.35">
      <c r="A10">
        <f>TRUNC(Wholes!A10)</f>
        <v>-3</v>
      </c>
    </row>
    <row r="11" spans="1:1" x14ac:dyDescent="0.35">
      <c r="A11">
        <f>TRUNC(Wholes!A11)</f>
        <v>-3</v>
      </c>
    </row>
    <row r="12" spans="1:1" x14ac:dyDescent="0.35">
      <c r="A12">
        <f>TRUNC(Wholes!A12)</f>
        <v>-3</v>
      </c>
    </row>
    <row r="13" spans="1:1" x14ac:dyDescent="0.35">
      <c r="A13">
        <f>TRUNC(Wholes!A13)</f>
        <v>-3</v>
      </c>
    </row>
    <row r="14" spans="1:1" x14ac:dyDescent="0.35">
      <c r="A14">
        <f>TRUNC(Wholes!A14)</f>
        <v>-3</v>
      </c>
    </row>
    <row r="15" spans="1:1" x14ac:dyDescent="0.35">
      <c r="A15">
        <f>TRUNC(Wholes!A15)</f>
        <v>-3</v>
      </c>
    </row>
    <row r="16" spans="1:1" x14ac:dyDescent="0.35">
      <c r="A16">
        <f>TRUNC(Wholes!A16)</f>
        <v>-3</v>
      </c>
    </row>
    <row r="17" spans="1:1" x14ac:dyDescent="0.35">
      <c r="A17">
        <f>TRUNC(Wholes!A17)</f>
        <v>-3</v>
      </c>
    </row>
    <row r="18" spans="1:1" x14ac:dyDescent="0.35">
      <c r="A18">
        <f>TRUNC(Wholes!A18)</f>
        <v>-3</v>
      </c>
    </row>
    <row r="19" spans="1:1" x14ac:dyDescent="0.35">
      <c r="A19">
        <f>TRUNC(Wholes!A19)</f>
        <v>1</v>
      </c>
    </row>
    <row r="20" spans="1:1" x14ac:dyDescent="0.35">
      <c r="A20">
        <f>TRUNC(Wholes!A20)</f>
        <v>1</v>
      </c>
    </row>
    <row r="21" spans="1:1" x14ac:dyDescent="0.35">
      <c r="A21">
        <f>TRUNC(Wholes!A21)</f>
        <v>1</v>
      </c>
    </row>
    <row r="22" spans="1:1" x14ac:dyDescent="0.35">
      <c r="A22">
        <f>TRUNC(Wholes!A22)</f>
        <v>1</v>
      </c>
    </row>
    <row r="23" spans="1:1" x14ac:dyDescent="0.35">
      <c r="A23">
        <f>TRUNC(Wholes!A23)</f>
        <v>1</v>
      </c>
    </row>
    <row r="24" spans="1:1" x14ac:dyDescent="0.35">
      <c r="A24">
        <f>TRUNC(Wholes!A24)</f>
        <v>1</v>
      </c>
    </row>
    <row r="25" spans="1:1" x14ac:dyDescent="0.35">
      <c r="A25">
        <f>TRUNC(Wholes!A25)</f>
        <v>1</v>
      </c>
    </row>
    <row r="26" spans="1:1" x14ac:dyDescent="0.35">
      <c r="A26">
        <f>TRUNC(Wholes!A26)</f>
        <v>1</v>
      </c>
    </row>
    <row r="27" spans="1:1" x14ac:dyDescent="0.35">
      <c r="A27">
        <f>TRUNC(Wholes!A27)</f>
        <v>1</v>
      </c>
    </row>
    <row r="28" spans="1:1" x14ac:dyDescent="0.35">
      <c r="A28">
        <f>TRUNC(Wholes!A28)</f>
        <v>0</v>
      </c>
    </row>
    <row r="29" spans="1:1" x14ac:dyDescent="0.35">
      <c r="A29">
        <f>TRUNC(Wholes!A29)</f>
        <v>0</v>
      </c>
    </row>
    <row r="30" spans="1:1" x14ac:dyDescent="0.35">
      <c r="A30">
        <f>TRUNC(Wholes!A30)</f>
        <v>0</v>
      </c>
    </row>
    <row r="31" spans="1:1" x14ac:dyDescent="0.35">
      <c r="A31">
        <f>TRUNC(Wholes!A31)</f>
        <v>0</v>
      </c>
    </row>
    <row r="32" spans="1:1" x14ac:dyDescent="0.35">
      <c r="A32">
        <f>TRUNC(Wholes!A32)</f>
        <v>0</v>
      </c>
    </row>
    <row r="33" spans="1:1" x14ac:dyDescent="0.35">
      <c r="A33">
        <f>TRUNC(Wholes!A33)</f>
        <v>0</v>
      </c>
    </row>
    <row r="34" spans="1:1" x14ac:dyDescent="0.35">
      <c r="A34">
        <f>TRUNC(Wholes!A34)</f>
        <v>0</v>
      </c>
    </row>
    <row r="35" spans="1:1" x14ac:dyDescent="0.35">
      <c r="A35">
        <f>TRUNC(Wholes!A35)</f>
        <v>0</v>
      </c>
    </row>
    <row r="36" spans="1:1" x14ac:dyDescent="0.35">
      <c r="A36">
        <f>TRUNC(Wholes!A36)</f>
        <v>0</v>
      </c>
    </row>
    <row r="37" spans="1:1" x14ac:dyDescent="0.35">
      <c r="A37">
        <f>TRUNC(Wholes!A37)</f>
        <v>99</v>
      </c>
    </row>
    <row r="38" spans="1:1" x14ac:dyDescent="0.35">
      <c r="A38">
        <f>TRUNC(Wholes!A38)</f>
        <v>100</v>
      </c>
    </row>
    <row r="39" spans="1:1" x14ac:dyDescent="0.35">
      <c r="A39">
        <f>TRUNC(Wholes!A39)</f>
        <v>100</v>
      </c>
    </row>
    <row r="40" spans="1:1" x14ac:dyDescent="0.35">
      <c r="A40">
        <f>TRUNC(Wholes!A40)</f>
        <v>100</v>
      </c>
    </row>
    <row r="41" spans="1:1" x14ac:dyDescent="0.35">
      <c r="A41">
        <f>TRUNC(Wholes!A41)</f>
        <v>100</v>
      </c>
    </row>
    <row r="42" spans="1:1" x14ac:dyDescent="0.35">
      <c r="A42">
        <f>TRUNC(Wholes!A42)</f>
        <v>100</v>
      </c>
    </row>
    <row r="43" spans="1:1" x14ac:dyDescent="0.35">
      <c r="A43">
        <f>TRUNC(Wholes!A43)</f>
        <v>100</v>
      </c>
    </row>
    <row r="44" spans="1:1" x14ac:dyDescent="0.35">
      <c r="A44">
        <f>TRUNC(Wholes!A44)</f>
        <v>100</v>
      </c>
    </row>
    <row r="45" spans="1:1" x14ac:dyDescent="0.35">
      <c r="A45">
        <f>TRUNC(Wholes!A45)</f>
        <v>100</v>
      </c>
    </row>
    <row r="46" spans="1:1" x14ac:dyDescent="0.35">
      <c r="A46">
        <f>TRUNC(Wholes!A46)</f>
        <v>1000000000000000</v>
      </c>
    </row>
    <row r="47" spans="1:1" x14ac:dyDescent="0.35">
      <c r="A47">
        <f>TRUNC(Wholes!A47)</f>
        <v>1000000000000000</v>
      </c>
    </row>
    <row r="48" spans="1:1" x14ac:dyDescent="0.35">
      <c r="A48">
        <f>TRUNC(Wholes!A48)</f>
        <v>1000000000000000</v>
      </c>
    </row>
    <row r="49" spans="1:1" x14ac:dyDescent="0.35">
      <c r="A49">
        <f>TRUNC(Wholes!A49)</f>
        <v>1000000000000000</v>
      </c>
    </row>
    <row r="50" spans="1:1" x14ac:dyDescent="0.35">
      <c r="A50">
        <f>TRUNC(Wholes!A50)</f>
        <v>1000000000000000</v>
      </c>
    </row>
    <row r="51" spans="1:1" x14ac:dyDescent="0.35">
      <c r="A51">
        <f>TRUNC(Wholes!A51)</f>
        <v>1000000000000000</v>
      </c>
    </row>
    <row r="52" spans="1:1" x14ac:dyDescent="0.35">
      <c r="A52">
        <f>TRUNC(Wholes!A52)</f>
        <v>1000000000000000</v>
      </c>
    </row>
    <row r="53" spans="1:1" x14ac:dyDescent="0.35">
      <c r="A53">
        <f>TRUNC(Wholes!A53)</f>
        <v>1000000000000000</v>
      </c>
    </row>
    <row r="54" spans="1:1" x14ac:dyDescent="0.35">
      <c r="A54">
        <f>TRUNC(Wholes!A54)</f>
        <v>1000000000000000</v>
      </c>
    </row>
    <row r="55" spans="1:1" x14ac:dyDescent="0.35">
      <c r="A55">
        <f>TRUNC(Wholes!A55)</f>
        <v>4503599627370490</v>
      </c>
    </row>
    <row r="56" spans="1:1" x14ac:dyDescent="0.35">
      <c r="A56">
        <f>TRUNC(Wholes!A56)</f>
        <v>4503599627370490</v>
      </c>
    </row>
    <row r="57" spans="1:1" x14ac:dyDescent="0.35">
      <c r="A57">
        <f>TRUNC(Wholes!A57)</f>
        <v>4503599627370500</v>
      </c>
    </row>
    <row r="58" spans="1:1" x14ac:dyDescent="0.35">
      <c r="A58">
        <f>TRUNC(Wholes!A58)</f>
        <v>4503599627370500</v>
      </c>
    </row>
    <row r="59" spans="1:1" x14ac:dyDescent="0.35">
      <c r="A59">
        <f>TRUNC(Wholes!A59)</f>
        <v>4503599627370500</v>
      </c>
    </row>
    <row r="60" spans="1:1" x14ac:dyDescent="0.35">
      <c r="A60">
        <f>TRUNC(Wholes!A60)</f>
        <v>4503599627370500</v>
      </c>
    </row>
    <row r="61" spans="1:1" x14ac:dyDescent="0.35">
      <c r="A61">
        <f>TRUNC(Wholes!A61)</f>
        <v>4503599627370500</v>
      </c>
    </row>
    <row r="62" spans="1:1" x14ac:dyDescent="0.35">
      <c r="A62">
        <f>TRUNC(Wholes!A62)</f>
        <v>4503599627370500</v>
      </c>
    </row>
    <row r="63" spans="1:1" x14ac:dyDescent="0.35">
      <c r="A63">
        <f>TRUNC(Wholes!A63)</f>
        <v>4503599627370500</v>
      </c>
    </row>
    <row r="64" spans="1:1" x14ac:dyDescent="0.35">
      <c r="A64">
        <f>TRUNC(Wholes!A64)</f>
        <v>3</v>
      </c>
    </row>
    <row r="65" spans="1:1" x14ac:dyDescent="0.35">
      <c r="A65">
        <f>TRUNC(Wholes!A65)</f>
        <v>3</v>
      </c>
    </row>
    <row r="66" spans="1:1" x14ac:dyDescent="0.35">
      <c r="A66">
        <f>TRUNC(Wholes!A66)</f>
        <v>3</v>
      </c>
    </row>
    <row r="67" spans="1:1" x14ac:dyDescent="0.35">
      <c r="A67">
        <f>TRUNC(Wholes!A67)</f>
        <v>3</v>
      </c>
    </row>
    <row r="68" spans="1:1" x14ac:dyDescent="0.35">
      <c r="A68">
        <f>TRUNC(Wholes!A68)</f>
        <v>3</v>
      </c>
    </row>
    <row r="69" spans="1:1" x14ac:dyDescent="0.35">
      <c r="A69">
        <f>TRUNC(Wholes!A69)</f>
        <v>3</v>
      </c>
    </row>
    <row r="70" spans="1:1" x14ac:dyDescent="0.35">
      <c r="A70">
        <f>TRUNC(Wholes!A70)</f>
        <v>3</v>
      </c>
    </row>
    <row r="71" spans="1:1" x14ac:dyDescent="0.35">
      <c r="A71">
        <f>TRUNC(Wholes!A71)</f>
        <v>3</v>
      </c>
    </row>
    <row r="72" spans="1:1" x14ac:dyDescent="0.35">
      <c r="A72">
        <f>TRUNC(Wholes!A72)</f>
        <v>3</v>
      </c>
    </row>
    <row r="73" spans="1:1" x14ac:dyDescent="0.35">
      <c r="A73">
        <f>TRUNC(Wholes!A73)</f>
        <v>435</v>
      </c>
    </row>
    <row r="74" spans="1:1" x14ac:dyDescent="0.35">
      <c r="A74">
        <f>TRUNC(Wholes!A74)</f>
        <v>435</v>
      </c>
    </row>
    <row r="75" spans="1:1" x14ac:dyDescent="0.35">
      <c r="A75">
        <f>TRUNC(Wholes!A75)</f>
        <v>435</v>
      </c>
    </row>
    <row r="76" spans="1:1" x14ac:dyDescent="0.35">
      <c r="A76">
        <f>TRUNC(Wholes!A76)</f>
        <v>435</v>
      </c>
    </row>
    <row r="77" spans="1:1" x14ac:dyDescent="0.35">
      <c r="A77">
        <f>TRUNC(Wholes!A77)</f>
        <v>435</v>
      </c>
    </row>
    <row r="78" spans="1:1" x14ac:dyDescent="0.35">
      <c r="A78">
        <f>TRUNC(Wholes!A78)</f>
        <v>435</v>
      </c>
    </row>
    <row r="79" spans="1:1" x14ac:dyDescent="0.35">
      <c r="A79">
        <f>TRUNC(Wholes!A79)</f>
        <v>435</v>
      </c>
    </row>
    <row r="80" spans="1:1" x14ac:dyDescent="0.35">
      <c r="A80">
        <f>TRUNC(Wholes!A80)</f>
        <v>435</v>
      </c>
    </row>
    <row r="81" spans="1:1" x14ac:dyDescent="0.35">
      <c r="A81">
        <f>TRUNC(Wholes!A81)</f>
        <v>435</v>
      </c>
    </row>
    <row r="82" spans="1:1" x14ac:dyDescent="0.35">
      <c r="A82">
        <f>TRUNC(Wholes!A82)</f>
        <v>3</v>
      </c>
    </row>
    <row r="83" spans="1:1" x14ac:dyDescent="0.35">
      <c r="A83">
        <f>TRUNC(Wholes!A83)</f>
        <v>3</v>
      </c>
    </row>
    <row r="84" spans="1:1" x14ac:dyDescent="0.35">
      <c r="A84">
        <f>TRUNC(Wholes!A84)</f>
        <v>3</v>
      </c>
    </row>
    <row r="85" spans="1:1" x14ac:dyDescent="0.35">
      <c r="A85">
        <f>TRUNC(Wholes!A85)</f>
        <v>3</v>
      </c>
    </row>
    <row r="86" spans="1:1" x14ac:dyDescent="0.35">
      <c r="A86">
        <f>TRUNC(Wholes!A86)</f>
        <v>3</v>
      </c>
    </row>
    <row r="87" spans="1:1" x14ac:dyDescent="0.35">
      <c r="A87">
        <f>TRUNC(Wholes!A87)</f>
        <v>3</v>
      </c>
    </row>
    <row r="88" spans="1:1" x14ac:dyDescent="0.35">
      <c r="A88">
        <f>TRUNC(Wholes!A88)</f>
        <v>3</v>
      </c>
    </row>
    <row r="89" spans="1:1" x14ac:dyDescent="0.35">
      <c r="A89">
        <f>TRUNC(Wholes!A89)</f>
        <v>3</v>
      </c>
    </row>
    <row r="90" spans="1:1" x14ac:dyDescent="0.35">
      <c r="A90">
        <f>TRUNC(Wholes!A90)</f>
        <v>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E3C9-4C29-41F7-A4A2-635241D830F1}">
  <dimension ref="A1:A28"/>
  <sheetViews>
    <sheetView workbookViewId="0"/>
  </sheetViews>
  <sheetFormatPr defaultRowHeight="14.5" x14ac:dyDescent="0.35"/>
  <sheetData>
    <row r="1" spans="1:1" x14ac:dyDescent="0.35">
      <c r="A1">
        <f>MOD(Divisions!A1,Divisions!B1)</f>
        <v>0.10000000000000053</v>
      </c>
    </row>
    <row r="2" spans="1:1" x14ac:dyDescent="0.35">
      <c r="A2">
        <f>MOD(Divisions!A2,Divisions!B2)</f>
        <v>1.5</v>
      </c>
    </row>
    <row r="3" spans="1:1" x14ac:dyDescent="0.35">
      <c r="A3">
        <f>MOD(Divisions!A3,Divisions!B3)</f>
        <v>1</v>
      </c>
    </row>
    <row r="4" spans="1:1" x14ac:dyDescent="0.35">
      <c r="A4">
        <f>MOD(Divisions!A4,Divisions!B4)</f>
        <v>2</v>
      </c>
    </row>
    <row r="5" spans="1:1" x14ac:dyDescent="0.35">
      <c r="A5">
        <f>MOD(Divisions!A5,Divisions!B5)</f>
        <v>3</v>
      </c>
    </row>
    <row r="6" spans="1:1" x14ac:dyDescent="0.35">
      <c r="A6">
        <f>MOD(Divisions!A6,Divisions!B6)</f>
        <v>9.999999999999995E-2</v>
      </c>
    </row>
    <row r="7" spans="1:1" x14ac:dyDescent="0.35">
      <c r="A7">
        <f>MOD(Divisions!A7,Divisions!B7)</f>
        <v>9.9999999999999978E-2</v>
      </c>
    </row>
    <row r="8" spans="1:1" x14ac:dyDescent="0.35">
      <c r="A8">
        <f>MOD(Divisions!A8,Divisions!B8)</f>
        <v>4.4408920985006262E-16</v>
      </c>
    </row>
    <row r="9" spans="1:1" x14ac:dyDescent="0.35">
      <c r="A9">
        <f>MOD(Divisions!A9,Divisions!B9)</f>
        <v>0.69999999999999951</v>
      </c>
    </row>
    <row r="10" spans="1:1" x14ac:dyDescent="0.35">
      <c r="A10">
        <f>MOD(Divisions!A10,Divisions!B10)</f>
        <v>-0.69999999999999951</v>
      </c>
    </row>
    <row r="11" spans="1:1" x14ac:dyDescent="0.35">
      <c r="A11" t="e">
        <f>MOD(Divisions!A11,Divisions!B11)</f>
        <v>#NUM!</v>
      </c>
    </row>
    <row r="12" spans="1:1" x14ac:dyDescent="0.35">
      <c r="A12" t="e">
        <f>MOD(Divisions!A12,Divisions!B12)</f>
        <v>#NUM!</v>
      </c>
    </row>
    <row r="13" spans="1:1" x14ac:dyDescent="0.35">
      <c r="A13">
        <f>MOD(Divisions!A13,Divisions!B13)</f>
        <v>9.9999999999999589E-2</v>
      </c>
    </row>
    <row r="14" spans="1:1" x14ac:dyDescent="0.35">
      <c r="A14">
        <f>MOD(Divisions!A14,Divisions!B14)</f>
        <v>0.29999999999999982</v>
      </c>
    </row>
    <row r="15" spans="1:1" x14ac:dyDescent="0.35">
      <c r="A15">
        <f>MOD(Divisions!A15,Divisions!B15)</f>
        <v>4.163336342344337E-16</v>
      </c>
    </row>
    <row r="16" spans="1:1" x14ac:dyDescent="0.35">
      <c r="A16">
        <f>MOD(Divisions!A16,Divisions!B16)</f>
        <v>1</v>
      </c>
    </row>
    <row r="17" spans="1:1" x14ac:dyDescent="0.35">
      <c r="A17">
        <f>MOD(Divisions!A17,Divisions!B17)</f>
        <v>6.0000000000004997E-3</v>
      </c>
    </row>
    <row r="18" spans="1:1" x14ac:dyDescent="0.35">
      <c r="A18">
        <f>MOD(Divisions!A18,Divisions!B18)</f>
        <v>4.9999999999999933E-2</v>
      </c>
    </row>
    <row r="19" spans="1:1" x14ac:dyDescent="0.35">
      <c r="A19">
        <f>MOD(Divisions!A19,Divisions!B19)</f>
        <v>8.9999999999989339E-2</v>
      </c>
    </row>
    <row r="20" spans="1:1" x14ac:dyDescent="0.35">
      <c r="A20">
        <f>MOD(Divisions!A20,Divisions!B20)</f>
        <v>0.19999999999999996</v>
      </c>
    </row>
    <row r="21" spans="1:1" x14ac:dyDescent="0.35">
      <c r="A21">
        <f>MOD(Divisions!A21,Divisions!B21)</f>
        <v>0</v>
      </c>
    </row>
    <row r="22" spans="1:1" x14ac:dyDescent="0.35">
      <c r="A22" t="e">
        <f>MOD(Divisions!A22,Divisions!B22)</f>
        <v>#NUM!</v>
      </c>
    </row>
    <row r="23" spans="1:1" x14ac:dyDescent="0.35">
      <c r="A23" t="e">
        <f>MOD(Divisions!A23,Divisions!B23)</f>
        <v>#NUM!</v>
      </c>
    </row>
    <row r="24" spans="1:1" x14ac:dyDescent="0.35">
      <c r="A24" t="e">
        <f>MOD(Divisions!A24,Divisions!B24)</f>
        <v>#NUM!</v>
      </c>
    </row>
    <row r="25" spans="1:1" x14ac:dyDescent="0.35">
      <c r="A25" t="e">
        <f>MOD(Divisions!A25,Divisions!B25)</f>
        <v>#NUM!</v>
      </c>
    </row>
    <row r="26" spans="1:1" x14ac:dyDescent="0.35">
      <c r="A26">
        <f>MOD(Divisions!A26,Divisions!B26)</f>
        <v>2.2204460492503131E-16</v>
      </c>
    </row>
    <row r="27" spans="1:1" x14ac:dyDescent="0.35">
      <c r="A27">
        <f>MOD(Divisions!A27,Divisions!B27)</f>
        <v>9.9999999999999922E-2</v>
      </c>
    </row>
    <row r="28" spans="1:1" x14ac:dyDescent="0.35">
      <c r="A28">
        <f>MOD(Divisions!A28,Divisions!B28)</f>
        <v>2.1999999999999993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480A-4BBD-474C-9331-BBCB74A3DE52}">
  <dimension ref="A1:A28"/>
  <sheetViews>
    <sheetView workbookViewId="0"/>
  </sheetViews>
  <sheetFormatPr defaultRowHeight="14.5" x14ac:dyDescent="0.35"/>
  <sheetData>
    <row r="1" spans="1:1" x14ac:dyDescent="0.35">
      <c r="A1">
        <f>QUOTIENT(Divisions!A1,Divisions!B1)</f>
        <v>3</v>
      </c>
    </row>
    <row r="2" spans="1:1" x14ac:dyDescent="0.35">
      <c r="A2">
        <f>QUOTIENT(Divisions!A2,Divisions!B2)</f>
        <v>2</v>
      </c>
    </row>
    <row r="3" spans="1:1" x14ac:dyDescent="0.35">
      <c r="A3">
        <f>QUOTIENT(Divisions!A3,Divisions!B3)</f>
        <v>3333333333</v>
      </c>
    </row>
    <row r="4" spans="1:1" x14ac:dyDescent="0.35">
      <c r="A4">
        <f>QUOTIENT(Divisions!A4,Divisions!B4)</f>
        <v>44739242</v>
      </c>
    </row>
    <row r="5" spans="1:1" x14ac:dyDescent="0.35">
      <c r="A5">
        <f>QUOTIENT(Divisions!A5,Divisions!B5)</f>
        <v>21428571</v>
      </c>
    </row>
    <row r="6" spans="1:1" x14ac:dyDescent="0.35">
      <c r="A6">
        <f>QUOTIENT(Divisions!A6,Divisions!B6)</f>
        <v>10</v>
      </c>
    </row>
    <row r="7" spans="1:1" x14ac:dyDescent="0.35">
      <c r="A7">
        <f>QUOTIENT(Divisions!A7,Divisions!B7)</f>
        <v>2</v>
      </c>
    </row>
    <row r="8" spans="1:1" x14ac:dyDescent="0.35">
      <c r="A8">
        <f>QUOTIENT(Divisions!A8,Divisions!B8)</f>
        <v>10</v>
      </c>
    </row>
    <row r="9" spans="1:1" x14ac:dyDescent="0.35">
      <c r="A9">
        <f>QUOTIENT(Divisions!A9,Divisions!B9)</f>
        <v>-10</v>
      </c>
    </row>
    <row r="10" spans="1:1" x14ac:dyDescent="0.35">
      <c r="A10">
        <f>QUOTIENT(Divisions!A10,Divisions!B10)</f>
        <v>-10</v>
      </c>
    </row>
    <row r="11" spans="1:1" x14ac:dyDescent="0.35">
      <c r="A11">
        <f>QUOTIENT(Divisions!A11,Divisions!B11)</f>
        <v>142857142857142</v>
      </c>
    </row>
    <row r="12" spans="1:1" x14ac:dyDescent="0.35">
      <c r="A12">
        <f>QUOTIENT(Divisions!A12,Divisions!B12)</f>
        <v>833333333333333</v>
      </c>
    </row>
    <row r="13" spans="1:1" x14ac:dyDescent="0.35">
      <c r="A13">
        <f>QUOTIENT(Divisions!A13,Divisions!B13)</f>
        <v>42</v>
      </c>
    </row>
    <row r="14" spans="1:1" x14ac:dyDescent="0.35">
      <c r="A14">
        <f>QUOTIENT(Divisions!A14,Divisions!B14)</f>
        <v>8</v>
      </c>
    </row>
    <row r="15" spans="1:1" x14ac:dyDescent="0.35">
      <c r="A15">
        <f>QUOTIENT(Divisions!A15,Divisions!B15)</f>
        <v>-42</v>
      </c>
    </row>
    <row r="16" spans="1:1" x14ac:dyDescent="0.35">
      <c r="A16">
        <f>QUOTIENT(Divisions!A16,Divisions!B16)</f>
        <v>366503875925</v>
      </c>
    </row>
    <row r="17" spans="1:1" x14ac:dyDescent="0.35">
      <c r="A17">
        <f>QUOTIENT(Divisions!A17,Divisions!B17)</f>
        <v>12345</v>
      </c>
    </row>
    <row r="18" spans="1:1" x14ac:dyDescent="0.35">
      <c r="A18">
        <f>QUOTIENT(Divisions!A18,Divisions!B18)</f>
        <v>25</v>
      </c>
    </row>
    <row r="19" spans="1:1" x14ac:dyDescent="0.35">
      <c r="A19">
        <f>QUOTIENT(Divisions!A19,Divisions!B19)</f>
        <v>999</v>
      </c>
    </row>
    <row r="20" spans="1:1" x14ac:dyDescent="0.35">
      <c r="A20">
        <f>QUOTIENT(Divisions!A20,Divisions!B20)</f>
        <v>2</v>
      </c>
    </row>
    <row r="21" spans="1:1" x14ac:dyDescent="0.35">
      <c r="A21">
        <f>QUOTIENT(Divisions!A21,Divisions!B21)</f>
        <v>2</v>
      </c>
    </row>
    <row r="22" spans="1:1" x14ac:dyDescent="0.35">
      <c r="A22">
        <f>QUOTIENT(Divisions!A22,Divisions!B22)</f>
        <v>1.4285714285714286E+299</v>
      </c>
    </row>
    <row r="23" spans="1:1" x14ac:dyDescent="0.35">
      <c r="A23">
        <f>QUOTIENT(Divisions!A23,Divisions!B23)</f>
        <v>4.9999999999999997E+300</v>
      </c>
    </row>
    <row r="24" spans="1:1" x14ac:dyDescent="0.35">
      <c r="A24">
        <f>QUOTIENT(Divisions!A24,Divisions!B24)</f>
        <v>3002399751580330</v>
      </c>
    </row>
    <row r="25" spans="1:1" x14ac:dyDescent="0.35">
      <c r="A25">
        <f>QUOTIENT(Divisions!A25,Divisions!B25)</f>
        <v>3002399751580331</v>
      </c>
    </row>
    <row r="26" spans="1:1" x14ac:dyDescent="0.35">
      <c r="A26">
        <f>QUOTIENT(Divisions!A26,Divisions!B26)</f>
        <v>20</v>
      </c>
    </row>
    <row r="27" spans="1:1" x14ac:dyDescent="0.35">
      <c r="A27">
        <f>QUOTIENT(Divisions!A27,Divisions!B27)</f>
        <v>6</v>
      </c>
    </row>
    <row r="28" spans="1:1" x14ac:dyDescent="0.35">
      <c r="A28">
        <f>QUOTIENT(Divisions!A28,Divisions!B28)</f>
        <v>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3DD9-BBC0-4079-8266-6950357BA689}">
  <dimension ref="A1:A28"/>
  <sheetViews>
    <sheetView workbookViewId="0"/>
  </sheetViews>
  <sheetFormatPr defaultRowHeight="14.5" x14ac:dyDescent="0.35"/>
  <sheetData>
    <row r="1" spans="1:1" x14ac:dyDescent="0.35">
      <c r="A1">
        <f>CEILING(Divisions!A1,Divisions!B1)</f>
        <v>13.2</v>
      </c>
    </row>
    <row r="2" spans="1:1" x14ac:dyDescent="0.35">
      <c r="A2">
        <f>CEILING(Divisions!A2,Divisions!B2)</f>
        <v>6</v>
      </c>
    </row>
    <row r="3" spans="1:1" x14ac:dyDescent="0.35">
      <c r="A3">
        <f>CEILING(Divisions!A3,Divisions!B3)</f>
        <v>10000000002</v>
      </c>
    </row>
    <row r="4" spans="1:1" x14ac:dyDescent="0.35">
      <c r="A4">
        <f>CEILING(Divisions!A4,Divisions!B4)</f>
        <v>134217729</v>
      </c>
    </row>
    <row r="5" spans="1:1" x14ac:dyDescent="0.35">
      <c r="A5">
        <f>CEILING(Divisions!A5,Divisions!B5)</f>
        <v>150000004</v>
      </c>
    </row>
    <row r="6" spans="1:1" x14ac:dyDescent="0.35">
      <c r="A6">
        <f>CEILING(Divisions!A6,Divisions!B6)</f>
        <v>1</v>
      </c>
    </row>
    <row r="7" spans="1:1" x14ac:dyDescent="0.35">
      <c r="A7">
        <f>CEILING(Divisions!A7,Divisions!B7)</f>
        <v>0.30000000000000004</v>
      </c>
    </row>
    <row r="8" spans="1:1" x14ac:dyDescent="0.35">
      <c r="A8">
        <f>CEILING(Divisions!A8,Divisions!B8)</f>
        <v>7</v>
      </c>
    </row>
    <row r="9" spans="1:1" x14ac:dyDescent="0.35">
      <c r="A9">
        <f>CEILING(Divisions!A9,Divisions!B9)</f>
        <v>-7</v>
      </c>
    </row>
    <row r="10" spans="1:1" x14ac:dyDescent="0.35">
      <c r="A10" t="e">
        <f>CEILING(Divisions!A10,Divisions!B10)</f>
        <v>#NUM!</v>
      </c>
    </row>
    <row r="11" spans="1:1" x14ac:dyDescent="0.35">
      <c r="A11">
        <f>CEILING(Divisions!A11,Divisions!B11)</f>
        <v>1000000000000001</v>
      </c>
    </row>
    <row r="12" spans="1:1" x14ac:dyDescent="0.35">
      <c r="A12">
        <f>CEILING(Divisions!A12,Divisions!B12)</f>
        <v>2499999999999999</v>
      </c>
    </row>
    <row r="13" spans="1:1" x14ac:dyDescent="0.35">
      <c r="A13">
        <f>CEILING(Divisions!A13,Divisions!B13)</f>
        <v>4.3</v>
      </c>
    </row>
    <row r="14" spans="1:1" x14ac:dyDescent="0.35">
      <c r="A14">
        <f>CEILING(Divisions!A14,Divisions!B14)</f>
        <v>4.5</v>
      </c>
    </row>
    <row r="15" spans="1:1" x14ac:dyDescent="0.35">
      <c r="A15">
        <f>CEILING(Divisions!A15,Divisions!B15)</f>
        <v>-4.3</v>
      </c>
    </row>
    <row r="16" spans="1:1" x14ac:dyDescent="0.35">
      <c r="A16">
        <f>CEILING(Divisions!A16,Divisions!B16)</f>
        <v>1099511627778</v>
      </c>
    </row>
    <row r="17" spans="1:1" x14ac:dyDescent="0.35">
      <c r="A17">
        <f>CEILING(Divisions!A17,Divisions!B17)</f>
        <v>123.46000000000001</v>
      </c>
    </row>
    <row r="18" spans="1:1" x14ac:dyDescent="0.35">
      <c r="A18">
        <f>CEILING(Divisions!A18,Divisions!B18)</f>
        <v>1.25</v>
      </c>
    </row>
    <row r="19" spans="1:1" x14ac:dyDescent="0.35">
      <c r="A19">
        <f>CEILING(Divisions!A19,Divisions!B19)</f>
        <v>100</v>
      </c>
    </row>
    <row r="20" spans="1:1" x14ac:dyDescent="0.35">
      <c r="A20">
        <f>CEILING(Divisions!A20,Divisions!B20)</f>
        <v>0.60000000000000009</v>
      </c>
    </row>
    <row r="21" spans="1:1" x14ac:dyDescent="0.35">
      <c r="A21">
        <f>CEILING(Divisions!A21,Divisions!B21)</f>
        <v>3</v>
      </c>
    </row>
    <row r="22" spans="1:1" x14ac:dyDescent="0.35">
      <c r="A22">
        <f>CEILING(Divisions!A22,Divisions!B22)</f>
        <v>1.0000000000000011E+300</v>
      </c>
    </row>
    <row r="23" spans="1:1" x14ac:dyDescent="0.35">
      <c r="A23">
        <f>CEILING(Divisions!A23,Divisions!B23)</f>
        <v>5</v>
      </c>
    </row>
    <row r="24" spans="1:1" x14ac:dyDescent="0.35">
      <c r="A24">
        <f>CEILING(Divisions!A24,Divisions!B24)</f>
        <v>9007199254740990</v>
      </c>
    </row>
    <row r="25" spans="1:1" x14ac:dyDescent="0.35">
      <c r="A25">
        <f>CEILING(Divisions!A25,Divisions!B25)</f>
        <v>9007199254740990</v>
      </c>
    </row>
    <row r="26" spans="1:1" x14ac:dyDescent="0.35">
      <c r="A26">
        <f>CEILING(Divisions!A26,Divisions!B26)</f>
        <v>6</v>
      </c>
    </row>
    <row r="27" spans="1:1" x14ac:dyDescent="0.35">
      <c r="A27">
        <f>CEILING(Divisions!A27,Divisions!B27)</f>
        <v>0.70000000000000007</v>
      </c>
    </row>
    <row r="28" spans="1:1" x14ac:dyDescent="0.35">
      <c r="A28">
        <f>CEILING(Divisions!A28,Divisions!B28)</f>
        <v>11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78D-47A3-446D-ACA1-3A4030AD7B65}">
  <dimension ref="A1:A28"/>
  <sheetViews>
    <sheetView workbookViewId="0"/>
  </sheetViews>
  <sheetFormatPr defaultRowHeight="14.5" x14ac:dyDescent="0.35"/>
  <sheetData>
    <row r="1" spans="1:1" x14ac:dyDescent="0.35">
      <c r="A1">
        <f>FLOOR(Divisions!A1,Divisions!B1)</f>
        <v>9.8999999999999986</v>
      </c>
    </row>
    <row r="2" spans="1:1" x14ac:dyDescent="0.35">
      <c r="A2">
        <f>FLOOR(Divisions!A2,Divisions!B2)</f>
        <v>4</v>
      </c>
    </row>
    <row r="3" spans="1:1" x14ac:dyDescent="0.35">
      <c r="A3">
        <f>FLOOR(Divisions!A3,Divisions!B3)</f>
        <v>9999999999</v>
      </c>
    </row>
    <row r="4" spans="1:1" x14ac:dyDescent="0.35">
      <c r="A4">
        <f>FLOOR(Divisions!A4,Divisions!B4)</f>
        <v>134217726</v>
      </c>
    </row>
    <row r="5" spans="1:1" x14ac:dyDescent="0.35">
      <c r="A5">
        <f>FLOOR(Divisions!A5,Divisions!B5)</f>
        <v>149999997</v>
      </c>
    </row>
    <row r="6" spans="1:1" x14ac:dyDescent="0.35">
      <c r="A6">
        <f>FLOOR(Divisions!A6,Divisions!B6)</f>
        <v>1</v>
      </c>
    </row>
    <row r="7" spans="1:1" x14ac:dyDescent="0.35">
      <c r="A7">
        <f>FLOOR(Divisions!A7,Divisions!B7)</f>
        <v>0.30000000000000004</v>
      </c>
    </row>
    <row r="8" spans="1:1" x14ac:dyDescent="0.35">
      <c r="A8">
        <f>FLOOR(Divisions!A8,Divisions!B8)</f>
        <v>7</v>
      </c>
    </row>
    <row r="9" spans="1:1" x14ac:dyDescent="0.35">
      <c r="A9">
        <f>FLOOR(Divisions!A9,Divisions!B9)</f>
        <v>-7</v>
      </c>
    </row>
    <row r="10" spans="1:1" x14ac:dyDescent="0.35">
      <c r="A10" t="e">
        <f>FLOOR(Divisions!A10,Divisions!B10)</f>
        <v>#NUM!</v>
      </c>
    </row>
    <row r="11" spans="1:1" x14ac:dyDescent="0.35">
      <c r="A11">
        <f>FLOOR(Divisions!A11,Divisions!B11)</f>
        <v>1000000000000001</v>
      </c>
    </row>
    <row r="12" spans="1:1" x14ac:dyDescent="0.35">
      <c r="A12">
        <f>FLOOR(Divisions!A12,Divisions!B12)</f>
        <v>2499999999999999</v>
      </c>
    </row>
    <row r="13" spans="1:1" x14ac:dyDescent="0.35">
      <c r="A13">
        <f>FLOOR(Divisions!A13,Divisions!B13)</f>
        <v>4.3</v>
      </c>
    </row>
    <row r="14" spans="1:1" x14ac:dyDescent="0.35">
      <c r="A14">
        <f>FLOOR(Divisions!A14,Divisions!B14)</f>
        <v>4</v>
      </c>
    </row>
    <row r="15" spans="1:1" x14ac:dyDescent="0.35">
      <c r="A15">
        <f>FLOOR(Divisions!A15,Divisions!B15)</f>
        <v>-4.3</v>
      </c>
    </row>
    <row r="16" spans="1:1" x14ac:dyDescent="0.35">
      <c r="A16">
        <f>FLOOR(Divisions!A16,Divisions!B16)</f>
        <v>1099511627775</v>
      </c>
    </row>
    <row r="17" spans="1:1" x14ac:dyDescent="0.35">
      <c r="A17">
        <f>FLOOR(Divisions!A17,Divisions!B17)</f>
        <v>123.45</v>
      </c>
    </row>
    <row r="18" spans="1:1" x14ac:dyDescent="0.35">
      <c r="A18">
        <f>FLOOR(Divisions!A18,Divisions!B18)</f>
        <v>1.25</v>
      </c>
    </row>
    <row r="19" spans="1:1" x14ac:dyDescent="0.35">
      <c r="A19">
        <f>FLOOR(Divisions!A19,Divisions!B19)</f>
        <v>99.9</v>
      </c>
    </row>
    <row r="20" spans="1:1" x14ac:dyDescent="0.35">
      <c r="A20">
        <f>FLOOR(Divisions!A20,Divisions!B20)</f>
        <v>0.60000000000000009</v>
      </c>
    </row>
    <row r="21" spans="1:1" x14ac:dyDescent="0.35">
      <c r="A21">
        <f>FLOOR(Divisions!A21,Divisions!B21)</f>
        <v>3</v>
      </c>
    </row>
    <row r="22" spans="1:1" x14ac:dyDescent="0.35">
      <c r="A22">
        <f>FLOOR(Divisions!A22,Divisions!B22)</f>
        <v>1.0000000000000011E+300</v>
      </c>
    </row>
    <row r="23" spans="1:1" x14ac:dyDescent="0.35">
      <c r="A23">
        <f>FLOOR(Divisions!A23,Divisions!B23)</f>
        <v>5</v>
      </c>
    </row>
    <row r="24" spans="1:1" x14ac:dyDescent="0.35">
      <c r="A24">
        <f>FLOOR(Divisions!A24,Divisions!B24)</f>
        <v>9007199254740990</v>
      </c>
    </row>
    <row r="25" spans="1:1" x14ac:dyDescent="0.35">
      <c r="A25">
        <f>FLOOR(Divisions!A25,Divisions!B25)</f>
        <v>9007199254740990</v>
      </c>
    </row>
    <row r="26" spans="1:1" x14ac:dyDescent="0.35">
      <c r="A26">
        <f>FLOOR(Divisions!A26,Divisions!B26)</f>
        <v>6</v>
      </c>
    </row>
    <row r="27" spans="1:1" x14ac:dyDescent="0.35">
      <c r="A27">
        <f>FLOOR(Divisions!A27,Divisions!B27)</f>
        <v>0.70000000000000007</v>
      </c>
    </row>
    <row r="28" spans="1:1" x14ac:dyDescent="0.35">
      <c r="A28">
        <f>FLOOR(Divisions!A28,Divisions!B28)</f>
        <v>11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2142-7D3B-4F21-8A43-958B1B906589}">
  <dimension ref="A1:A28"/>
  <sheetViews>
    <sheetView workbookViewId="0"/>
  </sheetViews>
  <sheetFormatPr defaultRowHeight="14.5" x14ac:dyDescent="0.35"/>
  <sheetData>
    <row r="1" spans="1:1" x14ac:dyDescent="0.35">
      <c r="A1">
        <f>MROUND(Divisions!A1,Divisions!B1)</f>
        <v>9.8999999999999986</v>
      </c>
    </row>
    <row r="2" spans="1:1" x14ac:dyDescent="0.35">
      <c r="A2">
        <f>MROUND(Divisions!A2,Divisions!B2)</f>
        <v>6</v>
      </c>
    </row>
    <row r="3" spans="1:1" x14ac:dyDescent="0.35">
      <c r="A3">
        <f>MROUND(Divisions!A3,Divisions!B3)</f>
        <v>9999999999</v>
      </c>
    </row>
    <row r="4" spans="1:1" x14ac:dyDescent="0.35">
      <c r="A4">
        <f>MROUND(Divisions!A4,Divisions!B4)</f>
        <v>134217729</v>
      </c>
    </row>
    <row r="5" spans="1:1" x14ac:dyDescent="0.35">
      <c r="A5">
        <f>MROUND(Divisions!A5,Divisions!B5)</f>
        <v>149999997</v>
      </c>
    </row>
    <row r="6" spans="1:1" x14ac:dyDescent="0.35">
      <c r="A6">
        <f>MROUND(Divisions!A6,Divisions!B6)</f>
        <v>1</v>
      </c>
    </row>
    <row r="7" spans="1:1" x14ac:dyDescent="0.35">
      <c r="A7">
        <f>MROUND(Divisions!A7,Divisions!B7)</f>
        <v>0.30000000000000004</v>
      </c>
    </row>
    <row r="8" spans="1:1" x14ac:dyDescent="0.35">
      <c r="A8">
        <f>MROUND(Divisions!A8,Divisions!B8)</f>
        <v>7</v>
      </c>
    </row>
    <row r="9" spans="1:1" x14ac:dyDescent="0.35">
      <c r="A9" t="e">
        <f>MROUND(Divisions!A9,Divisions!B9)</f>
        <v>#NUM!</v>
      </c>
    </row>
    <row r="10" spans="1:1" x14ac:dyDescent="0.35">
      <c r="A10" t="e">
        <f>MROUND(Divisions!A10,Divisions!B10)</f>
        <v>#NUM!</v>
      </c>
    </row>
    <row r="11" spans="1:1" x14ac:dyDescent="0.35">
      <c r="A11">
        <f>MROUND(Divisions!A11,Divisions!B11)</f>
        <v>1000000000000001</v>
      </c>
    </row>
    <row r="12" spans="1:1" x14ac:dyDescent="0.35">
      <c r="A12">
        <f>MROUND(Divisions!A12,Divisions!B12)</f>
        <v>2499999999999999</v>
      </c>
    </row>
    <row r="13" spans="1:1" x14ac:dyDescent="0.35">
      <c r="A13">
        <f>MROUND(Divisions!A13,Divisions!B13)</f>
        <v>4.3</v>
      </c>
    </row>
    <row r="14" spans="1:1" x14ac:dyDescent="0.35">
      <c r="A14">
        <f>MROUND(Divisions!A14,Divisions!B14)</f>
        <v>4.5</v>
      </c>
    </row>
    <row r="15" spans="1:1" x14ac:dyDescent="0.35">
      <c r="A15" t="e">
        <f>MROUND(Divisions!A15,Divisions!B15)</f>
        <v>#NUM!</v>
      </c>
    </row>
    <row r="16" spans="1:1" x14ac:dyDescent="0.35">
      <c r="A16">
        <f>MROUND(Divisions!A16,Divisions!B16)</f>
        <v>1099511627775</v>
      </c>
    </row>
    <row r="17" spans="1:1" x14ac:dyDescent="0.35">
      <c r="A17">
        <f>MROUND(Divisions!A17,Divisions!B17)</f>
        <v>123.46000000000001</v>
      </c>
    </row>
    <row r="18" spans="1:1" x14ac:dyDescent="0.35">
      <c r="A18">
        <f>MROUND(Divisions!A18,Divisions!B18)</f>
        <v>1.25</v>
      </c>
    </row>
    <row r="19" spans="1:1" x14ac:dyDescent="0.35">
      <c r="A19">
        <f>MROUND(Divisions!A19,Divisions!B19)</f>
        <v>100</v>
      </c>
    </row>
    <row r="20" spans="1:1" x14ac:dyDescent="0.35">
      <c r="A20">
        <f>MROUND(Divisions!A20,Divisions!B20)</f>
        <v>0.60000000000000009</v>
      </c>
    </row>
    <row r="21" spans="1:1" x14ac:dyDescent="0.35">
      <c r="A21">
        <f>MROUND(Divisions!A21,Divisions!B21)</f>
        <v>3</v>
      </c>
    </row>
    <row r="22" spans="1:1" x14ac:dyDescent="0.35">
      <c r="A22">
        <f>MROUND(Divisions!A22,Divisions!B22)</f>
        <v>1.0000000000000001E+300</v>
      </c>
    </row>
    <row r="23" spans="1:1" x14ac:dyDescent="0.35">
      <c r="A23">
        <f>MROUND(Divisions!A23,Divisions!B23)</f>
        <v>5</v>
      </c>
    </row>
    <row r="24" spans="1:1" x14ac:dyDescent="0.35">
      <c r="A24">
        <f>MROUND(Divisions!A24,Divisions!B24)</f>
        <v>9007199254740992</v>
      </c>
    </row>
    <row r="25" spans="1:1" x14ac:dyDescent="0.35">
      <c r="A25">
        <f>MROUND(Divisions!A25,Divisions!B25)</f>
        <v>9007199254740996</v>
      </c>
    </row>
    <row r="26" spans="1:1" x14ac:dyDescent="0.35">
      <c r="A26">
        <f>MROUND(Divisions!A26,Divisions!B26)</f>
        <v>6</v>
      </c>
    </row>
    <row r="27" spans="1:1" x14ac:dyDescent="0.35">
      <c r="A27">
        <f>MROUND(Divisions!A27,Divisions!B27)</f>
        <v>0.70000000000000007</v>
      </c>
    </row>
    <row r="28" spans="1:1" x14ac:dyDescent="0.35">
      <c r="A28">
        <f>MROUND(Divisions!A28,Divisions!B28)</f>
        <v>11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EDBF-94A2-49EE-8B3D-F2A700FAC0F0}">
  <dimension ref="A1:A28"/>
  <sheetViews>
    <sheetView workbookViewId="0"/>
  </sheetViews>
  <sheetFormatPr defaultRowHeight="14.5" x14ac:dyDescent="0.35"/>
  <sheetData>
    <row r="1" spans="1:1" x14ac:dyDescent="0.35">
      <c r="A1">
        <f>_xlfn.CEILING.MATH(Divisions!A1,Divisions!B1)</f>
        <v>13.2</v>
      </c>
    </row>
    <row r="2" spans="1:1" x14ac:dyDescent="0.35">
      <c r="A2">
        <f>_xlfn.CEILING.MATH(Divisions!A2,Divisions!B2)</f>
        <v>6</v>
      </c>
    </row>
    <row r="3" spans="1:1" x14ac:dyDescent="0.35">
      <c r="A3">
        <f>_xlfn.CEILING.MATH(Divisions!A3,Divisions!B3)</f>
        <v>10000000002</v>
      </c>
    </row>
    <row r="4" spans="1:1" x14ac:dyDescent="0.35">
      <c r="A4">
        <f>_xlfn.CEILING.MATH(Divisions!A4,Divisions!B4)</f>
        <v>134217729</v>
      </c>
    </row>
    <row r="5" spans="1:1" x14ac:dyDescent="0.35">
      <c r="A5">
        <f>_xlfn.CEILING.MATH(Divisions!A5,Divisions!B5)</f>
        <v>150000004</v>
      </c>
    </row>
    <row r="6" spans="1:1" x14ac:dyDescent="0.35">
      <c r="A6">
        <f>_xlfn.CEILING.MATH(Divisions!A6,Divisions!B6)</f>
        <v>1</v>
      </c>
    </row>
    <row r="7" spans="1:1" x14ac:dyDescent="0.35">
      <c r="A7">
        <f>_xlfn.CEILING.MATH(Divisions!A7,Divisions!B7)</f>
        <v>0.30000000000000004</v>
      </c>
    </row>
    <row r="8" spans="1:1" x14ac:dyDescent="0.35">
      <c r="A8">
        <f>_xlfn.CEILING.MATH(Divisions!A8,Divisions!B8)</f>
        <v>7</v>
      </c>
    </row>
    <row r="9" spans="1:1" x14ac:dyDescent="0.35">
      <c r="A9">
        <f>_xlfn.CEILING.MATH(Divisions!A9,Divisions!B9)</f>
        <v>-7</v>
      </c>
    </row>
    <row r="10" spans="1:1" x14ac:dyDescent="0.35">
      <c r="A10">
        <f>_xlfn.CEILING.MATH(Divisions!A10,Divisions!B10)</f>
        <v>7</v>
      </c>
    </row>
    <row r="11" spans="1:1" x14ac:dyDescent="0.35">
      <c r="A11">
        <f>_xlfn.CEILING.MATH(Divisions!A11,Divisions!B11)</f>
        <v>1000000000000001</v>
      </c>
    </row>
    <row r="12" spans="1:1" x14ac:dyDescent="0.35">
      <c r="A12">
        <f>_xlfn.CEILING.MATH(Divisions!A12,Divisions!B12)</f>
        <v>2499999999999999</v>
      </c>
    </row>
    <row r="13" spans="1:1" x14ac:dyDescent="0.35">
      <c r="A13">
        <f>_xlfn.CEILING.MATH(Divisions!A13,Divisions!B13)</f>
        <v>4.3</v>
      </c>
    </row>
    <row r="14" spans="1:1" x14ac:dyDescent="0.35">
      <c r="A14">
        <f>_xlfn.CEILING.MATH(Divisions!A14,Divisions!B14)</f>
        <v>4.5</v>
      </c>
    </row>
    <row r="15" spans="1:1" x14ac:dyDescent="0.35">
      <c r="A15">
        <f>_xlfn.CEILING.MATH(Divisions!A15,Divisions!B15)</f>
        <v>-4.3</v>
      </c>
    </row>
    <row r="16" spans="1:1" x14ac:dyDescent="0.35">
      <c r="A16">
        <f>_xlfn.CEILING.MATH(Divisions!A16,Divisions!B16)</f>
        <v>1099511627778</v>
      </c>
    </row>
    <row r="17" spans="1:1" x14ac:dyDescent="0.35">
      <c r="A17">
        <f>_xlfn.CEILING.MATH(Divisions!A17,Divisions!B17)</f>
        <v>123.46000000000001</v>
      </c>
    </row>
    <row r="18" spans="1:1" x14ac:dyDescent="0.35">
      <c r="A18">
        <f>_xlfn.CEILING.MATH(Divisions!A18,Divisions!B18)</f>
        <v>1.25</v>
      </c>
    </row>
    <row r="19" spans="1:1" x14ac:dyDescent="0.35">
      <c r="A19">
        <f>_xlfn.CEILING.MATH(Divisions!A19,Divisions!B19)</f>
        <v>100</v>
      </c>
    </row>
    <row r="20" spans="1:1" x14ac:dyDescent="0.35">
      <c r="A20">
        <f>_xlfn.CEILING.MATH(Divisions!A20,Divisions!B20)</f>
        <v>0.60000000000000009</v>
      </c>
    </row>
    <row r="21" spans="1:1" x14ac:dyDescent="0.35">
      <c r="A21">
        <f>_xlfn.CEILING.MATH(Divisions!A21,Divisions!B21)</f>
        <v>3</v>
      </c>
    </row>
    <row r="22" spans="1:1" x14ac:dyDescent="0.35">
      <c r="A22">
        <f>_xlfn.CEILING.MATH(Divisions!A22,Divisions!B22)</f>
        <v>1.0000000000000011E+300</v>
      </c>
    </row>
    <row r="23" spans="1:1" x14ac:dyDescent="0.35">
      <c r="A23">
        <f>_xlfn.CEILING.MATH(Divisions!A23,Divisions!B23)</f>
        <v>5</v>
      </c>
    </row>
    <row r="24" spans="1:1" x14ac:dyDescent="0.35">
      <c r="A24">
        <f>_xlfn.CEILING.MATH(Divisions!A24,Divisions!B24)</f>
        <v>9007199254740990</v>
      </c>
    </row>
    <row r="25" spans="1:1" x14ac:dyDescent="0.35">
      <c r="A25">
        <f>_xlfn.CEILING.MATH(Divisions!A25,Divisions!B25)</f>
        <v>9007199254740990</v>
      </c>
    </row>
    <row r="26" spans="1:1" x14ac:dyDescent="0.35">
      <c r="A26">
        <f>_xlfn.CEILING.MATH(Divisions!A26,Divisions!B26)</f>
        <v>6</v>
      </c>
    </row>
    <row r="27" spans="1:1" x14ac:dyDescent="0.35">
      <c r="A27">
        <f>_xlfn.CEILING.MATH(Divisions!A27,Divisions!B27)</f>
        <v>0.70000000000000007</v>
      </c>
    </row>
    <row r="28" spans="1:1" x14ac:dyDescent="0.35">
      <c r="A28">
        <f>_xlfn.CEILING.MATH(Divisions!A28,Divisions!B28)</f>
        <v>11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9D69-E193-48F6-9AA9-F73E16F889ED}">
  <dimension ref="A1:A28"/>
  <sheetViews>
    <sheetView workbookViewId="0"/>
  </sheetViews>
  <sheetFormatPr defaultRowHeight="14.5" x14ac:dyDescent="0.35"/>
  <sheetData>
    <row r="1" spans="1:1" x14ac:dyDescent="0.35">
      <c r="A1">
        <f>_xlfn.FLOOR.MATH(Divisions!A1,Divisions!B1)</f>
        <v>9.8999999999999986</v>
      </c>
    </row>
    <row r="2" spans="1:1" x14ac:dyDescent="0.35">
      <c r="A2">
        <f>_xlfn.FLOOR.MATH(Divisions!A2,Divisions!B2)</f>
        <v>4</v>
      </c>
    </row>
    <row r="3" spans="1:1" x14ac:dyDescent="0.35">
      <c r="A3">
        <f>_xlfn.FLOOR.MATH(Divisions!A3,Divisions!B3)</f>
        <v>9999999999</v>
      </c>
    </row>
    <row r="4" spans="1:1" x14ac:dyDescent="0.35">
      <c r="A4">
        <f>_xlfn.FLOOR.MATH(Divisions!A4,Divisions!B4)</f>
        <v>134217726</v>
      </c>
    </row>
    <row r="5" spans="1:1" x14ac:dyDescent="0.35">
      <c r="A5">
        <f>_xlfn.FLOOR.MATH(Divisions!A5,Divisions!B5)</f>
        <v>149999997</v>
      </c>
    </row>
    <row r="6" spans="1:1" x14ac:dyDescent="0.35">
      <c r="A6">
        <f>_xlfn.FLOOR.MATH(Divisions!A6,Divisions!B6)</f>
        <v>1</v>
      </c>
    </row>
    <row r="7" spans="1:1" x14ac:dyDescent="0.35">
      <c r="A7">
        <f>_xlfn.FLOOR.MATH(Divisions!A7,Divisions!B7)</f>
        <v>0.30000000000000004</v>
      </c>
    </row>
    <row r="8" spans="1:1" x14ac:dyDescent="0.35">
      <c r="A8">
        <f>_xlfn.FLOOR.MATH(Divisions!A8,Divisions!B8)</f>
        <v>7</v>
      </c>
    </row>
    <row r="9" spans="1:1" x14ac:dyDescent="0.35">
      <c r="A9">
        <f>_xlfn.FLOOR.MATH(Divisions!A9,Divisions!B9)</f>
        <v>-7</v>
      </c>
    </row>
    <row r="10" spans="1:1" x14ac:dyDescent="0.35">
      <c r="A10">
        <f>_xlfn.FLOOR.MATH(Divisions!A10,Divisions!B10)</f>
        <v>7</v>
      </c>
    </row>
    <row r="11" spans="1:1" x14ac:dyDescent="0.35">
      <c r="A11">
        <f>_xlfn.FLOOR.MATH(Divisions!A11,Divisions!B11)</f>
        <v>1000000000000001</v>
      </c>
    </row>
    <row r="12" spans="1:1" x14ac:dyDescent="0.35">
      <c r="A12">
        <f>_xlfn.FLOOR.MATH(Divisions!A12,Divisions!B12)</f>
        <v>2499999999999999</v>
      </c>
    </row>
    <row r="13" spans="1:1" x14ac:dyDescent="0.35">
      <c r="A13">
        <f>_xlfn.FLOOR.MATH(Divisions!A13,Divisions!B13)</f>
        <v>4.3</v>
      </c>
    </row>
    <row r="14" spans="1:1" x14ac:dyDescent="0.35">
      <c r="A14">
        <f>_xlfn.FLOOR.MATH(Divisions!A14,Divisions!B14)</f>
        <v>4</v>
      </c>
    </row>
    <row r="15" spans="1:1" x14ac:dyDescent="0.35">
      <c r="A15">
        <f>_xlfn.FLOOR.MATH(Divisions!A15,Divisions!B15)</f>
        <v>-4.3</v>
      </c>
    </row>
    <row r="16" spans="1:1" x14ac:dyDescent="0.35">
      <c r="A16">
        <f>_xlfn.FLOOR.MATH(Divisions!A16,Divisions!B16)</f>
        <v>1099511627775</v>
      </c>
    </row>
    <row r="17" spans="1:1" x14ac:dyDescent="0.35">
      <c r="A17">
        <f>_xlfn.FLOOR.MATH(Divisions!A17,Divisions!B17)</f>
        <v>123.45</v>
      </c>
    </row>
    <row r="18" spans="1:1" x14ac:dyDescent="0.35">
      <c r="A18">
        <f>_xlfn.FLOOR.MATH(Divisions!A18,Divisions!B18)</f>
        <v>1.25</v>
      </c>
    </row>
    <row r="19" spans="1:1" x14ac:dyDescent="0.35">
      <c r="A19">
        <f>_xlfn.FLOOR.MATH(Divisions!A19,Divisions!B19)</f>
        <v>99.9</v>
      </c>
    </row>
    <row r="20" spans="1:1" x14ac:dyDescent="0.35">
      <c r="A20">
        <f>_xlfn.FLOOR.MATH(Divisions!A20,Divisions!B20)</f>
        <v>0.60000000000000009</v>
      </c>
    </row>
    <row r="21" spans="1:1" x14ac:dyDescent="0.35">
      <c r="A21">
        <f>_xlfn.FLOOR.MATH(Divisions!A21,Divisions!B21)</f>
        <v>3</v>
      </c>
    </row>
    <row r="22" spans="1:1" x14ac:dyDescent="0.35">
      <c r="A22">
        <f>_xlfn.FLOOR.MATH(Divisions!A22,Divisions!B22)</f>
        <v>1.0000000000000011E+300</v>
      </c>
    </row>
    <row r="23" spans="1:1" x14ac:dyDescent="0.35">
      <c r="A23">
        <f>_xlfn.FLOOR.MATH(Divisions!A23,Divisions!B23)</f>
        <v>5</v>
      </c>
    </row>
    <row r="24" spans="1:1" x14ac:dyDescent="0.35">
      <c r="A24">
        <f>_xlfn.FLOOR.MATH(Divisions!A24,Divisions!B24)</f>
        <v>9007199254740990</v>
      </c>
    </row>
    <row r="25" spans="1:1" x14ac:dyDescent="0.35">
      <c r="A25">
        <f>_xlfn.FLOOR.MATH(Divisions!A25,Divisions!B25)</f>
        <v>9007199254740990</v>
      </c>
    </row>
    <row r="26" spans="1:1" x14ac:dyDescent="0.35">
      <c r="A26">
        <f>_xlfn.FLOOR.MATH(Divisions!A26,Divisions!B26)</f>
        <v>6</v>
      </c>
    </row>
    <row r="27" spans="1:1" x14ac:dyDescent="0.35">
      <c r="A27">
        <f>_xlfn.FLOOR.MATH(Divisions!A27,Divisions!B27)</f>
        <v>0.70000000000000007</v>
      </c>
    </row>
    <row r="28" spans="1:1" x14ac:dyDescent="0.35">
      <c r="A28">
        <f>_xlfn.FLOOR.MATH(Divisions!A28,Divisions!B28)</f>
        <v>11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983B-8155-49A3-AB0F-FF16E0B4F099}">
  <dimension ref="A1:A54"/>
  <sheetViews>
    <sheetView workbookViewId="0"/>
  </sheetViews>
  <sheetFormatPr defaultRowHeight="14.5" x14ac:dyDescent="0.35"/>
  <sheetData>
    <row r="1" spans="1:1" x14ac:dyDescent="0.35">
      <c r="A1">
        <f>HOUR(Times!A1)</f>
        <v>12</v>
      </c>
    </row>
    <row r="2" spans="1:1" x14ac:dyDescent="0.35">
      <c r="A2">
        <f>HOUR(Times!A2)</f>
        <v>12</v>
      </c>
    </row>
    <row r="3" spans="1:1" x14ac:dyDescent="0.35">
      <c r="A3">
        <f>HOUR(Times!A3)</f>
        <v>12</v>
      </c>
    </row>
    <row r="4" spans="1:1" x14ac:dyDescent="0.35">
      <c r="A4">
        <f>HOUR(Times!A4)</f>
        <v>11</v>
      </c>
    </row>
    <row r="5" spans="1:1" x14ac:dyDescent="0.35">
      <c r="A5">
        <f>HOUR(Times!A5)</f>
        <v>12</v>
      </c>
    </row>
    <row r="6" spans="1:1" x14ac:dyDescent="0.35">
      <c r="A6">
        <f>HOUR(Times!A6)</f>
        <v>12</v>
      </c>
    </row>
    <row r="7" spans="1:1" x14ac:dyDescent="0.35">
      <c r="A7">
        <f>HOUR(Times!A7)</f>
        <v>18</v>
      </c>
    </row>
    <row r="8" spans="1:1" x14ac:dyDescent="0.35">
      <c r="A8">
        <f>HOUR(Times!A8)</f>
        <v>18</v>
      </c>
    </row>
    <row r="9" spans="1:1" x14ac:dyDescent="0.35">
      <c r="A9">
        <f>HOUR(Times!A9)</f>
        <v>18</v>
      </c>
    </row>
    <row r="10" spans="1:1" x14ac:dyDescent="0.35">
      <c r="A10">
        <f>HOUR(Times!A10)</f>
        <v>17</v>
      </c>
    </row>
    <row r="11" spans="1:1" x14ac:dyDescent="0.35">
      <c r="A11">
        <f>HOUR(Times!A11)</f>
        <v>18</v>
      </c>
    </row>
    <row r="12" spans="1:1" x14ac:dyDescent="0.35">
      <c r="A12">
        <f>HOUR(Times!A12)</f>
        <v>18</v>
      </c>
    </row>
    <row r="13" spans="1:1" x14ac:dyDescent="0.35">
      <c r="A13">
        <f>HOUR(Times!A13)</f>
        <v>12</v>
      </c>
    </row>
    <row r="14" spans="1:1" x14ac:dyDescent="0.35">
      <c r="A14">
        <f>HOUR(Times!A14)</f>
        <v>12</v>
      </c>
    </row>
    <row r="15" spans="1:1" x14ac:dyDescent="0.35">
      <c r="A15">
        <f>HOUR(Times!A15)</f>
        <v>12</v>
      </c>
    </row>
    <row r="16" spans="1:1" x14ac:dyDescent="0.35">
      <c r="A16">
        <f>HOUR(Times!A16)</f>
        <v>12</v>
      </c>
    </row>
    <row r="17" spans="1:1" x14ac:dyDescent="0.35">
      <c r="A17">
        <f>HOUR(Times!A17)</f>
        <v>12</v>
      </c>
    </row>
    <row r="18" spans="1:1" x14ac:dyDescent="0.35">
      <c r="A18">
        <f>HOUR(Times!A18)</f>
        <v>12</v>
      </c>
    </row>
    <row r="19" spans="1:1" x14ac:dyDescent="0.35">
      <c r="A19">
        <f>HOUR(Times!A19)</f>
        <v>0</v>
      </c>
    </row>
    <row r="20" spans="1:1" x14ac:dyDescent="0.35">
      <c r="A20">
        <f>HOUR(Times!A20)</f>
        <v>0</v>
      </c>
    </row>
    <row r="21" spans="1:1" x14ac:dyDescent="0.35">
      <c r="A21">
        <f>HOUR(Times!A21)</f>
        <v>0</v>
      </c>
    </row>
    <row r="22" spans="1:1" x14ac:dyDescent="0.35">
      <c r="A22">
        <f>HOUR(Times!A22)</f>
        <v>0</v>
      </c>
    </row>
    <row r="23" spans="1:1" x14ac:dyDescent="0.35">
      <c r="A23">
        <f>HOUR(Times!A23)</f>
        <v>0</v>
      </c>
    </row>
    <row r="24" spans="1:1" x14ac:dyDescent="0.35">
      <c r="A24">
        <f>HOUR(Times!A24)</f>
        <v>0</v>
      </c>
    </row>
    <row r="25" spans="1:1" x14ac:dyDescent="0.35">
      <c r="A25">
        <f>HOUR(Times!A25)</f>
        <v>0</v>
      </c>
    </row>
    <row r="26" spans="1:1" x14ac:dyDescent="0.35">
      <c r="A26">
        <f>HOUR(Times!A26)</f>
        <v>0</v>
      </c>
    </row>
    <row r="27" spans="1:1" x14ac:dyDescent="0.35">
      <c r="A27">
        <f>HOUR(Times!A27)</f>
        <v>0</v>
      </c>
    </row>
    <row r="28" spans="1:1" x14ac:dyDescent="0.35">
      <c r="A28">
        <f>HOUR(Times!A28)</f>
        <v>0</v>
      </c>
    </row>
    <row r="29" spans="1:1" x14ac:dyDescent="0.35">
      <c r="A29">
        <f>HOUR(Times!A29)</f>
        <v>0</v>
      </c>
    </row>
    <row r="30" spans="1:1" x14ac:dyDescent="0.35">
      <c r="A30">
        <f>HOUR(Times!A30)</f>
        <v>0</v>
      </c>
    </row>
    <row r="31" spans="1:1" x14ac:dyDescent="0.35">
      <c r="A31">
        <f>HOUR(Times!A31)</f>
        <v>0</v>
      </c>
    </row>
    <row r="32" spans="1:1" x14ac:dyDescent="0.35">
      <c r="A32">
        <f>HOUR(Times!A32)</f>
        <v>0</v>
      </c>
    </row>
    <row r="33" spans="1:1" x14ac:dyDescent="0.35">
      <c r="A33">
        <f>HOUR(Times!A33)</f>
        <v>0</v>
      </c>
    </row>
    <row r="34" spans="1:1" x14ac:dyDescent="0.35">
      <c r="A34">
        <f>HOUR(Times!A34)</f>
        <v>0</v>
      </c>
    </row>
    <row r="35" spans="1:1" x14ac:dyDescent="0.35">
      <c r="A35">
        <f>HOUR(Times!A35)</f>
        <v>0</v>
      </c>
    </row>
    <row r="36" spans="1:1" x14ac:dyDescent="0.35">
      <c r="A36">
        <f>HOUR(Times!A36)</f>
        <v>1</v>
      </c>
    </row>
    <row r="37" spans="1:1" x14ac:dyDescent="0.35">
      <c r="A37">
        <f>HOUR(Times!A37)</f>
        <v>23</v>
      </c>
    </row>
    <row r="38" spans="1:1" x14ac:dyDescent="0.35">
      <c r="A38">
        <f>HOUR(Times!A38)</f>
        <v>23</v>
      </c>
    </row>
    <row r="39" spans="1:1" x14ac:dyDescent="0.35">
      <c r="A39">
        <f>HOUR(Times!A39)</f>
        <v>23</v>
      </c>
    </row>
    <row r="40" spans="1:1" x14ac:dyDescent="0.35">
      <c r="A40">
        <f>HOUR(Times!A40)</f>
        <v>23</v>
      </c>
    </row>
    <row r="41" spans="1:1" x14ac:dyDescent="0.35">
      <c r="A41">
        <f>HOUR(Times!A41)</f>
        <v>23</v>
      </c>
    </row>
    <row r="42" spans="1:1" x14ac:dyDescent="0.35">
      <c r="A42">
        <f>HOUR(Times!A42)</f>
        <v>0</v>
      </c>
    </row>
    <row r="43" spans="1:1" x14ac:dyDescent="0.35">
      <c r="A43">
        <f>HOUR(Times!A43)</f>
        <v>0</v>
      </c>
    </row>
    <row r="44" spans="1:1" x14ac:dyDescent="0.35">
      <c r="A44">
        <f>HOUR(Times!A44)</f>
        <v>0</v>
      </c>
    </row>
    <row r="45" spans="1:1" x14ac:dyDescent="0.35">
      <c r="A45">
        <f>HOUR(Times!A45)</f>
        <v>23</v>
      </c>
    </row>
    <row r="46" spans="1:1" x14ac:dyDescent="0.35">
      <c r="A46">
        <f>HOUR(Times!A46)</f>
        <v>23</v>
      </c>
    </row>
    <row r="47" spans="1:1" x14ac:dyDescent="0.35">
      <c r="A47">
        <f>HOUR(Times!A47)</f>
        <v>0</v>
      </c>
    </row>
    <row r="48" spans="1:1" x14ac:dyDescent="0.35">
      <c r="A48">
        <f>HOUR(Times!A48)</f>
        <v>0</v>
      </c>
    </row>
    <row r="49" spans="1:1" x14ac:dyDescent="0.35">
      <c r="A49">
        <f>HOUR(Times!A49)</f>
        <v>12</v>
      </c>
    </row>
    <row r="50" spans="1:1" x14ac:dyDescent="0.35">
      <c r="A50">
        <f>HOUR(Times!A50)</f>
        <v>12</v>
      </c>
    </row>
    <row r="51" spans="1:1" x14ac:dyDescent="0.35">
      <c r="A51">
        <f>HOUR(Times!A51)</f>
        <v>12</v>
      </c>
    </row>
    <row r="52" spans="1:1" x14ac:dyDescent="0.35">
      <c r="A52">
        <f>HOUR(Times!A52)</f>
        <v>11</v>
      </c>
    </row>
    <row r="53" spans="1:1" x14ac:dyDescent="0.35">
      <c r="A53">
        <f>HOUR(Times!A53)</f>
        <v>12</v>
      </c>
    </row>
    <row r="54" spans="1:1" x14ac:dyDescent="0.35">
      <c r="A54">
        <f>HOUR(Times!A54)</f>
        <v>12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1322-9E97-45BA-9977-EF87975CD616}">
  <dimension ref="A1:A54"/>
  <sheetViews>
    <sheetView workbookViewId="0"/>
  </sheetViews>
  <sheetFormatPr defaultRowHeight="14.5" x14ac:dyDescent="0.35"/>
  <sheetData>
    <row r="1" spans="1:1" x14ac:dyDescent="0.35">
      <c r="A1">
        <f>MINUTE(Times!A1)</f>
        <v>0</v>
      </c>
    </row>
    <row r="2" spans="1:1" x14ac:dyDescent="0.35">
      <c r="A2">
        <f>MINUTE(Times!A2)</f>
        <v>0</v>
      </c>
    </row>
    <row r="3" spans="1:1" x14ac:dyDescent="0.35">
      <c r="A3">
        <f>MINUTE(Times!A3)</f>
        <v>0</v>
      </c>
    </row>
    <row r="4" spans="1:1" x14ac:dyDescent="0.35">
      <c r="A4">
        <f>MINUTE(Times!A4)</f>
        <v>59</v>
      </c>
    </row>
    <row r="5" spans="1:1" x14ac:dyDescent="0.35">
      <c r="A5">
        <f>MINUTE(Times!A5)</f>
        <v>0</v>
      </c>
    </row>
    <row r="6" spans="1:1" x14ac:dyDescent="0.35">
      <c r="A6">
        <f>MINUTE(Times!A6)</f>
        <v>0</v>
      </c>
    </row>
    <row r="7" spans="1:1" x14ac:dyDescent="0.35">
      <c r="A7">
        <f>MINUTE(Times!A7)</f>
        <v>0</v>
      </c>
    </row>
    <row r="8" spans="1:1" x14ac:dyDescent="0.35">
      <c r="A8">
        <f>MINUTE(Times!A8)</f>
        <v>0</v>
      </c>
    </row>
    <row r="9" spans="1:1" x14ac:dyDescent="0.35">
      <c r="A9">
        <f>MINUTE(Times!A9)</f>
        <v>0</v>
      </c>
    </row>
    <row r="10" spans="1:1" x14ac:dyDescent="0.35">
      <c r="A10">
        <f>MINUTE(Times!A10)</f>
        <v>59</v>
      </c>
    </row>
    <row r="11" spans="1:1" x14ac:dyDescent="0.35">
      <c r="A11">
        <f>MINUTE(Times!A11)</f>
        <v>0</v>
      </c>
    </row>
    <row r="12" spans="1:1" x14ac:dyDescent="0.35">
      <c r="A12">
        <f>MINUTE(Times!A12)</f>
        <v>0</v>
      </c>
    </row>
    <row r="13" spans="1:1" x14ac:dyDescent="0.35">
      <c r="A13">
        <f>MINUTE(Times!A13)</f>
        <v>30</v>
      </c>
    </row>
    <row r="14" spans="1:1" x14ac:dyDescent="0.35">
      <c r="A14">
        <f>MINUTE(Times!A14)</f>
        <v>30</v>
      </c>
    </row>
    <row r="15" spans="1:1" x14ac:dyDescent="0.35">
      <c r="A15">
        <f>MINUTE(Times!A15)</f>
        <v>30</v>
      </c>
    </row>
    <row r="16" spans="1:1" x14ac:dyDescent="0.35">
      <c r="A16">
        <f>MINUTE(Times!A16)</f>
        <v>29</v>
      </c>
    </row>
    <row r="17" spans="1:1" x14ac:dyDescent="0.35">
      <c r="A17">
        <f>MINUTE(Times!A17)</f>
        <v>30</v>
      </c>
    </row>
    <row r="18" spans="1:1" x14ac:dyDescent="0.35">
      <c r="A18">
        <f>MINUTE(Times!A18)</f>
        <v>30</v>
      </c>
    </row>
    <row r="19" spans="1:1" x14ac:dyDescent="0.35">
      <c r="A19">
        <f>MINUTE(Times!A19)</f>
        <v>0</v>
      </c>
    </row>
    <row r="20" spans="1:1" x14ac:dyDescent="0.35">
      <c r="A20">
        <f>MINUTE(Times!A20)</f>
        <v>0</v>
      </c>
    </row>
    <row r="21" spans="1:1" x14ac:dyDescent="0.35">
      <c r="A21">
        <f>MINUTE(Times!A21)</f>
        <v>0</v>
      </c>
    </row>
    <row r="22" spans="1:1" x14ac:dyDescent="0.35">
      <c r="A22">
        <f>MINUTE(Times!A22)</f>
        <v>0</v>
      </c>
    </row>
    <row r="23" spans="1:1" x14ac:dyDescent="0.35">
      <c r="A23">
        <f>MINUTE(Times!A23)</f>
        <v>0</v>
      </c>
    </row>
    <row r="24" spans="1:1" x14ac:dyDescent="0.35">
      <c r="A24">
        <f>MINUTE(Times!A24)</f>
        <v>0</v>
      </c>
    </row>
    <row r="25" spans="1:1" x14ac:dyDescent="0.35">
      <c r="A25">
        <f>MINUTE(Times!A25)</f>
        <v>0</v>
      </c>
    </row>
    <row r="26" spans="1:1" x14ac:dyDescent="0.35">
      <c r="A26">
        <f>MINUTE(Times!A26)</f>
        <v>0</v>
      </c>
    </row>
    <row r="27" spans="1:1" x14ac:dyDescent="0.35">
      <c r="A27">
        <f>MINUTE(Times!A27)</f>
        <v>0</v>
      </c>
    </row>
    <row r="28" spans="1:1" x14ac:dyDescent="0.35">
      <c r="A28">
        <f>MINUTE(Times!A28)</f>
        <v>0</v>
      </c>
    </row>
    <row r="29" spans="1:1" x14ac:dyDescent="0.35">
      <c r="A29">
        <f>MINUTE(Times!A29)</f>
        <v>0</v>
      </c>
    </row>
    <row r="30" spans="1:1" x14ac:dyDescent="0.35">
      <c r="A30">
        <f>MINUTE(Times!A30)</f>
        <v>0</v>
      </c>
    </row>
    <row r="31" spans="1:1" x14ac:dyDescent="0.35">
      <c r="A31">
        <f>MINUTE(Times!A31)</f>
        <v>59</v>
      </c>
    </row>
    <row r="32" spans="1:1" x14ac:dyDescent="0.35">
      <c r="A32">
        <f>MINUTE(Times!A32)</f>
        <v>59</v>
      </c>
    </row>
    <row r="33" spans="1:1" x14ac:dyDescent="0.35">
      <c r="A33">
        <f>MINUTE(Times!A33)</f>
        <v>59</v>
      </c>
    </row>
    <row r="34" spans="1:1" x14ac:dyDescent="0.35">
      <c r="A34">
        <f>MINUTE(Times!A34)</f>
        <v>59</v>
      </c>
    </row>
    <row r="35" spans="1:1" x14ac:dyDescent="0.35">
      <c r="A35">
        <f>MINUTE(Times!A35)</f>
        <v>59</v>
      </c>
    </row>
    <row r="36" spans="1:1" x14ac:dyDescent="0.35">
      <c r="A36">
        <f>MINUTE(Times!A36)</f>
        <v>0</v>
      </c>
    </row>
    <row r="37" spans="1:1" x14ac:dyDescent="0.35">
      <c r="A37">
        <f>MINUTE(Times!A37)</f>
        <v>59</v>
      </c>
    </row>
    <row r="38" spans="1:1" x14ac:dyDescent="0.35">
      <c r="A38">
        <f>MINUTE(Times!A38)</f>
        <v>59</v>
      </c>
    </row>
    <row r="39" spans="1:1" x14ac:dyDescent="0.35">
      <c r="A39">
        <f>MINUTE(Times!A39)</f>
        <v>59</v>
      </c>
    </row>
    <row r="40" spans="1:1" x14ac:dyDescent="0.35">
      <c r="A40">
        <f>MINUTE(Times!A40)</f>
        <v>59</v>
      </c>
    </row>
    <row r="41" spans="1:1" x14ac:dyDescent="0.35">
      <c r="A41">
        <f>MINUTE(Times!A41)</f>
        <v>59</v>
      </c>
    </row>
    <row r="42" spans="1:1" x14ac:dyDescent="0.35">
      <c r="A42">
        <f>MINUTE(Times!A42)</f>
        <v>0</v>
      </c>
    </row>
    <row r="43" spans="1:1" x14ac:dyDescent="0.35">
      <c r="A43">
        <f>MINUTE(Times!A43)</f>
        <v>0</v>
      </c>
    </row>
    <row r="44" spans="1:1" x14ac:dyDescent="0.35">
      <c r="A44">
        <f>MINUTE(Times!A44)</f>
        <v>0</v>
      </c>
    </row>
    <row r="45" spans="1:1" x14ac:dyDescent="0.35">
      <c r="A45">
        <f>MINUTE(Times!A45)</f>
        <v>59</v>
      </c>
    </row>
    <row r="46" spans="1:1" x14ac:dyDescent="0.35">
      <c r="A46">
        <f>MINUTE(Times!A46)</f>
        <v>59</v>
      </c>
    </row>
    <row r="47" spans="1:1" x14ac:dyDescent="0.35">
      <c r="A47">
        <f>MINUTE(Times!A47)</f>
        <v>0</v>
      </c>
    </row>
    <row r="48" spans="1:1" x14ac:dyDescent="0.35">
      <c r="A48">
        <f>MINUTE(Times!A48)</f>
        <v>0</v>
      </c>
    </row>
    <row r="49" spans="1:1" x14ac:dyDescent="0.35">
      <c r="A49">
        <f>MINUTE(Times!A49)</f>
        <v>0</v>
      </c>
    </row>
    <row r="50" spans="1:1" x14ac:dyDescent="0.35">
      <c r="A50">
        <f>MINUTE(Times!A50)</f>
        <v>0</v>
      </c>
    </row>
    <row r="51" spans="1:1" x14ac:dyDescent="0.35">
      <c r="A51">
        <f>MINUTE(Times!A51)</f>
        <v>0</v>
      </c>
    </row>
    <row r="52" spans="1:1" x14ac:dyDescent="0.35">
      <c r="A52">
        <f>MINUTE(Times!A52)</f>
        <v>59</v>
      </c>
    </row>
    <row r="53" spans="1:1" x14ac:dyDescent="0.35">
      <c r="A53">
        <f>MINUTE(Times!A53)</f>
        <v>0</v>
      </c>
    </row>
    <row r="54" spans="1:1" x14ac:dyDescent="0.35">
      <c r="A54">
        <f>MINUTE(Times!A54)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A671-3A9E-49B3-96F7-A6BB87915A34}">
  <dimension ref="A1:A54"/>
  <sheetViews>
    <sheetView workbookViewId="0"/>
  </sheetViews>
  <sheetFormatPr defaultRowHeight="14.5" x14ac:dyDescent="0.35"/>
  <sheetData>
    <row r="1" spans="1:1" x14ac:dyDescent="0.35">
      <c r="A1">
        <f>SECOND(Times!A1)</f>
        <v>0</v>
      </c>
    </row>
    <row r="2" spans="1:1" x14ac:dyDescent="0.35">
      <c r="A2">
        <f>SECOND(Times!A2)</f>
        <v>0</v>
      </c>
    </row>
    <row r="3" spans="1:1" x14ac:dyDescent="0.35">
      <c r="A3">
        <f>SECOND(Times!A3)</f>
        <v>0</v>
      </c>
    </row>
    <row r="4" spans="1:1" x14ac:dyDescent="0.35">
      <c r="A4">
        <f>SECOND(Times!A4)</f>
        <v>59</v>
      </c>
    </row>
    <row r="5" spans="1:1" x14ac:dyDescent="0.35">
      <c r="A5">
        <f>SECOND(Times!A5)</f>
        <v>0</v>
      </c>
    </row>
    <row r="6" spans="1:1" x14ac:dyDescent="0.35">
      <c r="A6">
        <f>SECOND(Times!A6)</f>
        <v>0</v>
      </c>
    </row>
    <row r="7" spans="1:1" x14ac:dyDescent="0.35">
      <c r="A7">
        <f>SECOND(Times!A7)</f>
        <v>0</v>
      </c>
    </row>
    <row r="8" spans="1:1" x14ac:dyDescent="0.35">
      <c r="A8">
        <f>SECOND(Times!A8)</f>
        <v>0</v>
      </c>
    </row>
    <row r="9" spans="1:1" x14ac:dyDescent="0.35">
      <c r="A9">
        <f>SECOND(Times!A9)</f>
        <v>0</v>
      </c>
    </row>
    <row r="10" spans="1:1" x14ac:dyDescent="0.35">
      <c r="A10">
        <f>SECOND(Times!A10)</f>
        <v>59</v>
      </c>
    </row>
    <row r="11" spans="1:1" x14ac:dyDescent="0.35">
      <c r="A11">
        <f>SECOND(Times!A11)</f>
        <v>0</v>
      </c>
    </row>
    <row r="12" spans="1:1" x14ac:dyDescent="0.35">
      <c r="A12">
        <f>SECOND(Times!A12)</f>
        <v>0</v>
      </c>
    </row>
    <row r="13" spans="1:1" x14ac:dyDescent="0.35">
      <c r="A13">
        <f>SECOND(Times!A13)</f>
        <v>0</v>
      </c>
    </row>
    <row r="14" spans="1:1" x14ac:dyDescent="0.35">
      <c r="A14">
        <f>SECOND(Times!A14)</f>
        <v>0</v>
      </c>
    </row>
    <row r="15" spans="1:1" x14ac:dyDescent="0.35">
      <c r="A15">
        <f>SECOND(Times!A15)</f>
        <v>0</v>
      </c>
    </row>
    <row r="16" spans="1:1" x14ac:dyDescent="0.35">
      <c r="A16">
        <f>SECOND(Times!A16)</f>
        <v>59</v>
      </c>
    </row>
    <row r="17" spans="1:1" x14ac:dyDescent="0.35">
      <c r="A17">
        <f>SECOND(Times!A17)</f>
        <v>0</v>
      </c>
    </row>
    <row r="18" spans="1:1" x14ac:dyDescent="0.35">
      <c r="A18">
        <f>SECOND(Times!A18)</f>
        <v>1</v>
      </c>
    </row>
    <row r="19" spans="1:1" x14ac:dyDescent="0.35">
      <c r="A19">
        <f>SECOND(Times!A19)</f>
        <v>1</v>
      </c>
    </row>
    <row r="20" spans="1:1" x14ac:dyDescent="0.35">
      <c r="A20">
        <f>SECOND(Times!A20)</f>
        <v>1</v>
      </c>
    </row>
    <row r="21" spans="1:1" x14ac:dyDescent="0.35">
      <c r="A21">
        <f>SECOND(Times!A21)</f>
        <v>1</v>
      </c>
    </row>
    <row r="22" spans="1:1" x14ac:dyDescent="0.35">
      <c r="A22">
        <f>SECOND(Times!A22)</f>
        <v>0</v>
      </c>
    </row>
    <row r="23" spans="1:1" x14ac:dyDescent="0.35">
      <c r="A23">
        <f>SECOND(Times!A23)</f>
        <v>1</v>
      </c>
    </row>
    <row r="24" spans="1:1" x14ac:dyDescent="0.35">
      <c r="A24">
        <f>SECOND(Times!A24)</f>
        <v>2</v>
      </c>
    </row>
    <row r="25" spans="1:1" x14ac:dyDescent="0.35">
      <c r="A25">
        <f>SECOND(Times!A25)</f>
        <v>59</v>
      </c>
    </row>
    <row r="26" spans="1:1" x14ac:dyDescent="0.35">
      <c r="A26">
        <f>SECOND(Times!A26)</f>
        <v>59</v>
      </c>
    </row>
    <row r="27" spans="1:1" x14ac:dyDescent="0.35">
      <c r="A27">
        <f>SECOND(Times!A27)</f>
        <v>59</v>
      </c>
    </row>
    <row r="28" spans="1:1" x14ac:dyDescent="0.35">
      <c r="A28">
        <f>SECOND(Times!A28)</f>
        <v>58</v>
      </c>
    </row>
    <row r="29" spans="1:1" x14ac:dyDescent="0.35">
      <c r="A29">
        <f>SECOND(Times!A29)</f>
        <v>59</v>
      </c>
    </row>
    <row r="30" spans="1:1" x14ac:dyDescent="0.35">
      <c r="A30">
        <f>SECOND(Times!A30)</f>
        <v>59</v>
      </c>
    </row>
    <row r="31" spans="1:1" x14ac:dyDescent="0.35">
      <c r="A31">
        <f>SECOND(Times!A31)</f>
        <v>59</v>
      </c>
    </row>
    <row r="32" spans="1:1" x14ac:dyDescent="0.35">
      <c r="A32">
        <f>SECOND(Times!A32)</f>
        <v>59</v>
      </c>
    </row>
    <row r="33" spans="1:1" x14ac:dyDescent="0.35">
      <c r="A33">
        <f>SECOND(Times!A33)</f>
        <v>59</v>
      </c>
    </row>
    <row r="34" spans="1:1" x14ac:dyDescent="0.35">
      <c r="A34">
        <f>SECOND(Times!A34)</f>
        <v>58</v>
      </c>
    </row>
    <row r="35" spans="1:1" x14ac:dyDescent="0.35">
      <c r="A35">
        <f>SECOND(Times!A35)</f>
        <v>59</v>
      </c>
    </row>
    <row r="36" spans="1:1" x14ac:dyDescent="0.35">
      <c r="A36">
        <f>SECOND(Times!A36)</f>
        <v>0</v>
      </c>
    </row>
    <row r="37" spans="1:1" x14ac:dyDescent="0.35">
      <c r="A37">
        <f>SECOND(Times!A37)</f>
        <v>59</v>
      </c>
    </row>
    <row r="38" spans="1:1" x14ac:dyDescent="0.35">
      <c r="A38">
        <f>SECOND(Times!A38)</f>
        <v>59</v>
      </c>
    </row>
    <row r="39" spans="1:1" x14ac:dyDescent="0.35">
      <c r="A39">
        <f>SECOND(Times!A39)</f>
        <v>59</v>
      </c>
    </row>
    <row r="40" spans="1:1" x14ac:dyDescent="0.35">
      <c r="A40">
        <f>SECOND(Times!A40)</f>
        <v>58</v>
      </c>
    </row>
    <row r="41" spans="1:1" x14ac:dyDescent="0.35">
      <c r="A41">
        <f>SECOND(Times!A41)</f>
        <v>59</v>
      </c>
    </row>
    <row r="42" spans="1:1" x14ac:dyDescent="0.35">
      <c r="A42">
        <f>SECOND(Times!A42)</f>
        <v>0</v>
      </c>
    </row>
    <row r="43" spans="1:1" x14ac:dyDescent="0.35">
      <c r="A43">
        <f>SECOND(Times!A43)</f>
        <v>0</v>
      </c>
    </row>
    <row r="44" spans="1:1" x14ac:dyDescent="0.35">
      <c r="A44">
        <f>SECOND(Times!A44)</f>
        <v>0</v>
      </c>
    </row>
    <row r="45" spans="1:1" x14ac:dyDescent="0.35">
      <c r="A45">
        <f>SECOND(Times!A45)</f>
        <v>59</v>
      </c>
    </row>
    <row r="46" spans="1:1" x14ac:dyDescent="0.35">
      <c r="A46">
        <f>SECOND(Times!A46)</f>
        <v>59</v>
      </c>
    </row>
    <row r="47" spans="1:1" x14ac:dyDescent="0.35">
      <c r="A47">
        <f>SECOND(Times!A47)</f>
        <v>0</v>
      </c>
    </row>
    <row r="48" spans="1:1" x14ac:dyDescent="0.35">
      <c r="A48">
        <f>SECOND(Times!A48)</f>
        <v>0</v>
      </c>
    </row>
    <row r="49" spans="1:1" x14ac:dyDescent="0.35">
      <c r="A49">
        <f>SECOND(Times!A49)</f>
        <v>0</v>
      </c>
    </row>
    <row r="50" spans="1:1" x14ac:dyDescent="0.35">
      <c r="A50">
        <f>SECOND(Times!A50)</f>
        <v>0</v>
      </c>
    </row>
    <row r="51" spans="1:1" x14ac:dyDescent="0.35">
      <c r="A51">
        <f>SECOND(Times!A51)</f>
        <v>0</v>
      </c>
    </row>
    <row r="52" spans="1:1" x14ac:dyDescent="0.35">
      <c r="A52">
        <f>SECOND(Times!A52)</f>
        <v>59</v>
      </c>
    </row>
    <row r="53" spans="1:1" x14ac:dyDescent="0.35">
      <c r="A53">
        <f>SECOND(Times!A53)</f>
        <v>0</v>
      </c>
    </row>
    <row r="54" spans="1:1" x14ac:dyDescent="0.35">
      <c r="A54">
        <f>SECOND(Times!A54)</f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7C91-5A5C-47E4-A1EE-E391A556EA56}">
  <dimension ref="A1:A18"/>
  <sheetViews>
    <sheetView workbookViewId="0"/>
  </sheetViews>
  <sheetFormatPr defaultRowHeight="14.5" x14ac:dyDescent="0.35"/>
  <sheetData>
    <row r="1" spans="1:1" x14ac:dyDescent="0.35">
      <c r="A1">
        <f>DAYS360(DatePairs!A1,DatePairs!B1)</f>
        <v>29</v>
      </c>
    </row>
    <row r="2" spans="1:1" x14ac:dyDescent="0.35">
      <c r="A2">
        <f>DAYS360(DatePairs!A2,DatePairs!B2)</f>
        <v>30</v>
      </c>
    </row>
    <row r="3" spans="1:1" x14ac:dyDescent="0.35">
      <c r="A3">
        <f>DAYS360(DatePairs!A3,DatePairs!B3)</f>
        <v>30</v>
      </c>
    </row>
    <row r="4" spans="1:1" x14ac:dyDescent="0.35">
      <c r="A4">
        <f>DAYS360(DatePairs!A4,DatePairs!B4)</f>
        <v>60</v>
      </c>
    </row>
    <row r="5" spans="1:1" x14ac:dyDescent="0.35">
      <c r="A5">
        <f>DAYS360(DatePairs!A5,DatePairs!B5)</f>
        <v>360</v>
      </c>
    </row>
    <row r="6" spans="1:1" x14ac:dyDescent="0.35">
      <c r="A6">
        <f>DAYS360(DatePairs!A6,DatePairs!B6)</f>
        <v>360</v>
      </c>
    </row>
    <row r="7" spans="1:1" x14ac:dyDescent="0.35">
      <c r="A7">
        <f>DAYS360(DatePairs!A7,DatePairs!B7)</f>
        <v>613</v>
      </c>
    </row>
    <row r="8" spans="1:1" x14ac:dyDescent="0.35">
      <c r="A8">
        <f>DAYS360(DatePairs!A8,DatePairs!B8)</f>
        <v>359</v>
      </c>
    </row>
    <row r="9" spans="1:1" x14ac:dyDescent="0.35">
      <c r="A9">
        <f>DAYS360(DatePairs!A9,DatePairs!B9)</f>
        <v>358</v>
      </c>
    </row>
    <row r="10" spans="1:1" x14ac:dyDescent="0.35">
      <c r="A10">
        <f>DAYS360(DatePairs!A10,DatePairs!B10)</f>
        <v>30</v>
      </c>
    </row>
    <row r="11" spans="1:1" x14ac:dyDescent="0.35">
      <c r="A11">
        <f>DAYS360(DatePairs!A11,DatePairs!B11)</f>
        <v>90</v>
      </c>
    </row>
    <row r="12" spans="1:1" x14ac:dyDescent="0.35">
      <c r="A12">
        <f>DAYS360(DatePairs!A12,DatePairs!B12)</f>
        <v>90</v>
      </c>
    </row>
    <row r="13" spans="1:1" x14ac:dyDescent="0.35">
      <c r="A13">
        <f>DAYS360(DatePairs!A13,DatePairs!B13)</f>
        <v>-359</v>
      </c>
    </row>
    <row r="14" spans="1:1" x14ac:dyDescent="0.35">
      <c r="A14">
        <f>DAYS360(DatePairs!A14,DatePairs!B14)</f>
        <v>1440</v>
      </c>
    </row>
    <row r="15" spans="1:1" x14ac:dyDescent="0.35">
      <c r="A15">
        <f>DAYS360(DatePairs!A15,DatePairs!B15)</f>
        <v>359</v>
      </c>
    </row>
    <row r="16" spans="1:1" x14ac:dyDescent="0.35">
      <c r="A16">
        <f>DAYS360(DatePairs!A16,DatePairs!B16)</f>
        <v>358</v>
      </c>
    </row>
    <row r="17" spans="1:1" x14ac:dyDescent="0.35">
      <c r="A17">
        <f>DAYS360(DatePairs!A17,DatePairs!B17)</f>
        <v>1</v>
      </c>
    </row>
    <row r="18" spans="1:1" x14ac:dyDescent="0.35">
      <c r="A18">
        <f>DAYS360(DatePairs!A18,DatePairs!B18)</f>
        <v>61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C106-1B50-4D93-8D6C-1BB2098E2FA8}">
  <dimension ref="A1:A18"/>
  <sheetViews>
    <sheetView workbookViewId="0"/>
  </sheetViews>
  <sheetFormatPr defaultRowHeight="14.5" x14ac:dyDescent="0.35"/>
  <sheetData>
    <row r="1" spans="1:1" x14ac:dyDescent="0.35">
      <c r="A1">
        <f>DAYS360(DatePairs!A1,DatePairs!B1,TRUE)</f>
        <v>29</v>
      </c>
    </row>
    <row r="2" spans="1:1" x14ac:dyDescent="0.35">
      <c r="A2">
        <f>DAYS360(DatePairs!A2,DatePairs!B2,TRUE)</f>
        <v>31</v>
      </c>
    </row>
    <row r="3" spans="1:1" x14ac:dyDescent="0.35">
      <c r="A3">
        <f>DAYS360(DatePairs!A3,DatePairs!B3,TRUE)</f>
        <v>32</v>
      </c>
    </row>
    <row r="4" spans="1:1" x14ac:dyDescent="0.35">
      <c r="A4">
        <f>DAYS360(DatePairs!A4,DatePairs!B4,TRUE)</f>
        <v>60</v>
      </c>
    </row>
    <row r="5" spans="1:1" x14ac:dyDescent="0.35">
      <c r="A5">
        <f>DAYS360(DatePairs!A5,DatePairs!B5,TRUE)</f>
        <v>360</v>
      </c>
    </row>
    <row r="6" spans="1:1" x14ac:dyDescent="0.35">
      <c r="A6">
        <f>DAYS360(DatePairs!A6,DatePairs!B6,TRUE)</f>
        <v>359</v>
      </c>
    </row>
    <row r="7" spans="1:1" x14ac:dyDescent="0.35">
      <c r="A7">
        <f>DAYS360(DatePairs!A7,DatePairs!B7,TRUE)</f>
        <v>613</v>
      </c>
    </row>
    <row r="8" spans="1:1" x14ac:dyDescent="0.35">
      <c r="A8">
        <f>DAYS360(DatePairs!A8,DatePairs!B8,TRUE)</f>
        <v>361</v>
      </c>
    </row>
    <row r="9" spans="1:1" x14ac:dyDescent="0.35">
      <c r="A9">
        <f>DAYS360(DatePairs!A9,DatePairs!B9,TRUE)</f>
        <v>359</v>
      </c>
    </row>
    <row r="10" spans="1:1" x14ac:dyDescent="0.35">
      <c r="A10">
        <f>DAYS360(DatePairs!A10,DatePairs!B10,TRUE)</f>
        <v>32</v>
      </c>
    </row>
    <row r="11" spans="1:1" x14ac:dyDescent="0.35">
      <c r="A11">
        <f>DAYS360(DatePairs!A11,DatePairs!B11,TRUE)</f>
        <v>90</v>
      </c>
    </row>
    <row r="12" spans="1:1" x14ac:dyDescent="0.35">
      <c r="A12">
        <f>DAYS360(DatePairs!A12,DatePairs!B12,TRUE)</f>
        <v>90</v>
      </c>
    </row>
    <row r="13" spans="1:1" x14ac:dyDescent="0.35">
      <c r="A13">
        <f>DAYS360(DatePairs!A13,DatePairs!B13,TRUE)</f>
        <v>-359</v>
      </c>
    </row>
    <row r="14" spans="1:1" x14ac:dyDescent="0.35">
      <c r="A14">
        <f>DAYS360(DatePairs!A14,DatePairs!B14,TRUE)</f>
        <v>1440</v>
      </c>
    </row>
    <row r="15" spans="1:1" x14ac:dyDescent="0.35">
      <c r="A15">
        <f>DAYS360(DatePairs!A15,DatePairs!B15,TRUE)</f>
        <v>359</v>
      </c>
    </row>
    <row r="16" spans="1:1" x14ac:dyDescent="0.35">
      <c r="A16">
        <f>DAYS360(DatePairs!A16,DatePairs!B16,TRUE)</f>
        <v>358</v>
      </c>
    </row>
    <row r="17" spans="1:1" x14ac:dyDescent="0.35">
      <c r="A17">
        <f>DAYS360(DatePairs!A17,DatePairs!B17,TRUE)</f>
        <v>1</v>
      </c>
    </row>
    <row r="18" spans="1:1" x14ac:dyDescent="0.35">
      <c r="A18">
        <f>DAYS360(DatePairs!A18,DatePairs!B18,TRUE)</f>
        <v>61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E7C5-085F-410B-8EAB-CC7CCF915023}">
  <dimension ref="A1:A18"/>
  <sheetViews>
    <sheetView workbookViewId="0"/>
  </sheetViews>
  <sheetFormatPr defaultRowHeight="14.5" x14ac:dyDescent="0.35"/>
  <sheetData>
    <row r="1" spans="1:1" x14ac:dyDescent="0.35">
      <c r="A1">
        <f>YEARFRAC(DatePairs!A1,DatePairs!B1,0)</f>
        <v>8.0555555555555561E-2</v>
      </c>
    </row>
    <row r="2" spans="1:1" x14ac:dyDescent="0.35">
      <c r="A2">
        <f>YEARFRAC(DatePairs!A2,DatePairs!B2,0)</f>
        <v>8.611111111111111E-2</v>
      </c>
    </row>
    <row r="3" spans="1:1" x14ac:dyDescent="0.35">
      <c r="A3">
        <f>YEARFRAC(DatePairs!A3,DatePairs!B3,0)</f>
        <v>8.611111111111111E-2</v>
      </c>
    </row>
    <row r="4" spans="1:1" x14ac:dyDescent="0.35">
      <c r="A4">
        <f>YEARFRAC(DatePairs!A4,DatePairs!B4,0)</f>
        <v>0.16666666666666666</v>
      </c>
    </row>
    <row r="5" spans="1:1" x14ac:dyDescent="0.35">
      <c r="A5">
        <f>YEARFRAC(DatePairs!A5,DatePairs!B5,0)</f>
        <v>1</v>
      </c>
    </row>
    <row r="6" spans="1:1" x14ac:dyDescent="0.35">
      <c r="A6">
        <f>YEARFRAC(DatePairs!A6,DatePairs!B6,0)</f>
        <v>1</v>
      </c>
    </row>
    <row r="7" spans="1:1" x14ac:dyDescent="0.35">
      <c r="A7">
        <f>YEARFRAC(DatePairs!A7,DatePairs!B7,0)</f>
        <v>1.7027777777777777</v>
      </c>
    </row>
    <row r="8" spans="1:1" x14ac:dyDescent="0.35">
      <c r="A8">
        <f>YEARFRAC(DatePairs!A8,DatePairs!B8,0)</f>
        <v>1</v>
      </c>
    </row>
    <row r="9" spans="1:1" x14ac:dyDescent="0.35">
      <c r="A9">
        <f>YEARFRAC(DatePairs!A9,DatePairs!B9,0)</f>
        <v>1</v>
      </c>
    </row>
    <row r="10" spans="1:1" x14ac:dyDescent="0.35">
      <c r="A10">
        <f>YEARFRAC(DatePairs!A10,DatePairs!B10,0)</f>
        <v>8.611111111111111E-2</v>
      </c>
    </row>
    <row r="11" spans="1:1" x14ac:dyDescent="0.35">
      <c r="A11">
        <f>YEARFRAC(DatePairs!A11,DatePairs!B11,0)</f>
        <v>0.25</v>
      </c>
    </row>
    <row r="12" spans="1:1" x14ac:dyDescent="0.35">
      <c r="A12">
        <f>YEARFRAC(DatePairs!A12,DatePairs!B12,0)</f>
        <v>0.25</v>
      </c>
    </row>
    <row r="13" spans="1:1" x14ac:dyDescent="0.35">
      <c r="A13">
        <f>YEARFRAC(DatePairs!A13,DatePairs!B13,0)</f>
        <v>1</v>
      </c>
    </row>
    <row r="14" spans="1:1" x14ac:dyDescent="0.35">
      <c r="A14">
        <f>YEARFRAC(DatePairs!A14,DatePairs!B14,0)</f>
        <v>4</v>
      </c>
    </row>
    <row r="15" spans="1:1" x14ac:dyDescent="0.35">
      <c r="A15">
        <f>YEARFRAC(DatePairs!A15,DatePairs!B15,0)</f>
        <v>0.99722222222222223</v>
      </c>
    </row>
    <row r="16" spans="1:1" x14ac:dyDescent="0.35">
      <c r="A16">
        <f>YEARFRAC(DatePairs!A16,DatePairs!B16,0)</f>
        <v>0.99444444444444446</v>
      </c>
    </row>
    <row r="17" spans="1:1" x14ac:dyDescent="0.35">
      <c r="A17">
        <f>YEARFRAC(DatePairs!A17,DatePairs!B17,0)</f>
        <v>2.7777777777777779E-3</v>
      </c>
    </row>
    <row r="18" spans="1:1" x14ac:dyDescent="0.35">
      <c r="A18">
        <f>YEARFRAC(DatePairs!A18,DatePairs!B18,0)</f>
        <v>0.16944444444444445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EA5F-DD72-48F7-BA25-7E3CE7B12BDE}">
  <dimension ref="A1:A18"/>
  <sheetViews>
    <sheetView workbookViewId="0"/>
  </sheetViews>
  <sheetFormatPr defaultRowHeight="14.5" x14ac:dyDescent="0.35"/>
  <sheetData>
    <row r="1" spans="1:1" x14ac:dyDescent="0.35">
      <c r="A1">
        <f>YEARFRAC(DatePairs!A1,DatePairs!B1,1)</f>
        <v>7.9234972677595633E-2</v>
      </c>
    </row>
    <row r="2" spans="1:1" x14ac:dyDescent="0.35">
      <c r="A2">
        <f>YEARFRAC(DatePairs!A2,DatePairs!B2,1)</f>
        <v>8.4699453551912565E-2</v>
      </c>
    </row>
    <row r="3" spans="1:1" x14ac:dyDescent="0.35">
      <c r="A3">
        <f>YEARFRAC(DatePairs!A3,DatePairs!B3,1)</f>
        <v>8.4931506849315067E-2</v>
      </c>
    </row>
    <row r="4" spans="1:1" x14ac:dyDescent="0.35">
      <c r="A4">
        <f>YEARFRAC(DatePairs!A4,DatePairs!B4,1)</f>
        <v>0.16666666666666666</v>
      </c>
    </row>
    <row r="5" spans="1:1" x14ac:dyDescent="0.35">
      <c r="A5">
        <f>YEARFRAC(DatePairs!A5,DatePairs!B5,1)</f>
        <v>0.99726027397260275</v>
      </c>
    </row>
    <row r="6" spans="1:1" x14ac:dyDescent="0.35">
      <c r="A6">
        <f>YEARFRAC(DatePairs!A6,DatePairs!B6,1)</f>
        <v>0.99726775956284153</v>
      </c>
    </row>
    <row r="7" spans="1:1" x14ac:dyDescent="0.35">
      <c r="A7">
        <f>YEARFRAC(DatePairs!A7,DatePairs!B7,1)</f>
        <v>1.7080291970802921</v>
      </c>
    </row>
    <row r="8" spans="1:1" x14ac:dyDescent="0.35">
      <c r="A8">
        <f>YEARFRAC(DatePairs!A8,DatePairs!B8,1)</f>
        <v>1.0013679890560876</v>
      </c>
    </row>
    <row r="9" spans="1:1" x14ac:dyDescent="0.35">
      <c r="A9">
        <f>YEARFRAC(DatePairs!A9,DatePairs!B9,1)</f>
        <v>0.99726775956284153</v>
      </c>
    </row>
    <row r="10" spans="1:1" x14ac:dyDescent="0.35">
      <c r="A10">
        <f>YEARFRAC(DatePairs!A10,DatePairs!B10,1)</f>
        <v>8.4931506849315067E-2</v>
      </c>
    </row>
    <row r="11" spans="1:1" x14ac:dyDescent="0.35">
      <c r="A11">
        <f>YEARFRAC(DatePairs!A11,DatePairs!B11,1)</f>
        <v>0.25136612021857924</v>
      </c>
    </row>
    <row r="12" spans="1:1" x14ac:dyDescent="0.35">
      <c r="A12">
        <f>YEARFRAC(DatePairs!A12,DatePairs!B12,1)</f>
        <v>0.25409836065573771</v>
      </c>
    </row>
    <row r="13" spans="1:1" x14ac:dyDescent="0.35">
      <c r="A13">
        <f>YEARFRAC(DatePairs!A13,DatePairs!B13,1)</f>
        <v>0.99726775956284153</v>
      </c>
    </row>
    <row r="14" spans="1:1" x14ac:dyDescent="0.35">
      <c r="A14">
        <f>YEARFRAC(DatePairs!A14,DatePairs!B14,1)</f>
        <v>4.0005476451259581</v>
      </c>
    </row>
    <row r="15" spans="1:1" x14ac:dyDescent="0.35">
      <c r="A15">
        <f>YEARFRAC(DatePairs!A15,DatePairs!B15,1)</f>
        <v>0.99726027397260275</v>
      </c>
    </row>
    <row r="16" spans="1:1" x14ac:dyDescent="0.35">
      <c r="A16">
        <f>YEARFRAC(DatePairs!A16,DatePairs!B16,1)</f>
        <v>0.99726775956284153</v>
      </c>
    </row>
    <row r="17" spans="1:1" x14ac:dyDescent="0.35">
      <c r="A17">
        <f>YEARFRAC(DatePairs!A17,DatePairs!B17,1)</f>
        <v>2.7322404371584699E-3</v>
      </c>
    </row>
    <row r="18" spans="1:1" x14ac:dyDescent="0.35">
      <c r="A18">
        <f>YEARFRAC(DatePairs!A18,DatePairs!B18,1)</f>
        <v>0.16666666666666666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CF3B-19C7-4929-8CD4-DEA44364AFBB}">
  <dimension ref="A1:A18"/>
  <sheetViews>
    <sheetView workbookViewId="0"/>
  </sheetViews>
  <sheetFormatPr defaultRowHeight="14.5" x14ac:dyDescent="0.35"/>
  <sheetData>
    <row r="1" spans="1:1" x14ac:dyDescent="0.35">
      <c r="A1">
        <f>YEARFRAC(DatePairs!A1,DatePairs!B1,2)</f>
        <v>8.0555555555555561E-2</v>
      </c>
    </row>
    <row r="2" spans="1:1" x14ac:dyDescent="0.35">
      <c r="A2">
        <f>YEARFRAC(DatePairs!A2,DatePairs!B2,2)</f>
        <v>8.611111111111111E-2</v>
      </c>
    </row>
    <row r="3" spans="1:1" x14ac:dyDescent="0.35">
      <c r="A3">
        <f>YEARFRAC(DatePairs!A3,DatePairs!B3,2)</f>
        <v>8.611111111111111E-2</v>
      </c>
    </row>
    <row r="4" spans="1:1" x14ac:dyDescent="0.35">
      <c r="A4">
        <f>YEARFRAC(DatePairs!A4,DatePairs!B4,2)</f>
        <v>0.16944444444444445</v>
      </c>
    </row>
    <row r="5" spans="1:1" x14ac:dyDescent="0.35">
      <c r="A5">
        <f>YEARFRAC(DatePairs!A5,DatePairs!B5,2)</f>
        <v>1.0111111111111111</v>
      </c>
    </row>
    <row r="6" spans="1:1" x14ac:dyDescent="0.35">
      <c r="A6">
        <f>YEARFRAC(DatePairs!A6,DatePairs!B6,2)</f>
        <v>1.0138888888888888</v>
      </c>
    </row>
    <row r="7" spans="1:1" x14ac:dyDescent="0.35">
      <c r="A7">
        <f>YEARFRAC(DatePairs!A7,DatePairs!B7,2)</f>
        <v>1.7333333333333334</v>
      </c>
    </row>
    <row r="8" spans="1:1" x14ac:dyDescent="0.35">
      <c r="A8">
        <f>YEARFRAC(DatePairs!A8,DatePairs!B8,2)</f>
        <v>1.0166666666666666</v>
      </c>
    </row>
    <row r="9" spans="1:1" x14ac:dyDescent="0.35">
      <c r="A9">
        <f>YEARFRAC(DatePairs!A9,DatePairs!B9,2)</f>
        <v>1.0138888888888888</v>
      </c>
    </row>
    <row r="10" spans="1:1" x14ac:dyDescent="0.35">
      <c r="A10">
        <f>YEARFRAC(DatePairs!A10,DatePairs!B10,2)</f>
        <v>8.611111111111111E-2</v>
      </c>
    </row>
    <row r="11" spans="1:1" x14ac:dyDescent="0.35">
      <c r="A11">
        <f>YEARFRAC(DatePairs!A11,DatePairs!B11,2)</f>
        <v>0.25555555555555554</v>
      </c>
    </row>
    <row r="12" spans="1:1" x14ac:dyDescent="0.35">
      <c r="A12">
        <f>YEARFRAC(DatePairs!A12,DatePairs!B12,2)</f>
        <v>0.25833333333333336</v>
      </c>
    </row>
    <row r="13" spans="1:1" x14ac:dyDescent="0.35">
      <c r="A13">
        <f>YEARFRAC(DatePairs!A13,DatePairs!B13,2)</f>
        <v>1.0138888888888888</v>
      </c>
    </row>
    <row r="14" spans="1:1" x14ac:dyDescent="0.35">
      <c r="A14">
        <f>YEARFRAC(DatePairs!A14,DatePairs!B14,2)</f>
        <v>4.0583333333333336</v>
      </c>
    </row>
    <row r="15" spans="1:1" x14ac:dyDescent="0.35">
      <c r="A15">
        <f>YEARFRAC(DatePairs!A15,DatePairs!B15,2)</f>
        <v>1.0111111111111111</v>
      </c>
    </row>
    <row r="16" spans="1:1" x14ac:dyDescent="0.35">
      <c r="A16">
        <f>YEARFRAC(DatePairs!A16,DatePairs!B16,2)</f>
        <v>1.0138888888888888</v>
      </c>
    </row>
    <row r="17" spans="1:1" x14ac:dyDescent="0.35">
      <c r="A17">
        <f>YEARFRAC(DatePairs!A17,DatePairs!B17,2)</f>
        <v>2.7777777777777779E-3</v>
      </c>
    </row>
    <row r="18" spans="1:1" x14ac:dyDescent="0.35">
      <c r="A18">
        <f>YEARFRAC(DatePairs!A18,DatePairs!B18,2)</f>
        <v>0.16944444444444445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8518-ED7D-40FB-B873-27BBB52A65D7}">
  <dimension ref="A1:A18"/>
  <sheetViews>
    <sheetView workbookViewId="0"/>
  </sheetViews>
  <sheetFormatPr defaultRowHeight="14.5" x14ac:dyDescent="0.35"/>
  <sheetData>
    <row r="1" spans="1:1" x14ac:dyDescent="0.35">
      <c r="A1">
        <f>YEARFRAC(DatePairs!A1,DatePairs!B1,3)</f>
        <v>7.9452054794520555E-2</v>
      </c>
    </row>
    <row r="2" spans="1:1" x14ac:dyDescent="0.35">
      <c r="A2">
        <f>YEARFRAC(DatePairs!A2,DatePairs!B2,3)</f>
        <v>8.4931506849315067E-2</v>
      </c>
    </row>
    <row r="3" spans="1:1" x14ac:dyDescent="0.35">
      <c r="A3">
        <f>YEARFRAC(DatePairs!A3,DatePairs!B3,3)</f>
        <v>8.4931506849315067E-2</v>
      </c>
    </row>
    <row r="4" spans="1:1" x14ac:dyDescent="0.35">
      <c r="A4">
        <f>YEARFRAC(DatePairs!A4,DatePairs!B4,3)</f>
        <v>0.16712328767123288</v>
      </c>
    </row>
    <row r="5" spans="1:1" x14ac:dyDescent="0.35">
      <c r="A5">
        <f>YEARFRAC(DatePairs!A5,DatePairs!B5,3)</f>
        <v>0.99726027397260275</v>
      </c>
    </row>
    <row r="6" spans="1:1" x14ac:dyDescent="0.35">
      <c r="A6">
        <f>YEARFRAC(DatePairs!A6,DatePairs!B6,3)</f>
        <v>1</v>
      </c>
    </row>
    <row r="7" spans="1:1" x14ac:dyDescent="0.35">
      <c r="A7">
        <f>YEARFRAC(DatePairs!A7,DatePairs!B7,3)</f>
        <v>1.7095890410958905</v>
      </c>
    </row>
    <row r="8" spans="1:1" x14ac:dyDescent="0.35">
      <c r="A8">
        <f>YEARFRAC(DatePairs!A8,DatePairs!B8,3)</f>
        <v>1.0027397260273974</v>
      </c>
    </row>
    <row r="9" spans="1:1" x14ac:dyDescent="0.35">
      <c r="A9">
        <f>YEARFRAC(DatePairs!A9,DatePairs!B9,3)</f>
        <v>1</v>
      </c>
    </row>
    <row r="10" spans="1:1" x14ac:dyDescent="0.35">
      <c r="A10">
        <f>YEARFRAC(DatePairs!A10,DatePairs!B10,3)</f>
        <v>8.4931506849315067E-2</v>
      </c>
    </row>
    <row r="11" spans="1:1" x14ac:dyDescent="0.35">
      <c r="A11">
        <f>YEARFRAC(DatePairs!A11,DatePairs!B11,3)</f>
        <v>0.25205479452054796</v>
      </c>
    </row>
    <row r="12" spans="1:1" x14ac:dyDescent="0.35">
      <c r="A12">
        <f>YEARFRAC(DatePairs!A12,DatePairs!B12,3)</f>
        <v>0.25479452054794521</v>
      </c>
    </row>
    <row r="13" spans="1:1" x14ac:dyDescent="0.35">
      <c r="A13">
        <f>YEARFRAC(DatePairs!A13,DatePairs!B13,3)</f>
        <v>1</v>
      </c>
    </row>
    <row r="14" spans="1:1" x14ac:dyDescent="0.35">
      <c r="A14">
        <f>YEARFRAC(DatePairs!A14,DatePairs!B14,3)</f>
        <v>4.0027397260273974</v>
      </c>
    </row>
    <row r="15" spans="1:1" x14ac:dyDescent="0.35">
      <c r="A15">
        <f>YEARFRAC(DatePairs!A15,DatePairs!B15,3)</f>
        <v>0.99726027397260275</v>
      </c>
    </row>
    <row r="16" spans="1:1" x14ac:dyDescent="0.35">
      <c r="A16">
        <f>YEARFRAC(DatePairs!A16,DatePairs!B16,3)</f>
        <v>1</v>
      </c>
    </row>
    <row r="17" spans="1:1" x14ac:dyDescent="0.35">
      <c r="A17">
        <f>YEARFRAC(DatePairs!A17,DatePairs!B17,3)</f>
        <v>2.7397260273972603E-3</v>
      </c>
    </row>
    <row r="18" spans="1:1" x14ac:dyDescent="0.35">
      <c r="A18">
        <f>YEARFRAC(DatePairs!A18,DatePairs!B18,3)</f>
        <v>0.16712328767123288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E5ED-9CF9-4499-A49F-11E96304B828}">
  <dimension ref="A1:A18"/>
  <sheetViews>
    <sheetView workbookViewId="0"/>
  </sheetViews>
  <sheetFormatPr defaultRowHeight="14.5" x14ac:dyDescent="0.35"/>
  <sheetData>
    <row r="1" spans="1:1" x14ac:dyDescent="0.35">
      <c r="A1">
        <f>YEARFRAC(DatePairs!A1,DatePairs!B1,4)</f>
        <v>8.0555555555555561E-2</v>
      </c>
    </row>
    <row r="2" spans="1:1" x14ac:dyDescent="0.35">
      <c r="A2">
        <f>YEARFRAC(DatePairs!A2,DatePairs!B2,4)</f>
        <v>8.611111111111111E-2</v>
      </c>
    </row>
    <row r="3" spans="1:1" x14ac:dyDescent="0.35">
      <c r="A3">
        <f>YEARFRAC(DatePairs!A3,DatePairs!B3,4)</f>
        <v>8.8888888888888892E-2</v>
      </c>
    </row>
    <row r="4" spans="1:1" x14ac:dyDescent="0.35">
      <c r="A4">
        <f>YEARFRAC(DatePairs!A4,DatePairs!B4,4)</f>
        <v>0.16666666666666666</v>
      </c>
    </row>
    <row r="5" spans="1:1" x14ac:dyDescent="0.35">
      <c r="A5">
        <f>YEARFRAC(DatePairs!A5,DatePairs!B5,4)</f>
        <v>1</v>
      </c>
    </row>
    <row r="6" spans="1:1" x14ac:dyDescent="0.35">
      <c r="A6">
        <f>YEARFRAC(DatePairs!A6,DatePairs!B6,4)</f>
        <v>0.99722222222222223</v>
      </c>
    </row>
    <row r="7" spans="1:1" x14ac:dyDescent="0.35">
      <c r="A7">
        <f>YEARFRAC(DatePairs!A7,DatePairs!B7,4)</f>
        <v>1.7027777777777777</v>
      </c>
    </row>
    <row r="8" spans="1:1" x14ac:dyDescent="0.35">
      <c r="A8">
        <f>YEARFRAC(DatePairs!A8,DatePairs!B8,4)</f>
        <v>1.0027777777777778</v>
      </c>
    </row>
    <row r="9" spans="1:1" x14ac:dyDescent="0.35">
      <c r="A9">
        <f>YEARFRAC(DatePairs!A9,DatePairs!B9,4)</f>
        <v>0.99722222222222223</v>
      </c>
    </row>
    <row r="10" spans="1:1" x14ac:dyDescent="0.35">
      <c r="A10">
        <f>YEARFRAC(DatePairs!A10,DatePairs!B10,4)</f>
        <v>8.8888888888888892E-2</v>
      </c>
    </row>
    <row r="11" spans="1:1" x14ac:dyDescent="0.35">
      <c r="A11">
        <f>YEARFRAC(DatePairs!A11,DatePairs!B11,4)</f>
        <v>0.25</v>
      </c>
    </row>
    <row r="12" spans="1:1" x14ac:dyDescent="0.35">
      <c r="A12">
        <f>YEARFRAC(DatePairs!A12,DatePairs!B12,4)</f>
        <v>0.25</v>
      </c>
    </row>
    <row r="13" spans="1:1" x14ac:dyDescent="0.35">
      <c r="A13">
        <f>YEARFRAC(DatePairs!A13,DatePairs!B13,4)</f>
        <v>0.99722222222222223</v>
      </c>
    </row>
    <row r="14" spans="1:1" x14ac:dyDescent="0.35">
      <c r="A14">
        <f>YEARFRAC(DatePairs!A14,DatePairs!B14,4)</f>
        <v>4</v>
      </c>
    </row>
    <row r="15" spans="1:1" x14ac:dyDescent="0.35">
      <c r="A15">
        <f>YEARFRAC(DatePairs!A15,DatePairs!B15,4)</f>
        <v>0.99722222222222223</v>
      </c>
    </row>
    <row r="16" spans="1:1" x14ac:dyDescent="0.35">
      <c r="A16">
        <f>YEARFRAC(DatePairs!A16,DatePairs!B16,4)</f>
        <v>0.99444444444444446</v>
      </c>
    </row>
    <row r="17" spans="1:1" x14ac:dyDescent="0.35">
      <c r="A17">
        <f>YEARFRAC(DatePairs!A17,DatePairs!B17,4)</f>
        <v>2.7777777777777779E-3</v>
      </c>
    </row>
    <row r="18" spans="1:1" x14ac:dyDescent="0.35">
      <c r="A18">
        <f>YEARFRAC(DatePairs!A18,DatePairs!B18,4)</f>
        <v>0.16944444444444445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B7B4-A34D-4484-ADD6-512B1F48B641}">
  <dimension ref="A1:A37"/>
  <sheetViews>
    <sheetView workbookViewId="0"/>
  </sheetViews>
  <sheetFormatPr defaultRowHeight="14.5" x14ac:dyDescent="0.35"/>
  <sheetData>
    <row r="1" spans="1:1" x14ac:dyDescent="0.35">
      <c r="A1">
        <f>COUNTIF(Crit!A1:A30,"")</f>
        <v>2</v>
      </c>
    </row>
    <row r="2" spans="1:1" x14ac:dyDescent="0.35">
      <c r="A2">
        <f>COUNTIF(Crit!A1:A30,"=")</f>
        <v>1</v>
      </c>
    </row>
    <row r="3" spans="1:1" x14ac:dyDescent="0.35">
      <c r="A3">
        <f>COUNTIF(Crit!A1:A30,"&lt;&gt;")</f>
        <v>29</v>
      </c>
    </row>
    <row r="4" spans="1:1" x14ac:dyDescent="0.35">
      <c r="A4">
        <f>COUNTIF(Crit!A1:A30,"=10")</f>
        <v>4</v>
      </c>
    </row>
    <row r="5" spans="1:1" x14ac:dyDescent="0.35">
      <c r="A5">
        <f>COUNTIF(Crit!A1:A30,"10")</f>
        <v>4</v>
      </c>
    </row>
    <row r="6" spans="1:1" x14ac:dyDescent="0.35">
      <c r="A6">
        <f>COUNTIF(Crit!A1:A30,10)</f>
        <v>4</v>
      </c>
    </row>
    <row r="7" spans="1:1" x14ac:dyDescent="0.35">
      <c r="A7">
        <f>COUNTIF(Crit!A1:A30,"&gt;5")</f>
        <v>3</v>
      </c>
    </row>
    <row r="8" spans="1:1" x14ac:dyDescent="0.35">
      <c r="A8">
        <f>COUNTIF(Crit!A1:A30,"&lt;5")</f>
        <v>3</v>
      </c>
    </row>
    <row r="9" spans="1:1" x14ac:dyDescent="0.35">
      <c r="A9">
        <f>COUNTIF(Crit!A1:A30,"&gt;=10")</f>
        <v>3</v>
      </c>
    </row>
    <row r="10" spans="1:1" x14ac:dyDescent="0.35">
      <c r="A10">
        <f>COUNTIF(Crit!A1:A30,"&lt;&gt;10")</f>
        <v>29</v>
      </c>
    </row>
    <row r="11" spans="1:1" x14ac:dyDescent="0.35">
      <c r="A11">
        <f>COUNTIF(Crit!A1:A30,"a*")</f>
        <v>5</v>
      </c>
    </row>
    <row r="12" spans="1:1" x14ac:dyDescent="0.35">
      <c r="A12">
        <f>COUNTIF(Crit!A1:A30,"*")</f>
        <v>19</v>
      </c>
    </row>
    <row r="13" spans="1:1" x14ac:dyDescent="0.35">
      <c r="A13">
        <f>COUNTIF(Crit!A1:A30,"?")</f>
        <v>6</v>
      </c>
    </row>
    <row r="14" spans="1:1" x14ac:dyDescent="0.35">
      <c r="A14">
        <f>COUNTIF(Crit!A1:A30,"ß")</f>
        <v>3</v>
      </c>
    </row>
    <row r="15" spans="1:1" x14ac:dyDescent="0.35">
      <c r="A15">
        <f>COUNTIF(Crit!A1:A30,"SS")</f>
        <v>3</v>
      </c>
    </row>
    <row r="16" spans="1:1" x14ac:dyDescent="0.35">
      <c r="A16">
        <f>COUNTIF(Crit!A1:A30,"æ")</f>
        <v>2</v>
      </c>
    </row>
    <row r="17" spans="1:1" x14ac:dyDescent="0.35">
      <c r="A17">
        <f>COUNTIF(Crit!A1:A30,"ae")</f>
        <v>2</v>
      </c>
    </row>
    <row r="18" spans="1:1" x14ac:dyDescent="0.35">
      <c r="A18">
        <f>COUNTIF(Crit!A1:A30,"é")</f>
        <v>1</v>
      </c>
    </row>
    <row r="19" spans="1:1" x14ac:dyDescent="0.35">
      <c r="A19">
        <f>COUNTIF(Crit!A1:A30,"e")</f>
        <v>1</v>
      </c>
    </row>
    <row r="20" spans="1:1" x14ac:dyDescent="0.35">
      <c r="A20">
        <f>COUNTIF(Crit!A1:A30,TRUE)</f>
        <v>1</v>
      </c>
    </row>
    <row r="21" spans="1:1" x14ac:dyDescent="0.35">
      <c r="A21">
        <f>COUNTIF(Crit!A1:A30,"TRUE")</f>
        <v>1</v>
      </c>
    </row>
    <row r="22" spans="1:1" x14ac:dyDescent="0.35">
      <c r="A22">
        <f>COUNTIF(Crit!A1:A30,"#N/A")</f>
        <v>1</v>
      </c>
    </row>
    <row r="23" spans="1:1" x14ac:dyDescent="0.35">
      <c r="A23">
        <f>COUNTIF(Crit!A1:A30,"&lt;&gt;#N/A")</f>
        <v>29</v>
      </c>
    </row>
    <row r="24" spans="1:1" x14ac:dyDescent="0.35">
      <c r="A24">
        <f>COUNTIF(Crit!A1:A30,"&gt;a")</f>
        <v>12</v>
      </c>
    </row>
    <row r="25" spans="1:1" x14ac:dyDescent="0.35">
      <c r="A25">
        <f>COUNTIF(Crit!A1:A30,"&lt;z")</f>
        <v>19</v>
      </c>
    </row>
    <row r="26" spans="1:1" x14ac:dyDescent="0.35">
      <c r="A26">
        <f>COUNTIF(Crit!A1:A30,"1/2/2020")</f>
        <v>3</v>
      </c>
    </row>
    <row r="27" spans="1:1" x14ac:dyDescent="0.35">
      <c r="A27">
        <f>COUNTIF(Crit!A1:A30,"&gt;1/1/2020")</f>
        <v>2</v>
      </c>
    </row>
    <row r="28" spans="1:1" x14ac:dyDescent="0.35">
      <c r="A28">
        <f>COUNTIF(Crit!A1:A30,"12:00")</f>
        <v>1</v>
      </c>
    </row>
    <row r="29" spans="1:1" x14ac:dyDescent="0.35">
      <c r="A29">
        <f>COUNTIF(Crit!A1:A30," 10")</f>
        <v>4</v>
      </c>
    </row>
    <row r="30" spans="1:1" x14ac:dyDescent="0.35">
      <c r="A30">
        <f>COUNTIF(Crit!A1:A30,"10 ")</f>
        <v>4</v>
      </c>
    </row>
    <row r="31" spans="1:1" x14ac:dyDescent="0.35">
      <c r="A31">
        <f>COUNTIF(Crit!A1:A30,"~*")</f>
        <v>1</v>
      </c>
    </row>
    <row r="32" spans="1:1" x14ac:dyDescent="0.35">
      <c r="A32">
        <f>COUNTIF(Crit!A1:A30,"=a*e")</f>
        <v>4</v>
      </c>
    </row>
    <row r="33" spans="1:1" x14ac:dyDescent="0.35">
      <c r="A33">
        <f>COUNTIF(Crit!A1:A30,"&lt;&gt;abc")</f>
        <v>29</v>
      </c>
    </row>
    <row r="34" spans="1:1" x14ac:dyDescent="0.35">
      <c r="A34">
        <f>COUNTIF(Crit!A1:A30,Crit!D1)</f>
        <v>1</v>
      </c>
    </row>
    <row r="35" spans="1:1" x14ac:dyDescent="0.35">
      <c r="A35">
        <f>COUNTIF(Crit!A1:A30,"=5")</f>
        <v>2</v>
      </c>
    </row>
    <row r="36" spans="1:1" x14ac:dyDescent="0.35">
      <c r="A36">
        <f>COUNTIF(Crit!A1:A30,"&gt;4.5")</f>
        <v>4</v>
      </c>
    </row>
    <row r="37" spans="1:1" x14ac:dyDescent="0.35">
      <c r="A37">
        <f>COUNTIF(Crit!A1:A30,"&lt;&gt;5")</f>
        <v>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5925-A814-4E16-84DF-E27DED8A2AE0}">
  <dimension ref="A1:A37"/>
  <sheetViews>
    <sheetView workbookViewId="0"/>
  </sheetViews>
  <sheetFormatPr defaultRowHeight="14.5" x14ac:dyDescent="0.35"/>
  <sheetData>
    <row r="1" spans="1:1" x14ac:dyDescent="0.35">
      <c r="A1">
        <f>SUMIF(Crit!A1:A30,"",Crit!B1:B30)</f>
        <v>37</v>
      </c>
    </row>
    <row r="2" spans="1:1" x14ac:dyDescent="0.35">
      <c r="A2">
        <f>SUMIF(Crit!A1:A30,"=",Crit!B1:B30)</f>
        <v>19</v>
      </c>
    </row>
    <row r="3" spans="1:1" x14ac:dyDescent="0.35">
      <c r="A3">
        <f>SUMIF(Crit!A1:A30,"&lt;&gt;",Crit!B1:B30)</f>
        <v>446</v>
      </c>
    </row>
    <row r="4" spans="1:1" x14ac:dyDescent="0.35">
      <c r="A4">
        <f>SUMIF(Crit!A1:A30,"=10",Crit!B1:B30)</f>
        <v>32</v>
      </c>
    </row>
    <row r="5" spans="1:1" x14ac:dyDescent="0.35">
      <c r="A5">
        <f>SUMIF(Crit!A1:A30,"10",Crit!B1:B30)</f>
        <v>32</v>
      </c>
    </row>
    <row r="6" spans="1:1" x14ac:dyDescent="0.35">
      <c r="A6">
        <f>SUMIF(Crit!A1:A30,10,Crit!B1:B30)</f>
        <v>32</v>
      </c>
    </row>
    <row r="7" spans="1:1" x14ac:dyDescent="0.35">
      <c r="A7">
        <f>SUMIF(Crit!A1:A30,"&gt;5",Crit!B1:B30)</f>
        <v>46</v>
      </c>
    </row>
    <row r="8" spans="1:1" x14ac:dyDescent="0.35">
      <c r="A8">
        <f>SUMIF(Crit!A1:A30,"&lt;5",Crit!B1:B30)</f>
        <v>84</v>
      </c>
    </row>
    <row r="9" spans="1:1" x14ac:dyDescent="0.35">
      <c r="A9">
        <f>SUMIF(Crit!A1:A30,"&gt;=10",Crit!B1:B30)</f>
        <v>46</v>
      </c>
    </row>
    <row r="10" spans="1:1" x14ac:dyDescent="0.35">
      <c r="A10">
        <f>SUMIF(Crit!A1:A30,"&lt;&gt;10",Crit!B1:B30)</f>
        <v>464</v>
      </c>
    </row>
    <row r="11" spans="1:1" x14ac:dyDescent="0.35">
      <c r="A11">
        <f>SUMIF(Crit!A1:A30,"a*",Crit!B1:B30)</f>
        <v>51</v>
      </c>
    </row>
    <row r="12" spans="1:1" x14ac:dyDescent="0.35">
      <c r="A12">
        <f>SUMIF(Crit!A1:A30,"*",Crit!B1:B30)</f>
        <v>250</v>
      </c>
    </row>
    <row r="13" spans="1:1" x14ac:dyDescent="0.35">
      <c r="A13">
        <f>SUMIF(Crit!A1:A30,"?",Crit!B1:B30)</f>
        <v>87</v>
      </c>
    </row>
    <row r="14" spans="1:1" x14ac:dyDescent="0.35">
      <c r="A14">
        <f>SUMIF(Crit!A1:A30,"ß",Crit!B1:B30)</f>
        <v>24</v>
      </c>
    </row>
    <row r="15" spans="1:1" x14ac:dyDescent="0.35">
      <c r="A15">
        <f>SUMIF(Crit!A1:A30,"SS",Crit!B1:B30)</f>
        <v>24</v>
      </c>
    </row>
    <row r="16" spans="1:1" x14ac:dyDescent="0.35">
      <c r="A16">
        <f>SUMIF(Crit!A1:A30,"æ",Crit!B1:B30)</f>
        <v>21</v>
      </c>
    </row>
    <row r="17" spans="1:1" x14ac:dyDescent="0.35">
      <c r="A17">
        <f>SUMIF(Crit!A1:A30,"ae",Crit!B1:B30)</f>
        <v>21</v>
      </c>
    </row>
    <row r="18" spans="1:1" x14ac:dyDescent="0.35">
      <c r="A18">
        <f>SUMIF(Crit!A1:A30,"é",Crit!B1:B30)</f>
        <v>12</v>
      </c>
    </row>
    <row r="19" spans="1:1" x14ac:dyDescent="0.35">
      <c r="A19">
        <f>SUMIF(Crit!A1:A30,"e",Crit!B1:B30)</f>
        <v>13</v>
      </c>
    </row>
    <row r="20" spans="1:1" x14ac:dyDescent="0.35">
      <c r="A20">
        <f>SUMIF(Crit!A1:A30,TRUE,Crit!B1:B30)</f>
        <v>14</v>
      </c>
    </row>
    <row r="21" spans="1:1" x14ac:dyDescent="0.35">
      <c r="A21">
        <f>SUMIF(Crit!A1:A30,"TRUE",Crit!B1:B30)</f>
        <v>14</v>
      </c>
    </row>
    <row r="22" spans="1:1" x14ac:dyDescent="0.35">
      <c r="A22">
        <f>SUMIF(Crit!A1:A30,"#N/A",Crit!B1:B30)</f>
        <v>17</v>
      </c>
    </row>
    <row r="23" spans="1:1" x14ac:dyDescent="0.35">
      <c r="A23">
        <f>SUMIF(Crit!A1:A30,"&lt;&gt;#N/A",Crit!B1:B30)</f>
        <v>448</v>
      </c>
    </row>
    <row r="24" spans="1:1" x14ac:dyDescent="0.35">
      <c r="A24">
        <f>SUMIF(Crit!A1:A30,"&gt;a",Crit!B1:B30)</f>
        <v>126</v>
      </c>
    </row>
    <row r="25" spans="1:1" x14ac:dyDescent="0.35">
      <c r="A25">
        <f>SUMIF(Crit!A1:A30,"&lt;z",Crit!B1:B30)</f>
        <v>250</v>
      </c>
    </row>
    <row r="26" spans="1:1" x14ac:dyDescent="0.35">
      <c r="A26">
        <f>SUMIF(Crit!A1:A30,"1/2/2020",Crit!B1:B30)</f>
        <v>75</v>
      </c>
    </row>
    <row r="27" spans="1:1" x14ac:dyDescent="0.35">
      <c r="A27">
        <f>SUMIF(Crit!A1:A30,"&gt;1/1/2020",Crit!B1:B30)</f>
        <v>45</v>
      </c>
    </row>
    <row r="28" spans="1:1" x14ac:dyDescent="0.35">
      <c r="A28">
        <f>SUMIF(Crit!A1:A30,"12:00",Crit!B1:B30)</f>
        <v>29</v>
      </c>
    </row>
    <row r="29" spans="1:1" x14ac:dyDescent="0.35">
      <c r="A29">
        <f>SUMIF(Crit!A1:A30," 10",Crit!B1:B30)</f>
        <v>32</v>
      </c>
    </row>
    <row r="30" spans="1:1" x14ac:dyDescent="0.35">
      <c r="A30">
        <f>SUMIF(Crit!A1:A30,"10 ",Crit!B1:B30)</f>
        <v>32</v>
      </c>
    </row>
    <row r="31" spans="1:1" x14ac:dyDescent="0.35">
      <c r="A31">
        <f>SUMIF(Crit!A1:A30,"~*",Crit!B1:B30)</f>
        <v>24</v>
      </c>
    </row>
    <row r="32" spans="1:1" x14ac:dyDescent="0.35">
      <c r="A32">
        <f>SUMIF(Crit!A1:A30,"=a*e",Crit!B1:B30)</f>
        <v>47</v>
      </c>
    </row>
    <row r="33" spans="1:1" x14ac:dyDescent="0.35">
      <c r="A33">
        <f>SUMIF(Crit!A1:A30,"&lt;&gt;abc",Crit!B1:B30)</f>
        <v>461</v>
      </c>
    </row>
    <row r="34" spans="1:1" x14ac:dyDescent="0.35">
      <c r="A34">
        <f>SUMIF(Crit!A1:A30,Crit!D1,Crit!B1:B30)</f>
        <v>27</v>
      </c>
    </row>
    <row r="35" spans="1:1" x14ac:dyDescent="0.35">
      <c r="A35">
        <f>SUMIF(Crit!A1:A30,"=5",Crit!B1:B30)</f>
        <v>41</v>
      </c>
    </row>
    <row r="36" spans="1:1" x14ac:dyDescent="0.35">
      <c r="A36">
        <f>SUMIF(Crit!A1:A30,"&gt;4.5",Crit!B1:B30)</f>
        <v>66</v>
      </c>
    </row>
    <row r="37" spans="1:1" x14ac:dyDescent="0.35">
      <c r="A37">
        <f>SUMIF(Crit!A1:A30,"&lt;&gt;5",Crit!B1:B30)</f>
        <v>445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6F0E-6682-4529-AB44-40BD5BE63BB4}">
  <dimension ref="A1:A12"/>
  <sheetViews>
    <sheetView workbookViewId="0"/>
  </sheetViews>
  <sheetFormatPr defaultRowHeight="14.5" x14ac:dyDescent="0.35"/>
  <sheetData>
    <row r="1" spans="1:1" x14ac:dyDescent="0.35">
      <c r="A1">
        <f>VALUE("1.23456789012345678")</f>
        <v>1.23456789012345</v>
      </c>
    </row>
    <row r="2" spans="1:1" x14ac:dyDescent="0.35">
      <c r="A2">
        <f>VALUE("2.9999999999999996")</f>
        <v>2.9999999999999898</v>
      </c>
    </row>
    <row r="3" spans="1:1" x14ac:dyDescent="0.35">
      <c r="A3">
        <f>VALUE("1e-308")</f>
        <v>0</v>
      </c>
    </row>
    <row r="4" spans="1:1" x14ac:dyDescent="0.35">
      <c r="A4">
        <f>VALUE("1e-307")</f>
        <v>9.9999999999999991E-308</v>
      </c>
    </row>
    <row r="5" spans="1:1" x14ac:dyDescent="0.35">
      <c r="A5">
        <f>VALUE("2.2250738585072014e-308")</f>
        <v>0</v>
      </c>
    </row>
    <row r="6" spans="1:1" x14ac:dyDescent="0.35">
      <c r="A6">
        <f>VALUE("9.99999999999999e307")</f>
        <v>9.9999999999999901E+307</v>
      </c>
    </row>
    <row r="7" spans="1:1" x14ac:dyDescent="0.35">
      <c r="A7">
        <f>VALUE("9.999999999999995e307")</f>
        <v>9.9999999999999901E+307</v>
      </c>
    </row>
    <row r="8" spans="1:1" x14ac:dyDescent="0.35">
      <c r="A8">
        <f>VALUE("1234567890123456789")</f>
        <v>1.2345678901234501E+18</v>
      </c>
    </row>
    <row r="9" spans="1:1" x14ac:dyDescent="0.35">
      <c r="A9">
        <f>VALUE("0.30000000000000004")</f>
        <v>0.3</v>
      </c>
    </row>
    <row r="10" spans="1:1" x14ac:dyDescent="0.35">
      <c r="A10">
        <f>"1.23456789012345678"+0</f>
        <v>1.23456789012345</v>
      </c>
    </row>
    <row r="11" spans="1:1" x14ac:dyDescent="0.35">
      <c r="A11">
        <f>"12345678901234567"+0</f>
        <v>1.23456789012345E+16</v>
      </c>
    </row>
    <row r="12" spans="1:1" x14ac:dyDescent="0.35">
      <c r="A12">
        <f>VALUE("1.5e-308")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B7FA-8BA3-41B5-B285-C673BBE8C3FD}">
  <dimension ref="A1:A29"/>
  <sheetViews>
    <sheetView workbookViewId="0"/>
  </sheetViews>
  <sheetFormatPr defaultRowHeight="14.5" x14ac:dyDescent="0.35"/>
  <sheetData>
    <row r="1" spans="1:1" x14ac:dyDescent="0.35">
      <c r="A1">
        <f>MATCH(Crit!D1,Crit!A1:A30,0)</f>
        <v>27</v>
      </c>
    </row>
    <row r="2" spans="1:1" x14ac:dyDescent="0.35">
      <c r="A2">
        <f>VLOOKUP(10,Crit!A1:B30,2,FALSE)</f>
        <v>1</v>
      </c>
    </row>
    <row r="3" spans="1:1" x14ac:dyDescent="0.35">
      <c r="A3">
        <f>VLOOKUP("10",Crit!A1:B30,2,FALSE)</f>
        <v>2</v>
      </c>
    </row>
    <row r="4" spans="1:1" x14ac:dyDescent="0.35">
      <c r="A4">
        <f>MATCH("a?e",Crit!A1:A30,0)</f>
        <v>25</v>
      </c>
    </row>
    <row r="5" spans="1:1" x14ac:dyDescent="0.35">
      <c r="A5">
        <f>MATCH(5,{1,3,5,7},1)</f>
        <v>3</v>
      </c>
    </row>
    <row r="6" spans="1:1" x14ac:dyDescent="0.35">
      <c r="A6">
        <f>MATCH(6,{1,3,5,7},1)</f>
        <v>3</v>
      </c>
    </row>
    <row r="7" spans="1:1" x14ac:dyDescent="0.35">
      <c r="A7" t="e">
        <f>MATCH(0,{1,3,5,7},1)</f>
        <v>#N/A</v>
      </c>
    </row>
    <row r="8" spans="1:1" x14ac:dyDescent="0.35">
      <c r="A8">
        <f>MATCH(6,{7,5,3,1},-1)</f>
        <v>1</v>
      </c>
    </row>
    <row r="9" spans="1:1" x14ac:dyDescent="0.35">
      <c r="A9" t="e">
        <f>MATCH(8,{7,5,3,1},-1)</f>
        <v>#N/A</v>
      </c>
    </row>
    <row r="10" spans="1:1" x14ac:dyDescent="0.35">
      <c r="A10" t="e">
        <f>MATCH(4,{5,1,9,2,7},1)</f>
        <v>#N/A</v>
      </c>
    </row>
    <row r="11" spans="1:1" x14ac:dyDescent="0.35">
      <c r="A11">
        <f>MATCH(6,{5,1,9,2,7},1)</f>
        <v>2</v>
      </c>
    </row>
    <row r="12" spans="1:1" x14ac:dyDescent="0.35">
      <c r="A12">
        <f>MATCH("b",{"a","c","b"},1)</f>
        <v>1</v>
      </c>
    </row>
    <row r="13" spans="1:1" x14ac:dyDescent="0.35">
      <c r="A13" t="str">
        <f>LOOKUP(2.5,{1,2,3},{"a","b","c"})</f>
        <v>b</v>
      </c>
    </row>
    <row r="14" spans="1:1" x14ac:dyDescent="0.35">
      <c r="A14" t="e">
        <f>LOOKUP(0,{1,2,3})</f>
        <v>#N/A</v>
      </c>
    </row>
    <row r="15" spans="1:1" x14ac:dyDescent="0.35">
      <c r="A15">
        <f>_xlfn.XLOOKUP(4,{1,3,5,7},{10,30,50,70},,-1)</f>
        <v>30</v>
      </c>
    </row>
    <row r="16" spans="1:1" x14ac:dyDescent="0.35">
      <c r="A16">
        <f>_xlfn.XLOOKUP(4,{1,3,5,7},{10,30,50,70},,1)</f>
        <v>50</v>
      </c>
    </row>
    <row r="17" spans="1:1" x14ac:dyDescent="0.35">
      <c r="A17">
        <f>_xlfn.XLOOKUP("b*",{"apple","banana"},{1,2},,2)</f>
        <v>2</v>
      </c>
    </row>
    <row r="18" spans="1:1" x14ac:dyDescent="0.35">
      <c r="A18" t="e">
        <f>_xlfn.XLOOKUP("b*",{"apple","banana"},{1,2})</f>
        <v>#N/A</v>
      </c>
    </row>
    <row r="19" spans="1:1" x14ac:dyDescent="0.35">
      <c r="A19">
        <f>_xlfn.XLOOKUP(5,{1,3,5,7},{10,30,50,70},,0,2)</f>
        <v>50</v>
      </c>
    </row>
    <row r="20" spans="1:1" x14ac:dyDescent="0.35">
      <c r="A20">
        <f>_xlfn.XLOOKUP(5,{7,5,3,1},{70,50,30,10},,0,-2)</f>
        <v>50</v>
      </c>
    </row>
    <row r="21" spans="1:1" x14ac:dyDescent="0.35">
      <c r="A21">
        <f>_xlfn.XLOOKUP(3,{1,3,3,5},{1,2,3,4},,0,-1)</f>
        <v>3</v>
      </c>
    </row>
    <row r="22" spans="1:1" x14ac:dyDescent="0.35">
      <c r="A22">
        <f>_xlfn.XMATCH(4,{1,3,5,7},-1)</f>
        <v>2</v>
      </c>
    </row>
    <row r="23" spans="1:1" x14ac:dyDescent="0.35">
      <c r="A23">
        <f>_xlfn.XMATCH(4,{1,3,5,7},1)</f>
        <v>3</v>
      </c>
    </row>
    <row r="24" spans="1:1" x14ac:dyDescent="0.35">
      <c r="A24">
        <f>INDEX({1,2;3,4},0,2)</f>
        <v>2</v>
      </c>
    </row>
    <row r="25" spans="1:1" x14ac:dyDescent="0.35">
      <c r="A25">
        <f>SUM(INDEX({1,2;3,4},0,2))</f>
        <v>6</v>
      </c>
    </row>
    <row r="26" spans="1:1" x14ac:dyDescent="0.35">
      <c r="A26">
        <f>INDEX({1,2;3,4},2)</f>
        <v>3</v>
      </c>
    </row>
    <row r="27" spans="1:1" x14ac:dyDescent="0.35">
      <c r="A27">
        <f>INDEX({1,2,3},2)</f>
        <v>2</v>
      </c>
    </row>
    <row r="28" spans="1:1" x14ac:dyDescent="0.35">
      <c r="A28" t="str">
        <f>VLOOKUP(2,{1,"a";2,"b";3,"c"},2)</f>
        <v>b</v>
      </c>
    </row>
    <row r="29" spans="1:1" x14ac:dyDescent="0.35">
      <c r="A29" t="str">
        <f>HLOOKUP(2,{1,2,3;"a","b","c"},2)</f>
        <v>b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E5BE-D4AE-45FF-9517-5345D8D93FE0}">
  <dimension ref="A1:A34"/>
  <sheetViews>
    <sheetView workbookViewId="0"/>
  </sheetViews>
  <sheetFormatPr defaultRowHeight="14.5" x14ac:dyDescent="0.35"/>
  <sheetData>
    <row r="1" spans="1:1" x14ac:dyDescent="0.35">
      <c r="A1">
        <f>LARGE({5,1,9,3},1.5)</f>
        <v>5</v>
      </c>
    </row>
    <row r="2" spans="1:1" x14ac:dyDescent="0.35">
      <c r="A2">
        <f>SMALL({5,1,9,3},2.1)</f>
        <v>3</v>
      </c>
    </row>
    <row r="3" spans="1:1" x14ac:dyDescent="0.35">
      <c r="A3" t="e">
        <f>LARGE({5,1,9,3},0.5)</f>
        <v>#NUM!</v>
      </c>
    </row>
    <row r="4" spans="1:1" x14ac:dyDescent="0.35">
      <c r="A4">
        <f>MEDIAN(5,1,9,3)</f>
        <v>4</v>
      </c>
    </row>
    <row r="5" spans="1:1" x14ac:dyDescent="0.35">
      <c r="A5">
        <f>MODE(1,2,2,3,3)</f>
        <v>2</v>
      </c>
    </row>
    <row r="6" spans="1:1" x14ac:dyDescent="0.35">
      <c r="A6">
        <f>MODE(3,3,2,2)</f>
        <v>3</v>
      </c>
    </row>
    <row r="10" spans="1:1" x14ac:dyDescent="0.35">
      <c r="A10">
        <f>AVERAGE(1,)</f>
        <v>0.5</v>
      </c>
    </row>
    <row r="11" spans="1:1" x14ac:dyDescent="0.35">
      <c r="A11">
        <f>COUNT(1,)</f>
        <v>2</v>
      </c>
    </row>
    <row r="12" spans="1:1" x14ac:dyDescent="0.35">
      <c r="A12">
        <f>COUNTA(1,)</f>
        <v>2</v>
      </c>
    </row>
    <row r="13" spans="1:1" x14ac:dyDescent="0.35">
      <c r="A13">
        <f>SUM(1,)</f>
        <v>1</v>
      </c>
    </row>
    <row r="14" spans="1:1" x14ac:dyDescent="0.35">
      <c r="A14">
        <f>MAX(-1,)</f>
        <v>0</v>
      </c>
    </row>
    <row r="15" spans="1:1" x14ac:dyDescent="0.35">
      <c r="A15">
        <f>SUM(0.1,0.2,-0.3,1E-20)</f>
        <v>5.5521151231257826E-17</v>
      </c>
    </row>
    <row r="16" spans="1:1" x14ac:dyDescent="0.35">
      <c r="A16">
        <f>1*SUM(0.1,0.2,-0.3)</f>
        <v>0</v>
      </c>
    </row>
    <row r="17" spans="1:1" x14ac:dyDescent="0.35">
      <c r="A17">
        <f>SUM(0.1,0.2,-0.3)*1</f>
        <v>0</v>
      </c>
    </row>
    <row r="18" spans="1:1" x14ac:dyDescent="0.35">
      <c r="A18">
        <f>SUM(1,0.0000000000000001,-1)</f>
        <v>0</v>
      </c>
    </row>
    <row r="19" spans="1:1" x14ac:dyDescent="0.35">
      <c r="A19">
        <f>SUM(10000000000000000,1,-10000000000000000)</f>
        <v>0</v>
      </c>
    </row>
    <row r="20" spans="1:1" x14ac:dyDescent="0.35">
      <c r="A20">
        <f>SUM({0.1,0.2,-0.3})</f>
        <v>0</v>
      </c>
    </row>
    <row r="21" spans="1:1" x14ac:dyDescent="0.35">
      <c r="A21">
        <f>AVERAGE(0.1,0.2,-0.3)</f>
        <v>0</v>
      </c>
    </row>
    <row r="23" spans="1:1" x14ac:dyDescent="0.35">
      <c r="A23" t="e">
        <f>STDEV(1)</f>
        <v>#DIV/0!</v>
      </c>
    </row>
    <row r="24" spans="1:1" x14ac:dyDescent="0.35">
      <c r="A24">
        <f>VAR(1,1)</f>
        <v>0</v>
      </c>
    </row>
    <row r="25" spans="1:1" x14ac:dyDescent="0.35">
      <c r="A25" t="e">
        <f>STDEVA(1,TRUE,"a")</f>
        <v>#VALUE!</v>
      </c>
    </row>
    <row r="26" spans="1:1" x14ac:dyDescent="0.35">
      <c r="A26">
        <f>AVEDEV(1,2,3,4)</f>
        <v>1</v>
      </c>
    </row>
    <row r="27" spans="1:1" x14ac:dyDescent="0.35">
      <c r="A27">
        <f>DEVSQ(1,2,3,4)</f>
        <v>5</v>
      </c>
    </row>
    <row r="28" spans="1:1" x14ac:dyDescent="0.35">
      <c r="A28">
        <f>GEOMEAN(1,2,4)</f>
        <v>2</v>
      </c>
    </row>
    <row r="29" spans="1:1" x14ac:dyDescent="0.35">
      <c r="A29">
        <f>HARMEAN(1,2,4)</f>
        <v>1.7142857142857142</v>
      </c>
    </row>
    <row r="30" spans="1:1" x14ac:dyDescent="0.35">
      <c r="A30">
        <f>COUNTBLANK(Crit!A1:A30)</f>
        <v>2</v>
      </c>
    </row>
    <row r="31" spans="1:1" x14ac:dyDescent="0.35">
      <c r="A31">
        <f>COUNTA(Crit!A1:A30)</f>
        <v>29</v>
      </c>
    </row>
    <row r="32" spans="1:1" x14ac:dyDescent="0.35">
      <c r="A32">
        <f>COUNT(Crit!A1:A30)</f>
        <v>7</v>
      </c>
    </row>
    <row r="33" spans="1:1" x14ac:dyDescent="0.35">
      <c r="A33" t="e">
        <f>SUMPRODUCT(Crit!A1:A30)</f>
        <v>#N/A</v>
      </c>
    </row>
    <row r="34" spans="1:1" x14ac:dyDescent="0.35">
      <c r="A34" t="e">
        <f>SUMPRODUCT(--(Crit!A1:A30="10"))</f>
        <v>#N/A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68D2-CAB2-40C9-BB4B-C898D38040F8}">
  <dimension ref="A1:A41"/>
  <sheetViews>
    <sheetView workbookViewId="0"/>
  </sheetViews>
  <sheetFormatPr defaultRowHeight="14.5" x14ac:dyDescent="0.35"/>
  <sheetData>
    <row r="1" spans="1:1" x14ac:dyDescent="0.35">
      <c r="A1" t="str">
        <f>UPPER("straße")</f>
        <v>STRAßE</v>
      </c>
    </row>
    <row r="2" spans="1:1" x14ac:dyDescent="0.35">
      <c r="A2" t="str">
        <f>PROPER("2nd place")</f>
        <v>2Nd Place</v>
      </c>
    </row>
    <row r="3" spans="1:1" x14ac:dyDescent="0.35">
      <c r="A3" t="str">
        <f>PROPER("été D'ÉTÉ")</f>
        <v>Été D'Été</v>
      </c>
    </row>
    <row r="4" spans="1:1" x14ac:dyDescent="0.35">
      <c r="A4">
        <f>LEN(CLEAN(CHAR(127)))</f>
        <v>1</v>
      </c>
    </row>
    <row r="5" spans="1:1" x14ac:dyDescent="0.35">
      <c r="A5">
        <f>CODE(CHAR(129))</f>
        <v>129</v>
      </c>
    </row>
    <row r="6" spans="1:1" x14ac:dyDescent="0.35">
      <c r="A6">
        <f>CODE("€")</f>
        <v>128</v>
      </c>
    </row>
    <row r="7" spans="1:1" x14ac:dyDescent="0.35">
      <c r="A7" t="str">
        <f>CHAR(128)</f>
        <v>€</v>
      </c>
    </row>
    <row r="8" spans="1:1" x14ac:dyDescent="0.35">
      <c r="A8">
        <f>FIND("","abc")</f>
        <v>1</v>
      </c>
    </row>
    <row r="9" spans="1:1" x14ac:dyDescent="0.35">
      <c r="A9">
        <f>SEARCH("","abc")</f>
        <v>1</v>
      </c>
    </row>
    <row r="10" spans="1:1" x14ac:dyDescent="0.35">
      <c r="A10">
        <f>FIND("","abc",4)</f>
        <v>4</v>
      </c>
    </row>
    <row r="11" spans="1:1" x14ac:dyDescent="0.35">
      <c r="A11" t="e">
        <f>FIND("","abc",5)</f>
        <v>#VALUE!</v>
      </c>
    </row>
    <row r="12" spans="1:1" x14ac:dyDescent="0.35">
      <c r="A12" t="str">
        <f>SUBSTITUTE("aaa","a","b",2)</f>
        <v>aba</v>
      </c>
    </row>
    <row r="13" spans="1:1" x14ac:dyDescent="0.35">
      <c r="A13" t="str">
        <f>SUBSTITUTE("aaa","aa","b")</f>
        <v>ba</v>
      </c>
    </row>
    <row r="14" spans="1:1" x14ac:dyDescent="0.35">
      <c r="A14" t="str">
        <f>TRIM(CHAR(160)&amp;"a"&amp;CHAR(160))</f>
        <v> a </v>
      </c>
    </row>
    <row r="15" spans="1:1" x14ac:dyDescent="0.35">
      <c r="A15">
        <f>LEN(TRIM(" a  b "))</f>
        <v>3</v>
      </c>
    </row>
    <row r="16" spans="1:1" x14ac:dyDescent="0.35">
      <c r="A16" t="e">
        <f>LEFT("abc",-1)</f>
        <v>#VALUE!</v>
      </c>
    </row>
    <row r="17" spans="1:1" x14ac:dyDescent="0.35">
      <c r="A17" t="str">
        <f>RIGHT("abc",0)</f>
        <v/>
      </c>
    </row>
    <row r="18" spans="1:1" x14ac:dyDescent="0.35">
      <c r="A18" t="str">
        <f>MID("abc",2,0)</f>
        <v/>
      </c>
    </row>
    <row r="19" spans="1:1" x14ac:dyDescent="0.35">
      <c r="A19" t="str">
        <f>REPT("ab",0)</f>
        <v/>
      </c>
    </row>
    <row r="20" spans="1:1" x14ac:dyDescent="0.35">
      <c r="A20" t="str">
        <f>TEXT(0.5,"hh:mm")</f>
        <v>12:00</v>
      </c>
    </row>
    <row r="21" spans="1:1" x14ac:dyDescent="0.35">
      <c r="A21" t="str">
        <f>TEXT(1234.5,"0.00E+00")</f>
        <v>1.23E+03</v>
      </c>
    </row>
    <row r="22" spans="1:1" x14ac:dyDescent="0.35">
      <c r="A22" t="str">
        <f>TEXT("abc","@@")</f>
        <v>abcabc</v>
      </c>
    </row>
    <row r="23" spans="1:1" x14ac:dyDescent="0.35">
      <c r="A23" t="str">
        <f>TEXT(-1,"0;-0;zero")</f>
        <v>-1</v>
      </c>
    </row>
    <row r="24" spans="1:1" x14ac:dyDescent="0.35">
      <c r="A24" t="str">
        <f>TEXT(0,"0;-0;zero")</f>
        <v>z1900ro</v>
      </c>
    </row>
    <row r="25" spans="1:1" x14ac:dyDescent="0.35">
      <c r="A25" t="str">
        <f>TEXT(TRUE,"0")</f>
        <v>TRUE</v>
      </c>
    </row>
    <row r="26" spans="1:1" x14ac:dyDescent="0.35">
      <c r="A26" t="str">
        <f>DOLLAR(-1234.567,1)</f>
        <v>($1,234.6)</v>
      </c>
    </row>
    <row r="27" spans="1:1" x14ac:dyDescent="0.35">
      <c r="A27" t="str">
        <f>DOLLAR(1234.567,-2)</f>
        <v>$1,200</v>
      </c>
    </row>
    <row r="28" spans="1:1" x14ac:dyDescent="0.35">
      <c r="A28" t="str">
        <f>FIXED(-1234.567,-1,TRUE)</f>
        <v>-1230</v>
      </c>
    </row>
    <row r="29" spans="1:1" x14ac:dyDescent="0.35">
      <c r="A29" t="str">
        <f>FIXED(0.5,0)</f>
        <v>1</v>
      </c>
    </row>
    <row r="30" spans="1:1" x14ac:dyDescent="0.35">
      <c r="A30">
        <f>VALUE("$1,234.5")</f>
        <v>1234.5</v>
      </c>
    </row>
    <row r="31" spans="1:1" x14ac:dyDescent="0.35">
      <c r="A31">
        <f>_xlfn.NUMBERVALUE("12%")</f>
        <v>0.12</v>
      </c>
    </row>
    <row r="32" spans="1:1" x14ac:dyDescent="0.35">
      <c r="A32">
        <f>_xlfn.NUMBERVALUE("1 234,5",",")</f>
        <v>1234.5</v>
      </c>
    </row>
    <row r="33" spans="1:1" x14ac:dyDescent="0.35">
      <c r="A33" t="str">
        <f>T(Crit!A1)</f>
        <v/>
      </c>
    </row>
    <row r="34" spans="1:1" x14ac:dyDescent="0.35">
      <c r="A34" t="b">
        <f>EXACT(1,"1")</f>
        <v>1</v>
      </c>
    </row>
    <row r="35" spans="1:1" x14ac:dyDescent="0.35">
      <c r="A35" t="str">
        <f>CONCATENATE(1.5,TRUE,"x")</f>
        <v>1.5TRUEx</v>
      </c>
    </row>
    <row r="36" spans="1:1" x14ac:dyDescent="0.35">
      <c r="A36">
        <f>_xlfn.UNICODE("😀")</f>
        <v>128512</v>
      </c>
    </row>
    <row r="37" spans="1:1" x14ac:dyDescent="0.35">
      <c r="A37" t="str">
        <f>_xlfn.UNICHAR(128512)</f>
        <v>😀</v>
      </c>
    </row>
    <row r="38" spans="1:1" x14ac:dyDescent="0.35">
      <c r="A38">
        <f>SEARCH("~*","a*b")</f>
        <v>2</v>
      </c>
    </row>
    <row r="39" spans="1:1" x14ac:dyDescent="0.35">
      <c r="A39">
        <f>SEARCH("a~?","xa?")</f>
        <v>2</v>
      </c>
    </row>
    <row r="40" spans="1:1" x14ac:dyDescent="0.35">
      <c r="A40" t="str">
        <f>LOWER("İ")</f>
        <v>i</v>
      </c>
    </row>
    <row r="41" spans="1:1" x14ac:dyDescent="0.35">
      <c r="A41" t="str">
        <f>UPPER("ı")</f>
        <v>I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4439-0C31-49C7-8C83-9B7AF7B1B724}">
  <dimension ref="A1:A45"/>
  <sheetViews>
    <sheetView workbookViewId="0"/>
  </sheetViews>
  <sheetFormatPr defaultRowHeight="14.5" x14ac:dyDescent="0.35"/>
  <sheetData>
    <row r="1" spans="1:1" x14ac:dyDescent="0.35">
      <c r="A1" s="2">
        <f>DATE(1900,1,0)</f>
        <v>0</v>
      </c>
    </row>
    <row r="2" spans="1:1" x14ac:dyDescent="0.35">
      <c r="A2" s="2">
        <f>DATE(1900,3,0)</f>
        <v>60</v>
      </c>
    </row>
    <row r="3" spans="1:1" x14ac:dyDescent="0.35">
      <c r="A3" s="2" t="e">
        <f>DATE(-1,1,1)</f>
        <v>#NUM!</v>
      </c>
    </row>
    <row r="4" spans="1:1" x14ac:dyDescent="0.35">
      <c r="A4" s="2" t="e">
        <f>DATE(10000,1,1)</f>
        <v>#NUM!</v>
      </c>
    </row>
    <row r="5" spans="1:1" x14ac:dyDescent="0.35">
      <c r="A5" s="2">
        <f>DATE(9999,12,31)</f>
        <v>2958465</v>
      </c>
    </row>
    <row r="6" spans="1:1" x14ac:dyDescent="0.35">
      <c r="A6" s="2">
        <f>DATE(1899,12,31)</f>
        <v>693962</v>
      </c>
    </row>
    <row r="7" spans="1:1" x14ac:dyDescent="0.35">
      <c r="A7" s="2">
        <f>DATE(2020,0,0)</f>
        <v>43799</v>
      </c>
    </row>
    <row r="8" spans="1:1" x14ac:dyDescent="0.35">
      <c r="A8" s="2">
        <f>DATE(2020,-13,1)</f>
        <v>43405</v>
      </c>
    </row>
    <row r="9" spans="1:1" x14ac:dyDescent="0.35">
      <c r="A9">
        <f>EDATE(DATE(1900,1,31),1)</f>
        <v>59</v>
      </c>
    </row>
    <row r="10" spans="1:1" x14ac:dyDescent="0.35">
      <c r="A10">
        <f>WEEKDAY(0)</f>
        <v>7</v>
      </c>
    </row>
    <row r="11" spans="1:1" x14ac:dyDescent="0.35">
      <c r="A11">
        <f>WEEKDAY(60)</f>
        <v>4</v>
      </c>
    </row>
    <row r="12" spans="1:1" x14ac:dyDescent="0.35">
      <c r="A12">
        <f>WEEKDAY(61)</f>
        <v>5</v>
      </c>
    </row>
    <row r="13" spans="1:1" x14ac:dyDescent="0.35">
      <c r="A13">
        <f>WEEKDAY(DATE(2020,1,15),3)</f>
        <v>2</v>
      </c>
    </row>
    <row r="14" spans="1:1" x14ac:dyDescent="0.35">
      <c r="A14">
        <f>WEEKDAY(DATE(2020,1,15),17)</f>
        <v>4</v>
      </c>
    </row>
    <row r="15" spans="1:1" x14ac:dyDescent="0.35">
      <c r="A15">
        <f>WEEKNUM(DATE(2020,1,1),2)</f>
        <v>1</v>
      </c>
    </row>
    <row r="16" spans="1:1" x14ac:dyDescent="0.35">
      <c r="A16">
        <f>WEEKNUM(DATE(2020,12,31),21)</f>
        <v>53</v>
      </c>
    </row>
    <row r="17" spans="1:1" x14ac:dyDescent="0.35">
      <c r="A17">
        <f>WEEKNUM(DATE(2021,1,3),1)</f>
        <v>2</v>
      </c>
    </row>
    <row r="18" spans="1:1" x14ac:dyDescent="0.35">
      <c r="A18">
        <f>YEAR(2958465.99)</f>
        <v>9999</v>
      </c>
    </row>
    <row r="19" spans="1:1" x14ac:dyDescent="0.35">
      <c r="A19" t="e">
        <f>YEAR(2958466)</f>
        <v>#NUM!</v>
      </c>
    </row>
    <row r="20" spans="1:1" x14ac:dyDescent="0.35">
      <c r="A20">
        <f>NETWORKDAYS(DATE(2020,1,31),DATE(2020,1,1))</f>
        <v>-23</v>
      </c>
    </row>
    <row r="21" spans="1:1" x14ac:dyDescent="0.35">
      <c r="A21">
        <f>WORKDAY(DATE(2020,1,3),1,DATE(2020,1,6))</f>
        <v>43837</v>
      </c>
    </row>
    <row r="22" spans="1:1" x14ac:dyDescent="0.35">
      <c r="A22">
        <f>WORKDAY(DATE(2020,1,6),-1)</f>
        <v>43833</v>
      </c>
    </row>
    <row r="23" spans="1:1" x14ac:dyDescent="0.35">
      <c r="A23">
        <f>EOMONTH(DATE(2020,1,31),-13)</f>
        <v>43465</v>
      </c>
    </row>
    <row r="24" spans="1:1" x14ac:dyDescent="0.35">
      <c r="A24">
        <f>DATEDIF(DATE(2020,1,31),DATE(2020,3,1),"md")</f>
        <v>-1</v>
      </c>
    </row>
    <row r="25" spans="1:1" x14ac:dyDescent="0.35">
      <c r="A25">
        <f>DATEDIF(DATE(2020,1,31),DATE(2020,3,1),"yd")</f>
        <v>30</v>
      </c>
    </row>
    <row r="26" spans="1:1" x14ac:dyDescent="0.35">
      <c r="A26">
        <f>DATEDIF(DATE(2019,3,1),DATE(2020,2,29),"yd")</f>
        <v>365</v>
      </c>
    </row>
    <row r="27" spans="1:1" x14ac:dyDescent="0.35">
      <c r="A27">
        <f>DATEDIF(DATE(2020,2,29),DATE(2021,2,28),"y")</f>
        <v>0</v>
      </c>
    </row>
    <row r="28" spans="1:1" x14ac:dyDescent="0.35">
      <c r="A28">
        <f>DATEDIF(DATE(2020,1,15),DATE(2021,3,1),"ym")</f>
        <v>1</v>
      </c>
    </row>
    <row r="29" spans="1:1" x14ac:dyDescent="0.35">
      <c r="A29" s="3" t="e">
        <f>TIME(0,0,-1)</f>
        <v>#NUM!</v>
      </c>
    </row>
    <row r="30" spans="1:1" x14ac:dyDescent="0.35">
      <c r="A30" s="3">
        <f>TIME(0,-1,120)</f>
        <v>6.9444444444444447E-4</v>
      </c>
    </row>
    <row r="31" spans="1:1" x14ac:dyDescent="0.35">
      <c r="A31" s="3">
        <f>TIME(12.9,0,0)</f>
        <v>0.5</v>
      </c>
    </row>
    <row r="32" spans="1:1" x14ac:dyDescent="0.35">
      <c r="A32" s="3">
        <f>TIME(32767,0,0)</f>
        <v>0.29166666666674246</v>
      </c>
    </row>
    <row r="33" spans="1:1" x14ac:dyDescent="0.35">
      <c r="A33" s="3" t="e">
        <f>TIME(32768,0,0)</f>
        <v>#NUM!</v>
      </c>
    </row>
    <row r="34" spans="1:1" x14ac:dyDescent="0.35">
      <c r="A34" t="e">
        <f>HOUR(-0.5)</f>
        <v>#NUM!</v>
      </c>
    </row>
    <row r="35" spans="1:1" x14ac:dyDescent="0.35">
      <c r="A35">
        <f>HOUR(1.5)</f>
        <v>12</v>
      </c>
    </row>
    <row r="36" spans="1:1" x14ac:dyDescent="0.35">
      <c r="A36">
        <f>SECOND(1/86400*0.5)</f>
        <v>1</v>
      </c>
    </row>
    <row r="37" spans="1:1" x14ac:dyDescent="0.35">
      <c r="A37">
        <f>DATEVALUE("29-Feb-1900")</f>
        <v>60</v>
      </c>
    </row>
    <row r="38" spans="1:1" x14ac:dyDescent="0.35">
      <c r="A38">
        <f>DATEVALUE("2/29/1900")</f>
        <v>60</v>
      </c>
    </row>
    <row r="39" spans="1:1" x14ac:dyDescent="0.35">
      <c r="A39">
        <f>DAY("2/29/1900")</f>
        <v>29</v>
      </c>
    </row>
    <row r="40" spans="1:1" x14ac:dyDescent="0.35">
      <c r="A40">
        <f>_xlfn.DAYS(10,5.9)</f>
        <v>5</v>
      </c>
    </row>
    <row r="41" spans="1:1" x14ac:dyDescent="0.35">
      <c r="A41">
        <f>_xlfn.ISOWEEKNUM(DATE(2020,12,31))</f>
        <v>53</v>
      </c>
    </row>
    <row r="42" spans="1:1" x14ac:dyDescent="0.35">
      <c r="A42">
        <f>_xlfn.ISOWEEKNUM(1)</f>
        <v>52</v>
      </c>
    </row>
    <row r="43" spans="1:1" x14ac:dyDescent="0.35">
      <c r="A43">
        <f>MONTH(59)</f>
        <v>2</v>
      </c>
    </row>
    <row r="44" spans="1:1" x14ac:dyDescent="0.35">
      <c r="A44">
        <f>DAY(59)</f>
        <v>28</v>
      </c>
    </row>
    <row r="45" spans="1:1" x14ac:dyDescent="0.35">
      <c r="A45">
        <f>DAY(61)</f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F165-7FFC-445C-AE8F-0DB788FEA17C}">
  <dimension ref="A1:A89"/>
  <sheetViews>
    <sheetView workbookViewId="0"/>
  </sheetViews>
  <sheetFormatPr defaultRowHeight="14.5" x14ac:dyDescent="0.35"/>
  <sheetData>
    <row r="1" spans="1:1" x14ac:dyDescent="0.35">
      <c r="A1" s="4">
        <f>PMT(0.08/12,10,10000)</f>
        <v>-1037.0320893591522</v>
      </c>
    </row>
    <row r="2" spans="1:1" x14ac:dyDescent="0.35">
      <c r="A2" s="4">
        <f>PMT(0.08/12,10,10000,0,1)</f>
        <v>-1030.1643271779658</v>
      </c>
    </row>
    <row r="3" spans="1:1" x14ac:dyDescent="0.35">
      <c r="A3" s="4">
        <f>PMT(0,10,10000)</f>
        <v>-1000</v>
      </c>
    </row>
    <row r="4" spans="1:1" x14ac:dyDescent="0.35">
      <c r="A4" s="4">
        <f>PMT(0.05,5,-1000,500)</f>
        <v>140.48739906413405</v>
      </c>
    </row>
    <row r="5" spans="1:1" x14ac:dyDescent="0.35">
      <c r="A5" s="4">
        <f>PMT(-0.1,5,1000)</f>
        <v>-144.19428096993968</v>
      </c>
    </row>
    <row r="6" spans="1:1" x14ac:dyDescent="0.35">
      <c r="A6" s="4" t="e">
        <f>PMT(0.08,0,1000)</f>
        <v>#NUM!</v>
      </c>
    </row>
    <row r="7" spans="1:1" x14ac:dyDescent="0.35">
      <c r="A7" s="4">
        <f>PV(0.08/12,240,500)</f>
        <v>-59777.145851187823</v>
      </c>
    </row>
    <row r="8" spans="1:1" x14ac:dyDescent="0.35">
      <c r="A8" s="4">
        <f>PV(0,10,-100)</f>
        <v>1000</v>
      </c>
    </row>
    <row r="9" spans="1:1" x14ac:dyDescent="0.35">
      <c r="A9" s="4">
        <f>PV(0.05,10,-100,1000,1)</f>
        <v>196.86891402364611</v>
      </c>
    </row>
    <row r="10" spans="1:1" x14ac:dyDescent="0.35">
      <c r="A10" s="4">
        <f>FV(0.06/12,10,-200,-500,1)</f>
        <v>2581.4033740601185</v>
      </c>
    </row>
    <row r="11" spans="1:1" x14ac:dyDescent="0.35">
      <c r="A11" s="4">
        <f>FV(0.12/12,12,-1000)</f>
        <v>12682.503013196976</v>
      </c>
    </row>
    <row r="12" spans="1:1" x14ac:dyDescent="0.35">
      <c r="A12" s="4">
        <f>FV(0,10,-100,-50)</f>
        <v>1050</v>
      </c>
    </row>
    <row r="13" spans="1:1" x14ac:dyDescent="0.35">
      <c r="A13" s="4">
        <f>FV(0.05,10,0,-1000)</f>
        <v>1628.8946267774415</v>
      </c>
    </row>
    <row r="14" spans="1:1" x14ac:dyDescent="0.35">
      <c r="A14">
        <f>NPER(0.12/12,-100,-1000,10000,1)</f>
        <v>59.673865674294568</v>
      </c>
    </row>
    <row r="15" spans="1:1" x14ac:dyDescent="0.35">
      <c r="A15">
        <f>NPER(0.01,-100,1000)</f>
        <v>10.588644459423231</v>
      </c>
    </row>
    <row r="16" spans="1:1" x14ac:dyDescent="0.35">
      <c r="A16">
        <f>NPER(0,-100,1000)</f>
        <v>10</v>
      </c>
    </row>
    <row r="17" spans="1:1" x14ac:dyDescent="0.35">
      <c r="A17" t="e">
        <f>NPER(0.01,-1,1000)</f>
        <v>#NUM!</v>
      </c>
    </row>
    <row r="18" spans="1:1" x14ac:dyDescent="0.35">
      <c r="A18" s="5">
        <f>RATE(48,-200,8000)</f>
        <v>7.7014724882013682E-3</v>
      </c>
    </row>
    <row r="19" spans="1:1" x14ac:dyDescent="0.35">
      <c r="A19" s="5">
        <f>RATE(10,-100,1000,0,0,0.1)</f>
        <v>-1.9633517072925619E-10</v>
      </c>
    </row>
    <row r="20" spans="1:1" x14ac:dyDescent="0.35">
      <c r="A20" s="5" t="e">
        <f>RATE(10,100,1000)</f>
        <v>#NUM!</v>
      </c>
    </row>
    <row r="21" spans="1:1" x14ac:dyDescent="0.35">
      <c r="A21" s="5">
        <f>RATE(360,-1000,150000)</f>
        <v>5.8502533767596371E-3</v>
      </c>
    </row>
    <row r="22" spans="1:1" x14ac:dyDescent="0.35">
      <c r="A22" s="5">
        <f>RATE(12,-100,1000,0,1)</f>
        <v>3.503153036227754E-2</v>
      </c>
    </row>
    <row r="23" spans="1:1" x14ac:dyDescent="0.35">
      <c r="A23" s="4">
        <f>IPMT(0.1/12,1,3*12,8000)</f>
        <v>-66.666666666666671</v>
      </c>
    </row>
    <row r="24" spans="1:1" x14ac:dyDescent="0.35">
      <c r="A24" s="4">
        <f>IPMT(0.1,3,3,8000)</f>
        <v>-292.44712990936563</v>
      </c>
    </row>
    <row r="25" spans="1:1" x14ac:dyDescent="0.35">
      <c r="A25" s="4">
        <f>IPMT(0.1,1,3,8000,0,1)</f>
        <v>0</v>
      </c>
    </row>
    <row r="26" spans="1:1" x14ac:dyDescent="0.35">
      <c r="A26" s="4">
        <f>IPMT(0.1,2,3,8000,0,1)</f>
        <v>-507.55287009063449</v>
      </c>
    </row>
    <row r="27" spans="1:1" x14ac:dyDescent="0.35">
      <c r="A27" s="4">
        <f>PPMT(0.1/12,1,24,2000)</f>
        <v>-75.623186008366332</v>
      </c>
    </row>
    <row r="28" spans="1:1" x14ac:dyDescent="0.35">
      <c r="A28" s="4">
        <f>PPMT(0.08,10,10,200000)</f>
        <v>-27598.053462421372</v>
      </c>
    </row>
    <row r="29" spans="1:1" x14ac:dyDescent="0.35">
      <c r="A29">
        <f>CUMIPMT(0.09/12,30*12,125000,13,24,0)</f>
        <v>-11135.232130750841</v>
      </c>
    </row>
    <row r="30" spans="1:1" x14ac:dyDescent="0.35">
      <c r="A30">
        <f>CUMIPMT(0.09/12,30*12,125000,1,1,0)</f>
        <v>-937.49999999999977</v>
      </c>
    </row>
    <row r="31" spans="1:1" x14ac:dyDescent="0.35">
      <c r="A31">
        <f>CUMPRINC(0.09/12,30*12,125000,13,24,0)</f>
        <v>-934.10712342089789</v>
      </c>
    </row>
    <row r="32" spans="1:1" x14ac:dyDescent="0.35">
      <c r="A32">
        <f>CUMPRINC(0.09/12,30*12,125000,1,1,1)</f>
        <v>-998.29108802082203</v>
      </c>
    </row>
    <row r="33" spans="1:1" x14ac:dyDescent="0.35">
      <c r="A33" s="4">
        <f>NPV(0.1,-10000,3000,4200,6800)</f>
        <v>1188.4434123352207</v>
      </c>
    </row>
    <row r="34" spans="1:1" x14ac:dyDescent="0.35">
      <c r="A34" s="4">
        <f>NPV(0.08,Stats!A1:A5)</f>
        <v>10.439514633414237</v>
      </c>
    </row>
    <row r="35" spans="1:1" x14ac:dyDescent="0.35">
      <c r="A35" s="4">
        <f>NPV(0.1,1,,2)</f>
        <v>2.4117205108940643</v>
      </c>
    </row>
    <row r="36" spans="1:1" x14ac:dyDescent="0.35">
      <c r="A36">
        <f>XNPV(0.09,{-10000,2750,4250,3250,2750},{39448,39508,39751,39859,39904})</f>
        <v>2086.6476020315349</v>
      </c>
    </row>
    <row r="37" spans="1:1" x14ac:dyDescent="0.35">
      <c r="A37" s="5">
        <f>IRR({-70000,12000,15000,18000,21000})</f>
        <v>-2.1244848273410888E-2</v>
      </c>
    </row>
    <row r="38" spans="1:1" x14ac:dyDescent="0.35">
      <c r="A38" s="5">
        <f>IRR({-70000,12000,15000,18000,21000,26000})</f>
        <v>8.663094803652216E-2</v>
      </c>
    </row>
    <row r="39" spans="1:1" x14ac:dyDescent="0.35">
      <c r="A39" s="5">
        <f>IRR({-70000,12000,15000},-0.1)</f>
        <v>-0.44350694133473989</v>
      </c>
    </row>
    <row r="40" spans="1:1" x14ac:dyDescent="0.35">
      <c r="A40" s="5" t="e">
        <f>IRR({1,2,3})</f>
        <v>#NUM!</v>
      </c>
    </row>
    <row r="41" spans="1:1" x14ac:dyDescent="0.35">
      <c r="A41">
        <f>XIRR({-10000,2750,4250,3250,2750},{39448,39508,39751,39859,39904})</f>
        <v>0.3733625352382659</v>
      </c>
    </row>
    <row r="42" spans="1:1" x14ac:dyDescent="0.35">
      <c r="A42" s="5">
        <f>MIRR({-120000,39000,30000,21000,37000,46000},0.1,0.12)</f>
        <v>0.12609413036590511</v>
      </c>
    </row>
    <row r="43" spans="1:1" x14ac:dyDescent="0.35">
      <c r="A43" s="4">
        <f>SLN(30000,7500,10)</f>
        <v>2250</v>
      </c>
    </row>
    <row r="44" spans="1:1" x14ac:dyDescent="0.35">
      <c r="A44" s="4">
        <f>SYD(30000,7500,10,1)</f>
        <v>4090.909090909091</v>
      </c>
    </row>
    <row r="45" spans="1:1" x14ac:dyDescent="0.35">
      <c r="A45" s="4">
        <f>SYD(30000,7500,10,10)</f>
        <v>409.09090909090907</v>
      </c>
    </row>
    <row r="46" spans="1:1" x14ac:dyDescent="0.35">
      <c r="A46" s="4">
        <f>DB(1000000,100000,6,1,7)</f>
        <v>186083.33333333334</v>
      </c>
    </row>
    <row r="47" spans="1:1" x14ac:dyDescent="0.35">
      <c r="A47" s="4">
        <f>DB(1000000,100000,6,2,7)</f>
        <v>259639.41666666666</v>
      </c>
    </row>
    <row r="48" spans="1:1" x14ac:dyDescent="0.35">
      <c r="A48" s="4">
        <f>DB(1000000,100000,6,7,7)</f>
        <v>15845.098473848073</v>
      </c>
    </row>
    <row r="49" spans="1:1" x14ac:dyDescent="0.35">
      <c r="A49" s="4">
        <f>DB(1000000,100000,6,6)</f>
        <v>46722.51828062092</v>
      </c>
    </row>
    <row r="50" spans="1:1" x14ac:dyDescent="0.35">
      <c r="A50" s="4">
        <f>DDB(2400,300,10*365,1)</f>
        <v>1.3150684931506849</v>
      </c>
    </row>
    <row r="51" spans="1:1" x14ac:dyDescent="0.35">
      <c r="A51" s="4">
        <f>DDB(2400,300,10,1,2)</f>
        <v>480</v>
      </c>
    </row>
    <row r="52" spans="1:1" x14ac:dyDescent="0.35">
      <c r="A52" s="4">
        <f>DDB(2400,300,10,10)</f>
        <v>22.12254720000027</v>
      </c>
    </row>
    <row r="53" spans="1:1" x14ac:dyDescent="0.35">
      <c r="A53" s="4">
        <f>DDB(2400,300,10,2,1.5)</f>
        <v>306</v>
      </c>
    </row>
    <row r="54" spans="1:1" x14ac:dyDescent="0.35">
      <c r="A54" s="4">
        <f>VDB(2400,300,10*365,0,1)</f>
        <v>1.3150684931506849</v>
      </c>
    </row>
    <row r="55" spans="1:1" x14ac:dyDescent="0.35">
      <c r="A55" s="4">
        <f>VDB(2400,300,10,0,0.875,1.5)</f>
        <v>315</v>
      </c>
    </row>
    <row r="56" spans="1:1" x14ac:dyDescent="0.35">
      <c r="A56" s="4">
        <f>VDB(2400,300,10,6,10,2,TRUE)</f>
        <v>329.14560000000051</v>
      </c>
    </row>
    <row r="57" spans="1:1" x14ac:dyDescent="0.35">
      <c r="A57" s="4">
        <f>VDB(2400,300,10,6,10)</f>
        <v>329.14560000000012</v>
      </c>
    </row>
    <row r="58" spans="1:1" x14ac:dyDescent="0.35">
      <c r="A58">
        <f>EFFECT(0.0525,4)</f>
        <v>5.3542667370758412E-2</v>
      </c>
    </row>
    <row r="59" spans="1:1" x14ac:dyDescent="0.35">
      <c r="A59">
        <f>NOMINAL(0.053543,4)</f>
        <v>5.2500319868356016E-2</v>
      </c>
    </row>
    <row r="60" spans="1:1" x14ac:dyDescent="0.35">
      <c r="A60">
        <f>FVSCHEDULE(1,{0.09,0.11,0.1})</f>
        <v>1.3308900000000004</v>
      </c>
    </row>
    <row r="61" spans="1:1" x14ac:dyDescent="0.35">
      <c r="A61">
        <f>_xlfn.PDURATION(0.025,2000,2200)</f>
        <v>3.8598661626226551</v>
      </c>
    </row>
    <row r="62" spans="1:1" x14ac:dyDescent="0.35">
      <c r="A62">
        <f>_xlfn.RRI(96,10000,11000)</f>
        <v>9.9330737629133026E-4</v>
      </c>
    </row>
    <row r="63" spans="1:1" x14ac:dyDescent="0.35">
      <c r="A63">
        <f>ISPMT(0.1/12,1,36,8000000)</f>
        <v>-64814.814814814818</v>
      </c>
    </row>
    <row r="64" spans="1:1" x14ac:dyDescent="0.35">
      <c r="A64">
        <f>DOLLARDE(1.02,16)</f>
        <v>1.125</v>
      </c>
    </row>
    <row r="65" spans="1:1" x14ac:dyDescent="0.35">
      <c r="A65">
        <f>DOLLARFR(1.125,16)</f>
        <v>1.02</v>
      </c>
    </row>
    <row r="66" spans="1:1" x14ac:dyDescent="0.35">
      <c r="A66">
        <f>TBILLEQ(DATE(2008,3,31),DATE(2008,6,1),0.0914)</f>
        <v>9.4151493565943017E-2</v>
      </c>
    </row>
    <row r="67" spans="1:1" x14ac:dyDescent="0.35">
      <c r="A67">
        <f>TBILLPRICE(DATE(2008,3,31),DATE(2008,6,1),0.09)</f>
        <v>98.45</v>
      </c>
    </row>
    <row r="68" spans="1:1" x14ac:dyDescent="0.35">
      <c r="A68">
        <f>TBILLYIELD(DATE(2008,3,31),DATE(2008,6,1),98.45)</f>
        <v>9.141696292534264E-2</v>
      </c>
    </row>
    <row r="69" spans="1:1" x14ac:dyDescent="0.35">
      <c r="A69">
        <f>PRICE(DATE(2008,2,15),DATE(2017,11,15),0.0575,0.065,100,2,0)</f>
        <v>94.634361621322128</v>
      </c>
    </row>
    <row r="70" spans="1:1" x14ac:dyDescent="0.35">
      <c r="A70">
        <f>YIELD(DATE(2008,2,15),DATE(2016,11,15),0.0575,95.04287,100,2,0)</f>
        <v>6.5000006880731431E-2</v>
      </c>
    </row>
    <row r="71" spans="1:1" x14ac:dyDescent="0.35">
      <c r="A71">
        <f>DURATION(DATE(2018,7,1),DATE(2048,1,1),0.08,0.09,2,1)</f>
        <v>10.919145281591932</v>
      </c>
    </row>
    <row r="72" spans="1:1" x14ac:dyDescent="0.35">
      <c r="A72">
        <f>MDURATION(DATE(2008,1,1),DATE(2016,1,1),0.08,0.09,2,1)</f>
        <v>5.7356698139188387</v>
      </c>
    </row>
    <row r="73" spans="1:1" x14ac:dyDescent="0.35">
      <c r="A73">
        <f>ACCRINT(DATE(2008,3,1),DATE(2008,8,31),DATE(2008,5,1),0.1,1000,2,0)</f>
        <v>16.666666666666664</v>
      </c>
    </row>
    <row r="74" spans="1:1" x14ac:dyDescent="0.35">
      <c r="A74">
        <f>ACCRINTM(DATE(2008,4,1),DATE(2008,6,15),0.1,1000,3)</f>
        <v>20.547945205479451</v>
      </c>
    </row>
    <row r="75" spans="1:1" x14ac:dyDescent="0.35">
      <c r="A75">
        <f>COUPDAYS(DATE(2011,1,25),DATE(2011,11,15),2,1)</f>
        <v>181</v>
      </c>
    </row>
    <row r="76" spans="1:1" x14ac:dyDescent="0.35">
      <c r="A76">
        <f>COUPDAYBS(DATE(2011,1,25),DATE(2011,11,15),2,1)</f>
        <v>71</v>
      </c>
    </row>
    <row r="77" spans="1:1" x14ac:dyDescent="0.35">
      <c r="A77">
        <f>COUPDAYSNC(DATE(2011,1,25),DATE(2011,11,15),2,1)</f>
        <v>110</v>
      </c>
    </row>
    <row r="78" spans="1:1" x14ac:dyDescent="0.35">
      <c r="A78">
        <f>COUPNCD(DATE(2011,1,25),DATE(2011,11,15),2,1)</f>
        <v>40678</v>
      </c>
    </row>
    <row r="79" spans="1:1" x14ac:dyDescent="0.35">
      <c r="A79">
        <f>COUPNUM(DATE(2007,1,25),DATE(2008,11,15),2,1)</f>
        <v>4</v>
      </c>
    </row>
    <row r="80" spans="1:1" x14ac:dyDescent="0.35">
      <c r="A80">
        <f>COUPPCD(DATE(2011,1,25),DATE(2011,11,15),2,1)</f>
        <v>40497</v>
      </c>
    </row>
    <row r="81" spans="1:1" x14ac:dyDescent="0.35">
      <c r="A81">
        <f>DISC(DATE(2018,1,25),DATE(2018,6,15),97.975,100,1)</f>
        <v>5.2420212765957708E-2</v>
      </c>
    </row>
    <row r="82" spans="1:1" x14ac:dyDescent="0.35">
      <c r="A82">
        <f>INTRATE(DATE(2008,2,15),DATE(2008,5,15),1000000,1014420,2)</f>
        <v>5.7680000000000002E-2</v>
      </c>
    </row>
    <row r="83" spans="1:1" x14ac:dyDescent="0.35">
      <c r="A83">
        <f>RECEIVED(DATE(2008,2,15),DATE(2008,5,15),1000000,0.0575,2)</f>
        <v>1014584.6544071021</v>
      </c>
    </row>
    <row r="84" spans="1:1" x14ac:dyDescent="0.35">
      <c r="A84">
        <f>PRICEDISC(DATE(2008,2,16),DATE(2008,3,1),0.0525,100,2)</f>
        <v>99.795833333333334</v>
      </c>
    </row>
    <row r="85" spans="1:1" x14ac:dyDescent="0.35">
      <c r="A85">
        <f>PRICEMAT(DATE(2008,2,15),DATE(2008,4,13),DATE(2007,11,11),0.061,0.061,0)</f>
        <v>99.984498875556937</v>
      </c>
    </row>
    <row r="86" spans="1:1" x14ac:dyDescent="0.35">
      <c r="A86">
        <f>YIELDDISC(DATE(2008,2,16),DATE(2008,3,1),99.795,100,2)</f>
        <v>5.2822571986858337E-2</v>
      </c>
    </row>
    <row r="87" spans="1:1" x14ac:dyDescent="0.35">
      <c r="A87">
        <f>YIELDMAT(DATE(2008,3,15),DATE(2008,11,3),DATE(2007,11,8),0.0625,100.0123,0)</f>
        <v>6.0954333691538673E-2</v>
      </c>
    </row>
    <row r="88" spans="1:1" x14ac:dyDescent="0.35">
      <c r="A88">
        <f>AMORDEGRC(2400,DATE(2008,8,19),DATE(2008,12,31),300,1,0.15,1)</f>
        <v>776</v>
      </c>
    </row>
    <row r="89" spans="1:1" x14ac:dyDescent="0.35">
      <c r="A89">
        <f>AMORLINC(2400,DATE(2008,8,19),DATE(2008,12,31),300,1,0.15,1)</f>
        <v>360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D2D9-7BF6-436B-B157-63576A144726}">
  <dimension ref="A1:A115"/>
  <sheetViews>
    <sheetView workbookViewId="0"/>
  </sheetViews>
  <sheetFormatPr defaultRowHeight="14.5" x14ac:dyDescent="0.35"/>
  <sheetData>
    <row r="1" spans="1:1" x14ac:dyDescent="0.35">
      <c r="A1">
        <f>_xlfn.NORM.DIST(42,40,1.5,TRUE)</f>
        <v>0.90878878027413212</v>
      </c>
    </row>
    <row r="2" spans="1:1" x14ac:dyDescent="0.35">
      <c r="A2">
        <f>_xlfn.NORM.DIST(42,40,1.5,FALSE)</f>
        <v>0.10934004978399575</v>
      </c>
    </row>
    <row r="3" spans="1:1" x14ac:dyDescent="0.35">
      <c r="A3">
        <f>NORMDIST(42,40,1.5,TRUE)</f>
        <v>0.90878878027413212</v>
      </c>
    </row>
    <row r="4" spans="1:1" x14ac:dyDescent="0.35">
      <c r="A4">
        <f>_xlfn.NORM.DIST(-5,0,1,TRUE)</f>
        <v>2.8665157187919333E-7</v>
      </c>
    </row>
    <row r="5" spans="1:1" x14ac:dyDescent="0.35">
      <c r="A5">
        <f>_xlfn.NORM.DIST(8,0,1,TRUE)</f>
        <v>0.99999999999999933</v>
      </c>
    </row>
    <row r="6" spans="1:1" x14ac:dyDescent="0.35">
      <c r="A6">
        <f>_xlfn.NORM.DIST(-40,0,1,TRUE)</f>
        <v>0</v>
      </c>
    </row>
    <row r="7" spans="1:1" x14ac:dyDescent="0.35">
      <c r="A7">
        <f>_xlfn.NORM.S.DIST(1.333333,TRUE)</f>
        <v>0.90878872560409507</v>
      </c>
    </row>
    <row r="8" spans="1:1" x14ac:dyDescent="0.35">
      <c r="A8">
        <f>_xlfn.NORM.S.DIST(1.333333,FALSE)</f>
        <v>0.16401014756936722</v>
      </c>
    </row>
    <row r="9" spans="1:1" x14ac:dyDescent="0.35">
      <c r="A9">
        <f>NORMSDIST(1.333333)</f>
        <v>0.90878872560409507</v>
      </c>
    </row>
    <row r="10" spans="1:1" x14ac:dyDescent="0.35">
      <c r="A10">
        <f>_xlfn.NORM.S.DIST(-10,TRUE)</f>
        <v>7.6198530241604755E-24</v>
      </c>
    </row>
    <row r="11" spans="1:1" x14ac:dyDescent="0.35">
      <c r="A11">
        <f>_xlfn.NORM.S.DIST(0,TRUE)</f>
        <v>0.5</v>
      </c>
    </row>
    <row r="12" spans="1:1" x14ac:dyDescent="0.35">
      <c r="A12">
        <f>_xlfn.NORM.INV(0.908789,40,1.5)</f>
        <v>42.00000200956616</v>
      </c>
    </row>
    <row r="13" spans="1:1" x14ac:dyDescent="0.35">
      <c r="A13">
        <f>NORMINV(0.908789,40,1.5)</f>
        <v>42.00000200956616</v>
      </c>
    </row>
    <row r="14" spans="1:1" x14ac:dyDescent="0.35">
      <c r="A14">
        <f>_xlfn.NORM.S.INV(0.908789)</f>
        <v>1.3333346730441071</v>
      </c>
    </row>
    <row r="15" spans="1:1" x14ac:dyDescent="0.35">
      <c r="A15">
        <f>NORMSINV(0.5)</f>
        <v>0</v>
      </c>
    </row>
    <row r="16" spans="1:1" x14ac:dyDescent="0.35">
      <c r="A16">
        <f>_xlfn.NORM.S.INV(0.0000000001)</f>
        <v>-6.3613409024040557</v>
      </c>
    </row>
    <row r="17" spans="1:1" x14ac:dyDescent="0.35">
      <c r="A17">
        <f>_xlfn.NORM.S.INV(0.999999)</f>
        <v>4.7534243088170891</v>
      </c>
    </row>
    <row r="18" spans="1:1" x14ac:dyDescent="0.35">
      <c r="A18" t="e">
        <f>_xlfn.NORM.S.INV(0)</f>
        <v>#NUM!</v>
      </c>
    </row>
    <row r="19" spans="1:1" x14ac:dyDescent="0.35">
      <c r="A19">
        <f>STANDARDIZE(42,40,1.5)</f>
        <v>1.3333333333333333</v>
      </c>
    </row>
    <row r="20" spans="1:1" x14ac:dyDescent="0.35">
      <c r="A20">
        <f>_xlfn.T.DIST(60,1,TRUE)</f>
        <v>0.99469532636737668</v>
      </c>
    </row>
    <row r="21" spans="1:1" x14ac:dyDescent="0.35">
      <c r="A21">
        <f>_xlfn.T.DIST(8,3,FALSE)</f>
        <v>7.3690652094692661E-4</v>
      </c>
    </row>
    <row r="22" spans="1:1" x14ac:dyDescent="0.35">
      <c r="A22">
        <f>_xlfn.T.DIST.2T(1.959999998,60)</f>
        <v>5.4644929975920957E-2</v>
      </c>
    </row>
    <row r="23" spans="1:1" x14ac:dyDescent="0.35">
      <c r="A23">
        <f>_xlfn.T.DIST.RT(1.959999998,60)</f>
        <v>2.7322464987960478E-2</v>
      </c>
    </row>
    <row r="24" spans="1:1" x14ac:dyDescent="0.35">
      <c r="A24">
        <f>TDIST(1.959999998,60,2)</f>
        <v>5.4644929975920957E-2</v>
      </c>
    </row>
    <row r="25" spans="1:1" x14ac:dyDescent="0.35">
      <c r="A25">
        <f>TDIST(1.959999998,60,1)</f>
        <v>2.7322464987960478E-2</v>
      </c>
    </row>
    <row r="26" spans="1:1" x14ac:dyDescent="0.35">
      <c r="A26">
        <f>_xlfn.T.DIST(-1.5,10,TRUE)</f>
        <v>8.2253663222720139E-2</v>
      </c>
    </row>
    <row r="27" spans="1:1" x14ac:dyDescent="0.35">
      <c r="A27">
        <f>_xlfn.T.INV(0.75,2)</f>
        <v>0.81649658092772592</v>
      </c>
    </row>
    <row r="28" spans="1:1" x14ac:dyDescent="0.35">
      <c r="A28">
        <f>_xlfn.T.INV.2T(0.546449,60)</f>
        <v>0.60653307582575899</v>
      </c>
    </row>
    <row r="29" spans="1:1" x14ac:dyDescent="0.35">
      <c r="A29">
        <f>TINV(0.546449,60)</f>
        <v>0.60653307582575899</v>
      </c>
    </row>
    <row r="30" spans="1:1" x14ac:dyDescent="0.35">
      <c r="A30">
        <f>_xlfn.CHISQ.DIST(0.5,1,TRUE)</f>
        <v>0.52049987781304652</v>
      </c>
    </row>
    <row r="31" spans="1:1" x14ac:dyDescent="0.35">
      <c r="A31">
        <f>_xlfn.CHISQ.DIST(2,3,FALSE)</f>
        <v>0.20755374871029736</v>
      </c>
    </row>
    <row r="32" spans="1:1" x14ac:dyDescent="0.35">
      <c r="A32">
        <f>_xlfn.CHISQ.DIST.RT(18.307,10)</f>
        <v>5.0000589091398109E-2</v>
      </c>
    </row>
    <row r="33" spans="1:1" x14ac:dyDescent="0.35">
      <c r="A33">
        <f>CHIDIST(18.307,10)</f>
        <v>5.0000589091398109E-2</v>
      </c>
    </row>
    <row r="34" spans="1:1" x14ac:dyDescent="0.35">
      <c r="A34">
        <f>_xlfn.CHISQ.INV(0.93,1)</f>
        <v>3.2830202867595295</v>
      </c>
    </row>
    <row r="35" spans="1:1" x14ac:dyDescent="0.35">
      <c r="A35">
        <f>_xlfn.CHISQ.INV.RT(0.050001,10)</f>
        <v>18.306973456961057</v>
      </c>
    </row>
    <row r="36" spans="1:1" x14ac:dyDescent="0.35">
      <c r="A36">
        <f>CHIINV(0.050001,10)</f>
        <v>18.306973456961057</v>
      </c>
    </row>
    <row r="37" spans="1:1" x14ac:dyDescent="0.35">
      <c r="A37">
        <f>_xlfn.F.DIST(15.2069,6,4,TRUE)</f>
        <v>0.99000004300276268</v>
      </c>
    </row>
    <row r="38" spans="1:1" x14ac:dyDescent="0.35">
      <c r="A38">
        <f>_xlfn.F.DIST(15.2069,6,4,FALSE)</f>
        <v>1.2237917087831725E-3</v>
      </c>
    </row>
    <row r="39" spans="1:1" x14ac:dyDescent="0.35">
      <c r="A39">
        <f>_xlfn.F.DIST.RT(15.2069,6,4)</f>
        <v>9.9999569972373126E-3</v>
      </c>
    </row>
    <row r="40" spans="1:1" x14ac:dyDescent="0.35">
      <c r="A40">
        <f>FDIST(15.2069,6,4)</f>
        <v>9.9999569972373126E-3</v>
      </c>
    </row>
    <row r="41" spans="1:1" x14ac:dyDescent="0.35">
      <c r="A41">
        <f>_xlfn.F.INV(0.01,6,4)</f>
        <v>0.10930991412457855</v>
      </c>
    </row>
    <row r="42" spans="1:1" x14ac:dyDescent="0.35">
      <c r="A42">
        <f>_xlfn.F.INV.RT(0.01,6,4)</f>
        <v>15.206864861157531</v>
      </c>
    </row>
    <row r="43" spans="1:1" x14ac:dyDescent="0.35">
      <c r="A43">
        <f>FINV(0.01,6,4)</f>
        <v>15.206864861157531</v>
      </c>
    </row>
    <row r="44" spans="1:1" x14ac:dyDescent="0.35">
      <c r="A44">
        <f>_xlfn.BINOM.DIST(6,10,0.5,FALSE)</f>
        <v>0.20507812500000006</v>
      </c>
    </row>
    <row r="45" spans="1:1" x14ac:dyDescent="0.35">
      <c r="A45">
        <f>_xlfn.BINOM.DIST(6,10,0.5,TRUE)</f>
        <v>0.828125</v>
      </c>
    </row>
    <row r="46" spans="1:1" x14ac:dyDescent="0.35">
      <c r="A46">
        <f>BINOMDIST(6,10,0.5,FALSE)</f>
        <v>0.20507812500000006</v>
      </c>
    </row>
    <row r="47" spans="1:1" x14ac:dyDescent="0.35">
      <c r="A47">
        <f>_xlfn.BINOM.INV(6,0.5,0.75)</f>
        <v>4</v>
      </c>
    </row>
    <row r="48" spans="1:1" x14ac:dyDescent="0.35">
      <c r="A48">
        <f>CRITBINOM(6,0.5,0.75)</f>
        <v>4</v>
      </c>
    </row>
    <row r="49" spans="1:1" x14ac:dyDescent="0.35">
      <c r="A49">
        <f>_xlfn.BINOM.DIST.RANGE(60,0.75,48)</f>
        <v>8.3974967429047503E-2</v>
      </c>
    </row>
    <row r="50" spans="1:1" x14ac:dyDescent="0.35">
      <c r="A50">
        <f>_xlfn.BINOM.DIST.RANGE(60,0.75,45,50)</f>
        <v>0.52362979347188721</v>
      </c>
    </row>
    <row r="51" spans="1:1" x14ac:dyDescent="0.35">
      <c r="A51">
        <f>_xlfn.POISSON.DIST(2,5,TRUE)</f>
        <v>0.12465201948308113</v>
      </c>
    </row>
    <row r="52" spans="1:1" x14ac:dyDescent="0.35">
      <c r="A52">
        <f>_xlfn.POISSON.DIST(2,5,FALSE)</f>
        <v>8.4224337488568335E-2</v>
      </c>
    </row>
    <row r="53" spans="1:1" x14ac:dyDescent="0.35">
      <c r="A53">
        <f>POISSON(2,5,TRUE)</f>
        <v>0.12465201948308113</v>
      </c>
    </row>
    <row r="54" spans="1:1" x14ac:dyDescent="0.35">
      <c r="A54">
        <f>_xlfn.EXPON.DIST(0.2,10,TRUE)</f>
        <v>0.8646647167633873</v>
      </c>
    </row>
    <row r="55" spans="1:1" x14ac:dyDescent="0.35">
      <c r="A55">
        <f>_xlfn.EXPON.DIST(0.2,10,FALSE)</f>
        <v>1.353352832366127</v>
      </c>
    </row>
    <row r="56" spans="1:1" x14ac:dyDescent="0.35">
      <c r="A56">
        <f>EXPONDIST(0.2,10,TRUE)</f>
        <v>0.8646647167633873</v>
      </c>
    </row>
    <row r="57" spans="1:1" x14ac:dyDescent="0.35">
      <c r="A57">
        <f>_xlfn.GAMMA(2.5)</f>
        <v>1.329340388179137</v>
      </c>
    </row>
    <row r="58" spans="1:1" x14ac:dyDescent="0.35">
      <c r="A58">
        <f>_xlfn.GAMMA(-3.75)</f>
        <v>0.26786612886141664</v>
      </c>
    </row>
    <row r="59" spans="1:1" x14ac:dyDescent="0.35">
      <c r="A59" t="e">
        <f>_xlfn.GAMMA(0)</f>
        <v>#NUM!</v>
      </c>
    </row>
    <row r="60" spans="1:1" x14ac:dyDescent="0.35">
      <c r="A60">
        <f>GAMMALN(4)</f>
        <v>1.791759469228055</v>
      </c>
    </row>
    <row r="61" spans="1:1" x14ac:dyDescent="0.35">
      <c r="A61">
        <f>_xlfn.GAMMALN.PRECISE(4.5)</f>
        <v>2.4537365708424423</v>
      </c>
    </row>
    <row r="62" spans="1:1" x14ac:dyDescent="0.35">
      <c r="A62">
        <f>_xlfn.GAMMA.DIST(10.00001131,9,2,FALSE)</f>
        <v>3.2639130418294013E-2</v>
      </c>
    </row>
    <row r="63" spans="1:1" x14ac:dyDescent="0.35">
      <c r="A63">
        <f>_xlfn.GAMMA.DIST(10.00001131,9,2,TRUE)</f>
        <v>6.809400386978734E-2</v>
      </c>
    </row>
    <row r="64" spans="1:1" x14ac:dyDescent="0.35">
      <c r="A64">
        <f>GAMMADIST(10.00001131,9,2,TRUE)</f>
        <v>6.809400386978734E-2</v>
      </c>
    </row>
    <row r="65" spans="1:1" x14ac:dyDescent="0.35">
      <c r="A65">
        <f>_xlfn.GAMMA.INV(0.068094,9,2)</f>
        <v>10.00001119143718</v>
      </c>
    </row>
    <row r="66" spans="1:1" x14ac:dyDescent="0.35">
      <c r="A66">
        <f>GAMMAINV(0.068094,9,2)</f>
        <v>10.00001119143718</v>
      </c>
    </row>
    <row r="67" spans="1:1" x14ac:dyDescent="0.35">
      <c r="A67">
        <f>_xlfn.BETA.DIST(2,8,10,TRUE,1,3)</f>
        <v>0.68547058105468728</v>
      </c>
    </row>
    <row r="68" spans="1:1" x14ac:dyDescent="0.35">
      <c r="A68">
        <f>_xlfn.BETA.DIST(2,8,10,FALSE,1,3)</f>
        <v>1.4837646484375</v>
      </c>
    </row>
    <row r="69" spans="1:1" x14ac:dyDescent="0.35">
      <c r="A69">
        <f>BETADIST(2,8,10,1,3)</f>
        <v>0.68547058105468728</v>
      </c>
    </row>
    <row r="70" spans="1:1" x14ac:dyDescent="0.35">
      <c r="A70">
        <f>_xlfn.BETA.INV(0.685470581,8,10,1,3)</f>
        <v>1.9999999999631426</v>
      </c>
    </row>
    <row r="71" spans="1:1" x14ac:dyDescent="0.35">
      <c r="A71">
        <f>BETAINV(0.685470581,8,10,1,3)</f>
        <v>1.9999999999631426</v>
      </c>
    </row>
    <row r="72" spans="1:1" x14ac:dyDescent="0.35">
      <c r="A72">
        <f>_xlfn.LOGNORM.DIST(4,3.5,1.2,TRUE)</f>
        <v>3.9083555706800478E-2</v>
      </c>
    </row>
    <row r="73" spans="1:1" x14ac:dyDescent="0.35">
      <c r="A73">
        <f>_xlfn.LOGNORM.DIST(4,3.5,1.2,FALSE)</f>
        <v>1.7617596681819218E-2</v>
      </c>
    </row>
    <row r="74" spans="1:1" x14ac:dyDescent="0.35">
      <c r="A74">
        <f>LOGNORMDIST(4,3.5,1.2)</f>
        <v>3.9083555706800478E-2</v>
      </c>
    </row>
    <row r="75" spans="1:1" x14ac:dyDescent="0.35">
      <c r="A75">
        <f>_xlfn.LOGNORM.INV(0.039084,3.5,1.2)</f>
        <v>4.000025218680638</v>
      </c>
    </row>
    <row r="76" spans="1:1" x14ac:dyDescent="0.35">
      <c r="A76">
        <f>LOGINV(0.039084,3.5,1.2)</f>
        <v>4.000025218680638</v>
      </c>
    </row>
    <row r="77" spans="1:1" x14ac:dyDescent="0.35">
      <c r="A77">
        <f>_xlfn.WEIBULL.DIST(105,20,100,TRUE)</f>
        <v>0.92958139006927698</v>
      </c>
    </row>
    <row r="78" spans="1:1" x14ac:dyDescent="0.35">
      <c r="A78">
        <f>_xlfn.WEIBULL.DIST(105,20,100,FALSE)</f>
        <v>3.5588864024503564E-2</v>
      </c>
    </row>
    <row r="79" spans="1:1" x14ac:dyDescent="0.35">
      <c r="A79">
        <f>WEIBULL(105,20,100,TRUE)</f>
        <v>0.92958139006927698</v>
      </c>
    </row>
    <row r="80" spans="1:1" x14ac:dyDescent="0.35">
      <c r="A80">
        <f>_xlfn.HYPGEOM.DIST(1,4,8,20,TRUE)</f>
        <v>0.46542827657378727</v>
      </c>
    </row>
    <row r="81" spans="1:1" x14ac:dyDescent="0.35">
      <c r="A81">
        <f>_xlfn.HYPGEOM.DIST(1,4,8,20,FALSE)</f>
        <v>0.36326109391124861</v>
      </c>
    </row>
    <row r="82" spans="1:1" x14ac:dyDescent="0.35">
      <c r="A82">
        <f>HYPGEOMDIST(1,4,8,20)</f>
        <v>0.36326109391124861</v>
      </c>
    </row>
    <row r="83" spans="1:1" x14ac:dyDescent="0.35">
      <c r="A83">
        <f>_xlfn.NEGBINOM.DIST(10,5,0.25,TRUE)</f>
        <v>0.31351405847817665</v>
      </c>
    </row>
    <row r="84" spans="1:1" x14ac:dyDescent="0.35">
      <c r="A84">
        <f>_xlfn.NEGBINOM.DIST(10,5,0.25,FALSE)</f>
        <v>5.5048660375177853E-2</v>
      </c>
    </row>
    <row r="85" spans="1:1" x14ac:dyDescent="0.35">
      <c r="A85">
        <f>NEGBINOMDIST(10,5,0.25)</f>
        <v>5.5048660375177853E-2</v>
      </c>
    </row>
    <row r="86" spans="1:1" x14ac:dyDescent="0.35">
      <c r="A86">
        <f>CONFIDENCE(0.05,2.5,50)</f>
        <v>0.69295191217483865</v>
      </c>
    </row>
    <row r="87" spans="1:1" x14ac:dyDescent="0.35">
      <c r="A87">
        <f>_xlfn.CONFIDENCE.NORM(0.05,2.5,50)</f>
        <v>0.69295191217483865</v>
      </c>
    </row>
    <row r="88" spans="1:1" x14ac:dyDescent="0.35">
      <c r="A88">
        <f>_xlfn.CONFIDENCE.T(0.05,1,50)</f>
        <v>0.28419685549572982</v>
      </c>
    </row>
    <row r="89" spans="1:1" x14ac:dyDescent="0.35">
      <c r="A89">
        <f>FISHER(0.75)</f>
        <v>0.97295507452765662</v>
      </c>
    </row>
    <row r="90" spans="1:1" x14ac:dyDescent="0.35">
      <c r="A90">
        <f>FISHERINV(0.972955)</f>
        <v>0.74999996739414843</v>
      </c>
    </row>
    <row r="91" spans="1:1" x14ac:dyDescent="0.35">
      <c r="A91">
        <f>_xlfn.PHI(0.75)</f>
        <v>0.30113743215480443</v>
      </c>
    </row>
    <row r="92" spans="1:1" x14ac:dyDescent="0.35">
      <c r="A92">
        <f>_xlfn.GAUSS(2)</f>
        <v>0.47724986805182079</v>
      </c>
    </row>
    <row r="93" spans="1:1" x14ac:dyDescent="0.35">
      <c r="A93">
        <f>ERF(0.745)</f>
        <v>0.70792892009573771</v>
      </c>
    </row>
    <row r="94" spans="1:1" x14ac:dyDescent="0.35">
      <c r="A94">
        <f>ERF(1,2)</f>
        <v>0.15262147206923782</v>
      </c>
    </row>
    <row r="95" spans="1:1" x14ac:dyDescent="0.35">
      <c r="A95">
        <f>_xlfn.ERF.PRECISE(0.745)</f>
        <v>0.70792892009573771</v>
      </c>
    </row>
    <row r="96" spans="1:1" x14ac:dyDescent="0.35">
      <c r="A96">
        <f>ERFC(1)</f>
        <v>0.15729920705028513</v>
      </c>
    </row>
    <row r="97" spans="1:1" x14ac:dyDescent="0.35">
      <c r="A97">
        <f>_xlfn.ERFC.PRECISE(1)</f>
        <v>0.15729920705028513</v>
      </c>
    </row>
    <row r="98" spans="1:1" x14ac:dyDescent="0.35">
      <c r="A98">
        <f>_xlfn.T.TEST(Stats!A1:A10,Stats!B1:B10,2,1)</f>
        <v>7.4224986245317726E-5</v>
      </c>
    </row>
    <row r="99" spans="1:1" x14ac:dyDescent="0.35">
      <c r="A99">
        <f>_xlfn.T.TEST(Stats!A1:A10,Stats!B1:B10,2,2)</f>
        <v>9.7233492112988606E-4</v>
      </c>
    </row>
    <row r="100" spans="1:1" x14ac:dyDescent="0.35">
      <c r="A100">
        <f>_xlfn.T.TEST(Stats!A1:A10,Stats!B1:B10,1,3)</f>
        <v>1.0409939975289941E-3</v>
      </c>
    </row>
    <row r="101" spans="1:1" x14ac:dyDescent="0.35">
      <c r="A101">
        <f>TTEST(Stats!A1:A10,Stats!B1:B10,2,2)</f>
        <v>9.7233492112988606E-4</v>
      </c>
    </row>
    <row r="102" spans="1:1" x14ac:dyDescent="0.35">
      <c r="A102">
        <f>_xlfn.F.TEST(Stats!A1:A10,Stats!B1:B10)</f>
        <v>1.003813686764572E-2</v>
      </c>
    </row>
    <row r="103" spans="1:1" x14ac:dyDescent="0.35">
      <c r="A103">
        <f>_xlfn.Z.TEST(Stats!A1:A10,4)</f>
        <v>8.4442175537851966E-2</v>
      </c>
    </row>
    <row r="104" spans="1:1" x14ac:dyDescent="0.35">
      <c r="A104">
        <f>_xlfn.Z.TEST(Stats!A1:A10,4,2)</f>
        <v>1.6187278591722431E-2</v>
      </c>
    </row>
    <row r="105" spans="1:1" x14ac:dyDescent="0.35">
      <c r="A105">
        <f>_xlfn.CHISQ.TEST(Stats!A1:B3,Stats!C1:D3)</f>
        <v>8.6048257928219214E-19</v>
      </c>
    </row>
    <row r="106" spans="1:1" x14ac:dyDescent="0.35">
      <c r="A106">
        <f>_xlfn.PERMUTATIONA(3,2)</f>
        <v>9</v>
      </c>
    </row>
    <row r="107" spans="1:1" x14ac:dyDescent="0.35">
      <c r="A107">
        <f>_xlfn.COMBINA(4,3)</f>
        <v>20</v>
      </c>
    </row>
    <row r="108" spans="1:1" x14ac:dyDescent="0.35">
      <c r="A108">
        <f>MULTINOMIAL(2,3,4)</f>
        <v>1259.9999999999991</v>
      </c>
    </row>
    <row r="109" spans="1:1" x14ac:dyDescent="0.35">
      <c r="A109">
        <f>SERIESSUM(PI()/4,0,2,{1,-0.5,0.041666667,-0.001388889})</f>
        <v>0.70710321492360106</v>
      </c>
    </row>
    <row r="110" spans="1:1" x14ac:dyDescent="0.35">
      <c r="A110">
        <f>_xlfn.GAMMA(171)</f>
        <v>7.2574156153080003E+306</v>
      </c>
    </row>
    <row r="111" spans="1:1" x14ac:dyDescent="0.35">
      <c r="A111" t="e">
        <f>_xlfn.GAMMA(172)</f>
        <v>#NUM!</v>
      </c>
    </row>
    <row r="112" spans="1:1" x14ac:dyDescent="0.35">
      <c r="A112">
        <f>_xlfn.NORM.S.DIST(38,TRUE)</f>
        <v>1</v>
      </c>
    </row>
    <row r="113" spans="1:1" x14ac:dyDescent="0.35">
      <c r="A113">
        <f>_xlfn.NORM.S.INV(0.02425)</f>
        <v>-1.9729610513118845</v>
      </c>
    </row>
    <row r="114" spans="1:1" x14ac:dyDescent="0.35">
      <c r="A114">
        <f>_xlfn.T.DIST(0.5,1.5,TRUE)</f>
        <v>0.64758361765043326</v>
      </c>
    </row>
    <row r="115" spans="1:1" x14ac:dyDescent="0.35">
      <c r="A115">
        <f>_xlfn.CHISQ.DIST(3,2.5,TRUE)</f>
        <v>0.77686983985157021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D6F0-687B-4160-862C-DD26725BA56E}">
  <dimension ref="A1:A46"/>
  <sheetViews>
    <sheetView workbookViewId="0"/>
  </sheetViews>
  <sheetFormatPr defaultRowHeight="14.5" x14ac:dyDescent="0.35"/>
  <sheetData>
    <row r="1" spans="1:1" x14ac:dyDescent="0.35">
      <c r="A1">
        <f>CORREL(Stats!A1:A20,Stats!B1:B20)</f>
        <v>0.99676092029176266</v>
      </c>
    </row>
    <row r="2" spans="1:1" x14ac:dyDescent="0.35">
      <c r="A2">
        <f>PEARSON(Stats!A1:A20,Stats!B1:B20)</f>
        <v>0.99676092029176266</v>
      </c>
    </row>
    <row r="3" spans="1:1" x14ac:dyDescent="0.35">
      <c r="A3">
        <f>RSQ(Stats!B1:B20,Stats!A1:A20)</f>
        <v>0.99353233222088166</v>
      </c>
    </row>
    <row r="4" spans="1:1" x14ac:dyDescent="0.35">
      <c r="A4">
        <f>SLOPE(Stats!B1:B20,Stats!A1:A20)</f>
        <v>2.5761624343839156</v>
      </c>
    </row>
    <row r="5" spans="1:1" x14ac:dyDescent="0.35">
      <c r="A5">
        <f>INTERCEPT(Stats!B1:B20,Stats!A1:A20)</f>
        <v>2.2938429625106629</v>
      </c>
    </row>
    <row r="6" spans="1:1" x14ac:dyDescent="0.35">
      <c r="A6">
        <f>STEYX(Stats!B1:B20,Stats!A1:A20)</f>
        <v>1.2704211473613758</v>
      </c>
    </row>
    <row r="7" spans="1:1" x14ac:dyDescent="0.35">
      <c r="A7">
        <f>FORECAST(30,Stats!B1:B20,Stats!A1:A20)</f>
        <v>79.57871599402813</v>
      </c>
    </row>
    <row r="8" spans="1:1" x14ac:dyDescent="0.35">
      <c r="A8">
        <f>_xlfn.FORECAST.LINEAR(30,Stats!B1:B20,Stats!A1:A20)</f>
        <v>79.57871599402813</v>
      </c>
    </row>
    <row r="9" spans="1:1" x14ac:dyDescent="0.35">
      <c r="A9">
        <f>COVAR(Stats!A1:A20,Stats!B1:B20)</f>
        <v>86.616174015000013</v>
      </c>
    </row>
    <row r="10" spans="1:1" x14ac:dyDescent="0.35">
      <c r="A10">
        <f>_xlfn.COVARIANCE.P(Stats!A1:A20,Stats!B1:B20)</f>
        <v>86.616174015000013</v>
      </c>
    </row>
    <row r="11" spans="1:1" x14ac:dyDescent="0.35">
      <c r="A11">
        <f>_xlfn.COVARIANCE.S(Stats!A1:A20,Stats!B1:B20)</f>
        <v>91.174920015789482</v>
      </c>
    </row>
    <row r="12" spans="1:1" x14ac:dyDescent="0.35">
      <c r="A12">
        <f>PERCENTILE(Stats!A1:A20,0.3)</f>
        <v>6.8475000000000001</v>
      </c>
    </row>
    <row r="13" spans="1:1" x14ac:dyDescent="0.35">
      <c r="A13">
        <f>_xlfn.PERCENTILE.INC(Stats!A1:A20,0.3)</f>
        <v>6.8475000000000001</v>
      </c>
    </row>
    <row r="14" spans="1:1" x14ac:dyDescent="0.35">
      <c r="A14">
        <f>_xlfn.PERCENTILE.EXC(Stats!A1:A20,0.3)</f>
        <v>6.1974999999999998</v>
      </c>
    </row>
    <row r="15" spans="1:1" x14ac:dyDescent="0.35">
      <c r="A15" t="e">
        <f>_xlfn.PERCENTILE.EXC(Stats!A1:A20,0.01)</f>
        <v>#NUM!</v>
      </c>
    </row>
    <row r="16" spans="1:1" x14ac:dyDescent="0.35">
      <c r="A16">
        <f>QUARTILE(Stats!A1:A20,1)</f>
        <v>5.4889999999999999</v>
      </c>
    </row>
    <row r="17" spans="1:1" x14ac:dyDescent="0.35">
      <c r="A17">
        <f>_xlfn.QUARTILE.INC(Stats!A1:A20,3)</f>
        <v>14.878</v>
      </c>
    </row>
    <row r="18" spans="1:1" x14ac:dyDescent="0.35">
      <c r="A18">
        <f>_xlfn.QUARTILE.EXC(Stats!A1:A20,1)</f>
        <v>5.0469999999999997</v>
      </c>
    </row>
    <row r="19" spans="1:1" x14ac:dyDescent="0.35">
      <c r="A19">
        <f>PERCENTRANK(Stats!A1:A20,7)</f>
        <v>0.30399999999999999</v>
      </c>
    </row>
    <row r="20" spans="1:1" x14ac:dyDescent="0.35">
      <c r="A20">
        <f>_xlfn.PERCENTRANK.INC(Stats!A1:A20,7.5)</f>
        <v>0.34100000000000003</v>
      </c>
    </row>
    <row r="21" spans="1:1" x14ac:dyDescent="0.35">
      <c r="A21">
        <f>_xlfn.PERCENTRANK.EXC(Stats!A1:A20,7.5)</f>
        <v>0.35599999999999998</v>
      </c>
    </row>
    <row r="22" spans="1:1" x14ac:dyDescent="0.35">
      <c r="A22">
        <f>PERCENTRANK(Stats!A1:A20,7.5,5)</f>
        <v>0.34133000000000002</v>
      </c>
    </row>
    <row r="23" spans="1:1" x14ac:dyDescent="0.35">
      <c r="A23">
        <f>TRIMMEAN(Stats!A1:A20,0.2)</f>
        <v>10.356624999999999</v>
      </c>
    </row>
    <row r="24" spans="1:1" x14ac:dyDescent="0.35">
      <c r="A24">
        <f>KURT(Stats!A1:A20)</f>
        <v>-1.1710554162074978</v>
      </c>
    </row>
    <row r="25" spans="1:1" x14ac:dyDescent="0.35">
      <c r="A25">
        <f>SKEW(Stats!A1:A20)</f>
        <v>-5.9699146906625001E-3</v>
      </c>
    </row>
    <row r="26" spans="1:1" x14ac:dyDescent="0.35">
      <c r="A26">
        <f>_xlfn.SKEW.P(Stats!A1:A20)</f>
        <v>-5.5125029127736092E-3</v>
      </c>
    </row>
    <row r="27" spans="1:1" x14ac:dyDescent="0.35">
      <c r="A27">
        <f>INDEX(FREQUENCY(Stats!A1:A20,{5,10,15}),2)</f>
        <v>5</v>
      </c>
    </row>
    <row r="28" spans="1:1" x14ac:dyDescent="0.35">
      <c r="A28">
        <f>SUM(FREQUENCY(Stats!A1:A20,{5,10,15}))</f>
        <v>20</v>
      </c>
    </row>
    <row r="29" spans="1:1" x14ac:dyDescent="0.35">
      <c r="A29">
        <f>INDEX(_xlfn.MODE.MULT(1,2,2,3,3),2)</f>
        <v>3</v>
      </c>
    </row>
    <row r="30" spans="1:1" x14ac:dyDescent="0.35">
      <c r="A30">
        <f>PROB({0,1,2,3},{0.2,0.3,0.1,0.4},2)</f>
        <v>0.1</v>
      </c>
    </row>
    <row r="31" spans="1:1" x14ac:dyDescent="0.35">
      <c r="A31">
        <f>PROB({0,1,2,3},{0.2,0.3,0.1,0.4},1,3)</f>
        <v>0.8</v>
      </c>
    </row>
    <row r="32" spans="1:1" x14ac:dyDescent="0.35">
      <c r="A32">
        <f>INDEX(LINEST(Stats!B1:B20,Stats!A1:A20),1)</f>
        <v>2.5761624343839151</v>
      </c>
    </row>
    <row r="33" spans="1:1" x14ac:dyDescent="0.35">
      <c r="A33">
        <f>INDEX(LINEST(Stats!B1:B20,Stats!A1:A20,TRUE,TRUE),3,1)</f>
        <v>0.99353233222088144</v>
      </c>
    </row>
    <row r="34" spans="1:1" x14ac:dyDescent="0.35">
      <c r="A34">
        <f>INDEX(TREND(Stats!B1:B20,Stats!A1:A20,{21;22}),2)</f>
        <v>58.969416518956805</v>
      </c>
    </row>
    <row r="35" spans="1:1" x14ac:dyDescent="0.35">
      <c r="A35">
        <f>INDEX(GROWTH(Stats!C1:C10,Stats!A1:A10,{11}),1)</f>
        <v>16.790386380760381</v>
      </c>
    </row>
    <row r="36" spans="1:1" x14ac:dyDescent="0.35">
      <c r="A36">
        <f>INDEX(LOGEST(Stats!C1:C10,Stats!A1:A10),1)</f>
        <v>1.2811187801539419</v>
      </c>
    </row>
    <row r="37" spans="1:1" x14ac:dyDescent="0.35">
      <c r="A37">
        <f>_xlfn.RANK.EQ(Stats!A5,Stats!A1:A20)</f>
        <v>16</v>
      </c>
    </row>
    <row r="38" spans="1:1" x14ac:dyDescent="0.35">
      <c r="A38">
        <f>_xlfn.RANK.AVG(Stats!A5,Stats!A1:A20)</f>
        <v>16</v>
      </c>
    </row>
    <row r="39" spans="1:1" x14ac:dyDescent="0.35">
      <c r="A39">
        <f>AVEDEV(Stats!A1:A20)</f>
        <v>5.0006500000000003</v>
      </c>
    </row>
    <row r="40" spans="1:1" x14ac:dyDescent="0.35">
      <c r="A40">
        <f>DEVSQ(Stats!A1:A20)</f>
        <v>672.44342095000002</v>
      </c>
    </row>
    <row r="41" spans="1:1" x14ac:dyDescent="0.35">
      <c r="A41">
        <f>MEDIAN(Stats!A1:A20)</f>
        <v>10.238</v>
      </c>
    </row>
    <row r="42" spans="1:1" x14ac:dyDescent="0.35">
      <c r="A42" t="e">
        <f>_xlfn.MODE.SNGL(Stats!A1:A20)</f>
        <v>#N/A</v>
      </c>
    </row>
    <row r="43" spans="1:1" x14ac:dyDescent="0.35">
      <c r="A43">
        <f>_xlfn.STDEV.S(Stats!A1:A20)</f>
        <v>5.9490973262645834</v>
      </c>
    </row>
    <row r="44" spans="1:1" x14ac:dyDescent="0.35">
      <c r="A44">
        <f>_xlfn.VAR.P(Stats!A1:A20)</f>
        <v>33.622171047499997</v>
      </c>
    </row>
    <row r="45" spans="1:1" x14ac:dyDescent="0.35">
      <c r="A45">
        <f>GEOMEAN(Stats!A1:A10)</f>
        <v>4.2607206441620793</v>
      </c>
    </row>
    <row r="46" spans="1:1" x14ac:dyDescent="0.35">
      <c r="A46">
        <f>HARMEAN(Stats!A1:A10)</f>
        <v>2.9902298237054308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ABB9-08B4-448C-95C4-89F3A6B6AEB6}">
  <dimension ref="A1:A75"/>
  <sheetViews>
    <sheetView workbookViewId="0"/>
  </sheetViews>
  <sheetFormatPr defaultRowHeight="14.5" x14ac:dyDescent="0.35"/>
  <sheetData>
    <row r="1" spans="1:1" x14ac:dyDescent="0.35">
      <c r="A1" t="str">
        <f>DEC2BIN(9,4)</f>
        <v>1001</v>
      </c>
    </row>
    <row r="2" spans="1:1" x14ac:dyDescent="0.35">
      <c r="A2" t="str">
        <f>DEC2BIN(-100)</f>
        <v>1110011100</v>
      </c>
    </row>
    <row r="3" spans="1:1" x14ac:dyDescent="0.35">
      <c r="A3" t="e">
        <f>DEC2BIN(512)</f>
        <v>#NUM!</v>
      </c>
    </row>
    <row r="4" spans="1:1" x14ac:dyDescent="0.35">
      <c r="A4" t="str">
        <f>DEC2OCT(58,3)</f>
        <v>072</v>
      </c>
    </row>
    <row r="5" spans="1:1" x14ac:dyDescent="0.35">
      <c r="A5" t="str">
        <f>DEC2OCT(-100)</f>
        <v>7777777634</v>
      </c>
    </row>
    <row r="6" spans="1:1" x14ac:dyDescent="0.35">
      <c r="A6" t="str">
        <f>DEC2HEX(100,4)</f>
        <v>0064</v>
      </c>
    </row>
    <row r="7" spans="1:1" x14ac:dyDescent="0.35">
      <c r="A7" t="str">
        <f>DEC2HEX(-54)</f>
        <v>FFFFFFFFCA</v>
      </c>
    </row>
    <row r="8" spans="1:1" x14ac:dyDescent="0.35">
      <c r="A8">
        <f>BIN2DEC(1100100)</f>
        <v>100</v>
      </c>
    </row>
    <row r="9" spans="1:1" x14ac:dyDescent="0.35">
      <c r="A9">
        <f>BIN2DEC(1111111111)</f>
        <v>-1</v>
      </c>
    </row>
    <row r="10" spans="1:1" x14ac:dyDescent="0.35">
      <c r="A10" t="str">
        <f>BIN2OCT(1001,3)</f>
        <v>011</v>
      </c>
    </row>
    <row r="11" spans="1:1" x14ac:dyDescent="0.35">
      <c r="A11" t="str">
        <f>BIN2HEX(11111011,4)</f>
        <v>00FB</v>
      </c>
    </row>
    <row r="12" spans="1:1" x14ac:dyDescent="0.35">
      <c r="A12">
        <f>OCT2DEC(54)</f>
        <v>44</v>
      </c>
    </row>
    <row r="13" spans="1:1" x14ac:dyDescent="0.35">
      <c r="A13">
        <f>OCT2DEC(7777777533)</f>
        <v>-165</v>
      </c>
    </row>
    <row r="14" spans="1:1" x14ac:dyDescent="0.35">
      <c r="A14" t="str">
        <f>OCT2BIN(3,3)</f>
        <v>011</v>
      </c>
    </row>
    <row r="15" spans="1:1" x14ac:dyDescent="0.35">
      <c r="A15" t="str">
        <f>OCT2HEX(100,4)</f>
        <v>0040</v>
      </c>
    </row>
    <row r="16" spans="1:1" x14ac:dyDescent="0.35">
      <c r="A16">
        <f>HEX2DEC("A5")</f>
        <v>165</v>
      </c>
    </row>
    <row r="17" spans="1:1" x14ac:dyDescent="0.35">
      <c r="A17">
        <f>HEX2DEC("FFFFFFFF5B")</f>
        <v>-165</v>
      </c>
    </row>
    <row r="18" spans="1:1" x14ac:dyDescent="0.35">
      <c r="A18" t="str">
        <f>HEX2BIN("F",8)</f>
        <v>00001111</v>
      </c>
    </row>
    <row r="19" spans="1:1" x14ac:dyDescent="0.35">
      <c r="A19" t="str">
        <f>HEX2OCT("F",3)</f>
        <v>017</v>
      </c>
    </row>
    <row r="20" spans="1:1" x14ac:dyDescent="0.35">
      <c r="A20">
        <f>_xlfn.BITAND(1,5)</f>
        <v>1</v>
      </c>
    </row>
    <row r="21" spans="1:1" x14ac:dyDescent="0.35">
      <c r="A21">
        <f>_xlfn.BITOR(23,10)</f>
        <v>31</v>
      </c>
    </row>
    <row r="22" spans="1:1" x14ac:dyDescent="0.35">
      <c r="A22">
        <f>_xlfn.BITXOR(5,3)</f>
        <v>6</v>
      </c>
    </row>
    <row r="23" spans="1:1" x14ac:dyDescent="0.35">
      <c r="A23">
        <f>_xlfn.BITLSHIFT(4,2)</f>
        <v>16</v>
      </c>
    </row>
    <row r="24" spans="1:1" x14ac:dyDescent="0.35">
      <c r="A24">
        <f>_xlfn.BITRSHIFT(13,2)</f>
        <v>3</v>
      </c>
    </row>
    <row r="25" spans="1:1" x14ac:dyDescent="0.35">
      <c r="A25">
        <f>DELTA(5,4)</f>
        <v>0</v>
      </c>
    </row>
    <row r="26" spans="1:1" x14ac:dyDescent="0.35">
      <c r="A26">
        <f>DELTA(5,5)</f>
        <v>1</v>
      </c>
    </row>
    <row r="27" spans="1:1" x14ac:dyDescent="0.35">
      <c r="A27">
        <f>GESTEP(5,4)</f>
        <v>1</v>
      </c>
    </row>
    <row r="28" spans="1:1" x14ac:dyDescent="0.35">
      <c r="A28">
        <f>GESTEP(-4,-5)</f>
        <v>1</v>
      </c>
    </row>
    <row r="29" spans="1:1" x14ac:dyDescent="0.35">
      <c r="A29" t="str">
        <f>_xlfn.BASE(7,2)</f>
        <v>111</v>
      </c>
    </row>
    <row r="30" spans="1:1" x14ac:dyDescent="0.35">
      <c r="A30" t="str">
        <f>_xlfn.BASE(100,16,4)</f>
        <v>0064</v>
      </c>
    </row>
    <row r="31" spans="1:1" x14ac:dyDescent="0.35">
      <c r="A31">
        <f>_xlfn.DECIMAL("FF",16)</f>
        <v>255</v>
      </c>
    </row>
    <row r="32" spans="1:1" x14ac:dyDescent="0.35">
      <c r="A32">
        <f>_xlfn.DECIMAL("111",2)</f>
        <v>7</v>
      </c>
    </row>
    <row r="33" spans="1:1" x14ac:dyDescent="0.35">
      <c r="A33" t="str">
        <f>ROMAN(499)</f>
        <v>CDXCIX</v>
      </c>
    </row>
    <row r="34" spans="1:1" x14ac:dyDescent="0.35">
      <c r="A34" t="str">
        <f>ROMAN(499,1)</f>
        <v>LDVLIV</v>
      </c>
    </row>
    <row r="35" spans="1:1" x14ac:dyDescent="0.35">
      <c r="A35" t="str">
        <f>ROMAN(499,4)</f>
        <v>ID</v>
      </c>
    </row>
    <row r="36" spans="1:1" x14ac:dyDescent="0.35">
      <c r="A36">
        <f>_xlfn.ARABIC("LVII")</f>
        <v>57</v>
      </c>
    </row>
    <row r="37" spans="1:1" x14ac:dyDescent="0.35">
      <c r="A37">
        <f>_xlfn.ARABIC("mcmxii")</f>
        <v>1912</v>
      </c>
    </row>
    <row r="38" spans="1:1" x14ac:dyDescent="0.35">
      <c r="A38">
        <f>CONVERT(1,"lbm","kg")</f>
        <v>0.45359237000000002</v>
      </c>
    </row>
    <row r="39" spans="1:1" x14ac:dyDescent="0.35">
      <c r="A39">
        <f>CONVERT(68,"F","C")</f>
        <v>20</v>
      </c>
    </row>
    <row r="40" spans="1:1" x14ac:dyDescent="0.35">
      <c r="A40" t="e">
        <f>CONVERT(2.5,"ft","sec")</f>
        <v>#N/A</v>
      </c>
    </row>
    <row r="41" spans="1:1" x14ac:dyDescent="0.35">
      <c r="A41">
        <f>CONVERT(6,"tsp","tbs")</f>
        <v>2</v>
      </c>
    </row>
    <row r="42" spans="1:1" x14ac:dyDescent="0.35">
      <c r="A42">
        <f>CONVERT(1,"mi","km")</f>
        <v>1.6093440000000001</v>
      </c>
    </row>
    <row r="43" spans="1:1" x14ac:dyDescent="0.35">
      <c r="A43">
        <f>CONVERT(100,"kW","W")</f>
        <v>100000</v>
      </c>
    </row>
    <row r="44" spans="1:1" x14ac:dyDescent="0.35">
      <c r="A44">
        <f>CONVERT(1,"hr","mn")</f>
        <v>60</v>
      </c>
    </row>
    <row r="45" spans="1:1" x14ac:dyDescent="0.35">
      <c r="A45">
        <f>CONVERT(1,"in","cm")</f>
        <v>2.54</v>
      </c>
    </row>
    <row r="46" spans="1:1" x14ac:dyDescent="0.35">
      <c r="A46">
        <f>CONVERT(1,"gal","l")</f>
        <v>3.7854117839999999</v>
      </c>
    </row>
    <row r="47" spans="1:1" x14ac:dyDescent="0.35">
      <c r="A47">
        <f>CONVERT(1,"atm","Pa")</f>
        <v>101325</v>
      </c>
    </row>
    <row r="48" spans="1:1" x14ac:dyDescent="0.35">
      <c r="A48" t="str">
        <f>COMPLEX(3,4)</f>
        <v>3+4i</v>
      </c>
    </row>
    <row r="49" spans="1:1" x14ac:dyDescent="0.35">
      <c r="A49" t="str">
        <f>COMPLEX(3,4,"j")</f>
        <v>3+4j</v>
      </c>
    </row>
    <row r="50" spans="1:1" x14ac:dyDescent="0.35">
      <c r="A50" t="str">
        <f>COMPLEX(0,1)</f>
        <v>i</v>
      </c>
    </row>
    <row r="51" spans="1:1" x14ac:dyDescent="0.35">
      <c r="A51" t="str">
        <f>COMPLEX(0,-1)</f>
        <v>-i</v>
      </c>
    </row>
    <row r="52" spans="1:1" x14ac:dyDescent="0.35">
      <c r="A52">
        <f>IMABS("5+12i")</f>
        <v>13</v>
      </c>
    </row>
    <row r="53" spans="1:1" x14ac:dyDescent="0.35">
      <c r="A53">
        <f>IMREAL("6-9i")</f>
        <v>6</v>
      </c>
    </row>
    <row r="54" spans="1:1" x14ac:dyDescent="0.35">
      <c r="A54">
        <f>IMAGINARY("3+4i")</f>
        <v>4</v>
      </c>
    </row>
    <row r="55" spans="1:1" x14ac:dyDescent="0.35">
      <c r="A55">
        <f>IMARGUMENT("3+4i")</f>
        <v>0.92729521800161219</v>
      </c>
    </row>
    <row r="56" spans="1:1" x14ac:dyDescent="0.35">
      <c r="A56" t="str">
        <f>IMCONJUGATE("3+4i")</f>
        <v>3-4i</v>
      </c>
    </row>
    <row r="57" spans="1:1" x14ac:dyDescent="0.35">
      <c r="A57" t="str">
        <f>IMSUM("3+4i","5-3i")</f>
        <v>8+i</v>
      </c>
    </row>
    <row r="58" spans="1:1" x14ac:dyDescent="0.35">
      <c r="A58" t="str">
        <f>IMSUB("13+4i","5+3i")</f>
        <v>8+i</v>
      </c>
    </row>
    <row r="59" spans="1:1" x14ac:dyDescent="0.35">
      <c r="A59" t="str">
        <f>IMPRODUCT("3+4i","5-3i")</f>
        <v>27+11i</v>
      </c>
    </row>
    <row r="60" spans="1:1" x14ac:dyDescent="0.35">
      <c r="A60" t="str">
        <f>IMDIV("-238+240i","10+24i")</f>
        <v>5+12i</v>
      </c>
    </row>
    <row r="61" spans="1:1" x14ac:dyDescent="0.35">
      <c r="A61" t="str">
        <f>IMPOWER("2+3i",3)</f>
        <v>-46+9.00000000000001i</v>
      </c>
    </row>
    <row r="62" spans="1:1" x14ac:dyDescent="0.35">
      <c r="A62" t="str">
        <f>IMSQRT("1+i")</f>
        <v>1.09868411346781+0.455089860562227i</v>
      </c>
    </row>
    <row r="63" spans="1:1" x14ac:dyDescent="0.35">
      <c r="A63" t="str">
        <f>IMEXP("1+i")</f>
        <v>1.46869393991589+2.28735528717884i</v>
      </c>
    </row>
    <row r="64" spans="1:1" x14ac:dyDescent="0.35">
      <c r="A64" t="str">
        <f>IMLN("3+4i")</f>
        <v>1.6094379124341+0.927295218001612i</v>
      </c>
    </row>
    <row r="65" spans="1:1" x14ac:dyDescent="0.35">
      <c r="A65" t="str">
        <f>IMLOG10("3+4i")</f>
        <v>0.698970004336019+0.402719196273373i</v>
      </c>
    </row>
    <row r="66" spans="1:1" x14ac:dyDescent="0.35">
      <c r="A66" t="str">
        <f>IMLOG2("3+4i")</f>
        <v>2.32192809488736+1.33780421245098i</v>
      </c>
    </row>
    <row r="67" spans="1:1" x14ac:dyDescent="0.35">
      <c r="A67" t="str">
        <f>IMSIN("4+3i")</f>
        <v>-7.61923172032141-6.548120040911i</v>
      </c>
    </row>
    <row r="68" spans="1:1" x14ac:dyDescent="0.35">
      <c r="A68" t="str">
        <f>IMCOS("1+i")</f>
        <v>0.833730025131149-0.988897705762865i</v>
      </c>
    </row>
    <row r="69" spans="1:1" x14ac:dyDescent="0.35">
      <c r="A69" t="str">
        <f>_xlfn.IMTAN("4+3i")</f>
        <v>0.00490825806749606+1.00070953606723i</v>
      </c>
    </row>
    <row r="70" spans="1:1" x14ac:dyDescent="0.35">
      <c r="A70">
        <f>BESSELJ(1.9,2)</f>
        <v>0.3299258286697852</v>
      </c>
    </row>
    <row r="71" spans="1:1" x14ac:dyDescent="0.35">
      <c r="A71">
        <f>BESSELY(2.5,1)</f>
        <v>0.14591813750831284</v>
      </c>
    </row>
    <row r="72" spans="1:1" x14ac:dyDescent="0.35">
      <c r="A72">
        <f>BESSELI(1.5,1)</f>
        <v>0.98166642847516605</v>
      </c>
    </row>
    <row r="73" spans="1:1" x14ac:dyDescent="0.35">
      <c r="A73">
        <f>BESSELK(1.5,1)</f>
        <v>0.27738780363225868</v>
      </c>
    </row>
    <row r="74" spans="1:1" x14ac:dyDescent="0.35">
      <c r="A74">
        <f>ERF(0,1)</f>
        <v>0.84270079294971489</v>
      </c>
    </row>
    <row r="75" spans="1:1" x14ac:dyDescent="0.35">
      <c r="A75">
        <f>ERFC(-1)</f>
        <v>1.8427007929497148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0E53-985C-4187-B05F-6DF327D78E21}">
  <dimension ref="A1:A11"/>
  <sheetViews>
    <sheetView workbookViewId="0"/>
  </sheetViews>
  <sheetFormatPr defaultRowHeight="14.5" x14ac:dyDescent="0.35"/>
  <sheetData>
    <row r="1" spans="1:1" x14ac:dyDescent="0.35">
      <c r="A1">
        <f>MDETERM({1,3,8,5;1,3,6,1;1,1,1,0;7,3,10,2})</f>
        <v>87.999999999999972</v>
      </c>
    </row>
    <row r="2" spans="1:1" x14ac:dyDescent="0.35">
      <c r="A2">
        <f>MDETERM({3,6;1,1})</f>
        <v>-3</v>
      </c>
    </row>
    <row r="3" spans="1:1" x14ac:dyDescent="0.35">
      <c r="A3">
        <f>INDEX(MINVERSE({4,-1;2,0}),1,2)</f>
        <v>0.5</v>
      </c>
    </row>
    <row r="4" spans="1:1" x14ac:dyDescent="0.35">
      <c r="A4">
        <f>INDEX(MINVERSE({1,2,1;3,4,-1;0,2,0}),2,3)</f>
        <v>0.5</v>
      </c>
    </row>
    <row r="5" spans="1:1" x14ac:dyDescent="0.35">
      <c r="A5">
        <f>INDEX(MMULT({1,3;7,2},{2,0;0,2}),2,1)</f>
        <v>14</v>
      </c>
    </row>
    <row r="6" spans="1:1" x14ac:dyDescent="0.35">
      <c r="A6">
        <f>SUM(_xlfn.MUNIT(3))</f>
        <v>3</v>
      </c>
    </row>
    <row r="7" spans="1:1" x14ac:dyDescent="0.35">
      <c r="A7">
        <f>INDEX(TRANSPOSE({1,2,3}),2)</f>
        <v>2</v>
      </c>
    </row>
    <row r="8" spans="1:1" x14ac:dyDescent="0.35">
      <c r="A8">
        <f>SUMPRODUCT(MMULT({1,2},{3;4}))</f>
        <v>11</v>
      </c>
    </row>
    <row r="9" spans="1:1" x14ac:dyDescent="0.35">
      <c r="A9">
        <f>MDETERM({1,2;2,4})</f>
        <v>0</v>
      </c>
    </row>
    <row r="10" spans="1:1" x14ac:dyDescent="0.35">
      <c r="A10" t="e">
        <f>MINVERSE({1,2;2,4})</f>
        <v>#NUM!</v>
      </c>
    </row>
    <row r="11" spans="1:1" x14ac:dyDescent="0.35">
      <c r="A11">
        <f>INDEX(MMULT(Stats!A1:B2,Stats!A1:B2),2,2)</f>
        <v>37.015279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992-B829-4391-A496-B9B8FDC7A1D6}">
  <dimension ref="A1:A18"/>
  <sheetViews>
    <sheetView workbookViewId="0"/>
  </sheetViews>
  <sheetFormatPr defaultRowHeight="14.5" x14ac:dyDescent="0.35"/>
  <sheetData>
    <row r="1" spans="1:1" x14ac:dyDescent="0.35">
      <c r="A1">
        <f>DSUM(Db!A1:E11,"Profit",Db!G1:H2)</f>
        <v>246</v>
      </c>
    </row>
    <row r="2" spans="1:1" x14ac:dyDescent="0.35">
      <c r="A2">
        <f>DSUM(Db!A1:E11,5,Db!G1:H2)</f>
        <v>246</v>
      </c>
    </row>
    <row r="3" spans="1:1" x14ac:dyDescent="0.35">
      <c r="A3">
        <f>DAVERAGE(Db!A1:E11,"Yield",Db!G1:G2)</f>
        <v>9.75</v>
      </c>
    </row>
    <row r="4" spans="1:1" x14ac:dyDescent="0.35">
      <c r="A4">
        <f>DCOUNT(Db!A1:E11,"Age",Db!G1:H2)</f>
        <v>3</v>
      </c>
    </row>
    <row r="5" spans="1:1" x14ac:dyDescent="0.35">
      <c r="A5">
        <f>DCOUNTA(Db!A1:E11,"Profit",Db!G1:H2)</f>
        <v>3</v>
      </c>
    </row>
    <row r="6" spans="1:1" x14ac:dyDescent="0.35">
      <c r="A6">
        <f>DGET(Db!A1:E11,"Yield",Db!J1:J2)</f>
        <v>10</v>
      </c>
    </row>
    <row r="7" spans="1:1" x14ac:dyDescent="0.35">
      <c r="A7" t="e">
        <f>DGET(Db!A1:E11,"Yield",Db!G1:G2)</f>
        <v>#NUM!</v>
      </c>
    </row>
    <row r="8" spans="1:1" x14ac:dyDescent="0.35">
      <c r="A8">
        <f>DMAX(Db!A1:E11,"Profit",Db!G1:G3)</f>
        <v>105</v>
      </c>
    </row>
    <row r="9" spans="1:1" x14ac:dyDescent="0.35">
      <c r="A9">
        <f>DMIN(Db!A1:E11,"Profit",Db!G1:H2)</f>
        <v>66</v>
      </c>
    </row>
    <row r="10" spans="1:1" x14ac:dyDescent="0.35">
      <c r="A10">
        <f>DPRODUCT(Db!A1:E11,"Yield",Db!G1:G2)</f>
        <v>7560</v>
      </c>
    </row>
    <row r="11" spans="1:1" x14ac:dyDescent="0.35">
      <c r="A11">
        <f>DSTDEV(Db!A1:E11,"Yield",Db!G1:G3)</f>
        <v>2.9680841985233193</v>
      </c>
    </row>
    <row r="12" spans="1:1" x14ac:dyDescent="0.35">
      <c r="A12">
        <f>DSTDEVP(Db!A1:E11,"Yield",Db!G1:G3)</f>
        <v>2.747912008810192</v>
      </c>
    </row>
    <row r="13" spans="1:1" x14ac:dyDescent="0.35">
      <c r="A13">
        <f>DVAR(Db!A1:E11,"Yield",Db!G1:G3)</f>
        <v>8.8095238095238155</v>
      </c>
    </row>
    <row r="14" spans="1:1" x14ac:dyDescent="0.35">
      <c r="A14">
        <f>DVARP(Db!A1:E11,"Yield",Db!G1:G3)</f>
        <v>7.5510204081632653</v>
      </c>
    </row>
    <row r="15" spans="1:1" x14ac:dyDescent="0.35">
      <c r="A15">
        <f>DSUM(Db!A1:E11,"Profit",Db!L1:M2)</f>
        <v>306</v>
      </c>
    </row>
    <row r="16" spans="1:1" x14ac:dyDescent="0.35">
      <c r="A16">
        <f>DCOUNT(Db!A1:E11,,Db!L1:L2)</f>
        <v>4</v>
      </c>
    </row>
    <row r="17" spans="1:1" x14ac:dyDescent="0.35">
      <c r="A17" t="e">
        <f>DSUM(Db!A1:E11,"Nothing",Db!G1:G2)</f>
        <v>#VALUE!</v>
      </c>
    </row>
    <row r="18" spans="1:1" x14ac:dyDescent="0.35">
      <c r="A18">
        <f>DAVERAGE(Db!A1:E11,3,Db!O1:O2)</f>
        <v>9.25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6E9C-D86A-4437-B350-74396F5218D3}">
  <dimension ref="A1:A29"/>
  <sheetViews>
    <sheetView workbookViewId="0"/>
  </sheetViews>
  <sheetFormatPr defaultRowHeight="14.5" x14ac:dyDescent="0.35"/>
  <sheetData>
    <row r="1" spans="1:1" x14ac:dyDescent="0.35">
      <c r="A1">
        <f>SUBTOTAL(9,Stats!A1:A20)</f>
        <v>207.07899999999998</v>
      </c>
    </row>
    <row r="2" spans="1:1" x14ac:dyDescent="0.35">
      <c r="A2">
        <f>SUBTOTAL(109,Stats!A1:A20)</f>
        <v>196.54299999999998</v>
      </c>
    </row>
    <row r="3" spans="1:1" x14ac:dyDescent="0.35">
      <c r="A3">
        <f>SUBTOTAL(1,Stats!A1:A20)</f>
        <v>10.353949999999999</v>
      </c>
    </row>
    <row r="4" spans="1:1" x14ac:dyDescent="0.35">
      <c r="A4">
        <f>SUBTOTAL(101,Stats!A1:A20)</f>
        <v>10.919055555555554</v>
      </c>
    </row>
    <row r="5" spans="1:1" x14ac:dyDescent="0.35">
      <c r="A5">
        <f>SUBTOTAL(2,Stats!A1:A20)</f>
        <v>20</v>
      </c>
    </row>
    <row r="6" spans="1:1" x14ac:dyDescent="0.35">
      <c r="A6">
        <f>SUBTOTAL(3,Stats!A1:A20)</f>
        <v>20</v>
      </c>
    </row>
    <row r="7" spans="1:1" x14ac:dyDescent="0.35">
      <c r="A7">
        <f>SUBTOTAL(4,Stats!A1:A20)</f>
        <v>19.963999999999999</v>
      </c>
    </row>
    <row r="8" spans="1:1" x14ac:dyDescent="0.35">
      <c r="A8">
        <f>SUBTOTAL(5,Stats!A1:A20)</f>
        <v>0.77400000000000002</v>
      </c>
    </row>
    <row r="9" spans="1:1" x14ac:dyDescent="0.35">
      <c r="A9">
        <f>SUBTOTAL(6,Stats!A1:A5)</f>
        <v>68.156185450474581</v>
      </c>
    </row>
    <row r="10" spans="1:1" x14ac:dyDescent="0.35">
      <c r="A10">
        <f>SUBTOTAL(7,Stats!A1:A20)</f>
        <v>5.9490973262645834</v>
      </c>
    </row>
    <row r="11" spans="1:1" x14ac:dyDescent="0.35">
      <c r="A11">
        <f>SUBTOTAL(8,Stats!A1:A20)</f>
        <v>5.798462817635377</v>
      </c>
    </row>
    <row r="12" spans="1:1" x14ac:dyDescent="0.35">
      <c r="A12">
        <f>SUBTOTAL(10,Stats!A1:A20)</f>
        <v>35.39175899736842</v>
      </c>
    </row>
    <row r="13" spans="1:1" x14ac:dyDescent="0.35">
      <c r="A13">
        <f>SUBTOTAL(11,Stats!A1:A20)</f>
        <v>33.622171047499997</v>
      </c>
    </row>
    <row r="14" spans="1:1" x14ac:dyDescent="0.35">
      <c r="A14">
        <f>SUBTOTAL(104,Stats!A1:A20)</f>
        <v>19.963999999999999</v>
      </c>
    </row>
    <row r="15" spans="1:1" x14ac:dyDescent="0.35">
      <c r="A15">
        <f>SUBTOTAL(9,Stats!A1:A20,Stats!B1:B3)</f>
        <v>227.50799999999998</v>
      </c>
    </row>
    <row r="16" spans="1:1" x14ac:dyDescent="0.35">
      <c r="A16">
        <f>SUBTOTAL(9,Stats!E1:E4)</f>
        <v>23</v>
      </c>
    </row>
    <row r="17" spans="1:1" x14ac:dyDescent="0.35">
      <c r="A17" t="e">
        <f>SUBTOTAL(12,Stats!A1:A20)</f>
        <v>#VALUE!</v>
      </c>
    </row>
    <row r="18" spans="1:1" x14ac:dyDescent="0.35">
      <c r="A18">
        <f>_xlfn.AGGREGATE(9,5,Stats!A1:A20)</f>
        <v>196.54299999999998</v>
      </c>
    </row>
    <row r="19" spans="1:1" x14ac:dyDescent="0.35">
      <c r="A19">
        <f>_xlfn.AGGREGATE(9,0,Stats!A1:A20)</f>
        <v>207.07899999999998</v>
      </c>
    </row>
    <row r="20" spans="1:1" x14ac:dyDescent="0.35">
      <c r="A20">
        <f>_xlfn.AGGREGATE(14,6,Stats!A1:A20,2)</f>
        <v>18.867999999999999</v>
      </c>
    </row>
    <row r="21" spans="1:1" x14ac:dyDescent="0.35">
      <c r="A21">
        <f>_xlfn.AGGREGATE(4,0,Stats!A1:A20)</f>
        <v>19.963999999999999</v>
      </c>
    </row>
    <row r="22" spans="1:1" x14ac:dyDescent="0.35">
      <c r="A22">
        <f>_xlfn.AGGREGATE(12,1,Stats!A1:A20)</f>
        <v>11.343</v>
      </c>
    </row>
    <row r="23" spans="1:1" x14ac:dyDescent="0.35">
      <c r="A23">
        <f>_xlfn.AGGREGATE(9,6,Stats!F1:F5)</f>
        <v>9</v>
      </c>
    </row>
    <row r="24" spans="1:1" x14ac:dyDescent="0.35">
      <c r="A24" t="e">
        <f>_xlfn.AGGREGATE(9,4,Stats!F1:F5)</f>
        <v>#DIV/0!</v>
      </c>
    </row>
    <row r="25" spans="1:1" x14ac:dyDescent="0.35">
      <c r="A25">
        <f>_xlfn.AGGREGATE(15,6,Stats!A1:A20,3)</f>
        <v>2.8660000000000001</v>
      </c>
    </row>
    <row r="26" spans="1:1" x14ac:dyDescent="0.35">
      <c r="A26">
        <f>_xlfn.AGGREGATE(16,4,Stats!A1:A20,0.9)</f>
        <v>17.8276</v>
      </c>
    </row>
    <row r="27" spans="1:1" x14ac:dyDescent="0.35">
      <c r="A27">
        <f>_xlfn.AGGREGATE(19,5,Stats!A1:A20,1)</f>
        <v>6.4020000000000001</v>
      </c>
    </row>
    <row r="28" spans="1:1" x14ac:dyDescent="0.35">
      <c r="A28">
        <f>_xlfn.AGGREGATE(9,3,Stats!E1:E4)</f>
        <v>23</v>
      </c>
    </row>
    <row r="29" spans="1:1" x14ac:dyDescent="0.35">
      <c r="A29">
        <f>_xlfn.AGGREGATE(9,1,Stats!E1:E4)</f>
        <v>23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9F70-2EC9-4E19-885E-3653F870779B}">
  <dimension ref="A1:A44"/>
  <sheetViews>
    <sheetView workbookViewId="0"/>
  </sheetViews>
  <sheetFormatPr defaultRowHeight="14.5" x14ac:dyDescent="0.35"/>
  <sheetData>
    <row r="1" spans="1:1" x14ac:dyDescent="0.35">
      <c r="A1">
        <f>INDEX(_xlfn._xlws.SORT({3,1,2},1,1,TRUE),1,2)</f>
        <v>2</v>
      </c>
    </row>
    <row r="2" spans="1:1" x14ac:dyDescent="0.35">
      <c r="A2">
        <f>INDEX(_xlfn._xlws.SORT(Stats!A1:A20),3)</f>
        <v>2.8660000000000001</v>
      </c>
    </row>
    <row r="3" spans="1:1" x14ac:dyDescent="0.35">
      <c r="A3">
        <f>INDEX(_xlfn._xlws.SORT(Stats!A1:A20,1,-1),1)</f>
        <v>19.963999999999999</v>
      </c>
    </row>
    <row r="4" spans="1:1" x14ac:dyDescent="0.35">
      <c r="A4" t="str">
        <f>INDEX(_xlfn.SORTBY(Db!A2:A11,Db!B2:B11,-1),1)</f>
        <v>Apple</v>
      </c>
    </row>
    <row r="5" spans="1:1" x14ac:dyDescent="0.35">
      <c r="A5">
        <f>ROWS(_xlfn.UNIQUE(Db!A2:A11))</f>
        <v>4</v>
      </c>
    </row>
    <row r="6" spans="1:1" x14ac:dyDescent="0.35">
      <c r="A6" t="str">
        <f>INDEX(_xlfn.UNIQUE(Db!A2:A11),2)</f>
        <v>Pear</v>
      </c>
    </row>
    <row r="7" spans="1:1" x14ac:dyDescent="0.35">
      <c r="A7">
        <f>SUM(_xlfn._xlws.FILTER(Db!B2:B11,Db!A2:A11="Apple"))</f>
        <v>51</v>
      </c>
    </row>
    <row r="8" spans="1:1" x14ac:dyDescent="0.35">
      <c r="A8">
        <f>ROWS(_xlfn._xlws.FILTER(Db!B2:B11,Db!B2:B11&gt;10))</f>
        <v>6</v>
      </c>
    </row>
    <row r="9" spans="1:1" x14ac:dyDescent="0.35">
      <c r="A9" t="str">
        <f>IFERROR(_xlfn._xlws.FILTER(Db!B2:B11,Db!B2:B11&gt;1000),"none")</f>
        <v>none</v>
      </c>
    </row>
    <row r="10" spans="1:1" x14ac:dyDescent="0.35">
      <c r="A10">
        <f>INDEX(_xlfn.SEQUENCE(3,2,10,5),3,2)</f>
        <v>35</v>
      </c>
    </row>
    <row r="11" spans="1:1" x14ac:dyDescent="0.35">
      <c r="A11">
        <f>SUM(_xlfn.SEQUENCE(10))</f>
        <v>55</v>
      </c>
    </row>
    <row r="12" spans="1:1" x14ac:dyDescent="0.35">
      <c r="A12">
        <f>ROWS(_xlfn.SEQUENCE(5))</f>
        <v>5</v>
      </c>
    </row>
    <row r="13" spans="1:1" x14ac:dyDescent="0.35">
      <c r="A13">
        <f>INDEX(_xlfn.TAKE(Stats!A1:A20,3),3)</f>
        <v>2.8660000000000001</v>
      </c>
    </row>
    <row r="14" spans="1:1" x14ac:dyDescent="0.35">
      <c r="A14">
        <f>INDEX(_xlfn.DROP(Stats!A1:A20,2),1)</f>
        <v>2.8660000000000001</v>
      </c>
    </row>
    <row r="15" spans="1:1" x14ac:dyDescent="0.35">
      <c r="A15">
        <f>INDEX(_xlfn.CHOOSEROWS(Stats!A1:A20,4,2),2)</f>
        <v>1.7669999999999999</v>
      </c>
    </row>
    <row r="16" spans="1:1" x14ac:dyDescent="0.35">
      <c r="A16">
        <f>INDEX(_xlfn.CHOOSECOLS(Stats!A1:C2,3,1),1,2)</f>
        <v>0.77400000000000002</v>
      </c>
    </row>
    <row r="17" spans="1:1" x14ac:dyDescent="0.35">
      <c r="A17">
        <f>INDEX(_xlfn.VSTACK({1,2},{3,4}),2,1)</f>
        <v>3</v>
      </c>
    </row>
    <row r="18" spans="1:1" x14ac:dyDescent="0.35">
      <c r="A18">
        <f>INDEX(_xlfn.HSTACK({1;2},{3;4}),2,2)</f>
        <v>4</v>
      </c>
    </row>
    <row r="19" spans="1:1" x14ac:dyDescent="0.35">
      <c r="A19">
        <f>ROWS(_xlfn.TOCOL({1,2;3,4}))</f>
        <v>4</v>
      </c>
    </row>
    <row r="20" spans="1:1" x14ac:dyDescent="0.35">
      <c r="A20">
        <f>INDEX(_xlfn.TOROW({1,2;3,4}),3)</f>
        <v>3</v>
      </c>
    </row>
    <row r="21" spans="1:1" x14ac:dyDescent="0.35">
      <c r="A21">
        <f>INDEX(_xlfn.WRAPROWS({1,2,3,4,5},2),3,1)</f>
        <v>5</v>
      </c>
    </row>
    <row r="22" spans="1:1" x14ac:dyDescent="0.35">
      <c r="A22">
        <f>INDEX(_xlfn.WRAPCOLS({1,2,3,4,5},2),1,3)</f>
        <v>5</v>
      </c>
    </row>
    <row r="23" spans="1:1" x14ac:dyDescent="0.35">
      <c r="A23">
        <f>INDEX(_xlfn.EXPAND({1,2},2,3,0),2,3)</f>
        <v>0</v>
      </c>
    </row>
    <row r="24" spans="1:1" x14ac:dyDescent="0.35">
      <c r="A24" t="str">
        <f>INDEX(_xlfn.TEXTSPLIT("a,b,c",","),2)</f>
        <v>b</v>
      </c>
    </row>
    <row r="25" spans="1:1" x14ac:dyDescent="0.35">
      <c r="A25" t="str">
        <f>_xlfn.TEXTBEFORE("a-b-c","-")</f>
        <v>a</v>
      </c>
    </row>
    <row r="26" spans="1:1" x14ac:dyDescent="0.35">
      <c r="A26" t="str">
        <f>_xlfn.TEXTBEFORE("a-b-c","-",2)</f>
        <v>a-b</v>
      </c>
    </row>
    <row r="27" spans="1:1" x14ac:dyDescent="0.35">
      <c r="A27" t="str">
        <f>_xlfn.TEXTAFTER("a-b-c","-",-1)</f>
        <v>c</v>
      </c>
    </row>
    <row r="28" spans="1:1" x14ac:dyDescent="0.35">
      <c r="A28" t="e">
        <f>_xlfn.TEXTAFTER("abc","x")</f>
        <v>#N/A</v>
      </c>
    </row>
    <row r="29" spans="1:1" x14ac:dyDescent="0.35">
      <c r="A29" t="str">
        <f>_xlfn.TEXTAFTER("abc","x",,,,"none")</f>
        <v>none</v>
      </c>
    </row>
    <row r="30" spans="1:1" x14ac:dyDescent="0.35">
      <c r="A30">
        <f>_xlfn.LET(_xlpm.x,2,_xlpm.y,3,_xlpm.x*_xlpm.y)</f>
        <v>6</v>
      </c>
    </row>
    <row r="31" spans="1:1" x14ac:dyDescent="0.35">
      <c r="A31">
        <f>_xlfn.LET(_xlpm.x,_xlfn.SEQUENCE(3),SUM(_xlpm.x))</f>
        <v>6</v>
      </c>
    </row>
    <row r="32" spans="1:1" x14ac:dyDescent="0.35">
      <c r="A32">
        <f>_xlfn.LAMBDA(_xlpm.x,_xlpm.x*2)(4)</f>
        <v>8</v>
      </c>
    </row>
    <row r="33" spans="1:1" x14ac:dyDescent="0.35">
      <c r="A33">
        <f>SUM(_xlfn.MAP({1,2,3},_xlfn.LAMBDA(_xlpm.x,_xlpm.x*_xlpm.x)))</f>
        <v>14</v>
      </c>
    </row>
    <row r="34" spans="1:1" x14ac:dyDescent="0.35">
      <c r="A34">
        <f>_xlfn.REDUCE(0,{1,2,3},_xlfn.LAMBDA(_xlpm.a,_xlpm.b,_xlpm.a+_xlpm.b))</f>
        <v>6</v>
      </c>
    </row>
    <row r="35" spans="1:1" x14ac:dyDescent="0.35">
      <c r="A35">
        <f>INDEX(_xlfn.SCAN(0,{1,2,3},_xlfn.LAMBDA(_xlpm.a,_xlpm.b,_xlpm.a+_xlpm.b)),3)</f>
        <v>6</v>
      </c>
    </row>
    <row r="36" spans="1:1" x14ac:dyDescent="0.35">
      <c r="A36">
        <f>INDEX(_xlfn.BYROW({1,2;3,4},_xlfn.LAMBDA(_xlpm.r,SUM(_xlpm.r))),2)</f>
        <v>7</v>
      </c>
    </row>
    <row r="37" spans="1:1" x14ac:dyDescent="0.35">
      <c r="A37">
        <f>INDEX(_xlfn.BYCOL({1,2;3,4},_xlfn.LAMBDA(_xlpm.c,SUM(_xlpm.c))),2)</f>
        <v>6</v>
      </c>
    </row>
    <row r="38" spans="1:1" x14ac:dyDescent="0.35">
      <c r="A38">
        <f>INDEX(_xlfn.MAKEARRAY(2,3,_xlfn.LAMBDA(_xlpm.r,_xlpm.c,_xlpm.r*_xlpm.c)),2,3)</f>
        <v>6</v>
      </c>
    </row>
    <row r="39" spans="1:1" x14ac:dyDescent="0.35">
      <c r="A39" t="str">
        <f>_xlfn.ARRAYTOTEXT({1,2;3,4})</f>
        <v>1, 2, 3, 4</v>
      </c>
    </row>
    <row r="40" spans="1:1" x14ac:dyDescent="0.35">
      <c r="A40" t="str">
        <f>_xlfn.ARRAYTOTEXT({1,"a"},1)</f>
        <v>{1,"a"}</v>
      </c>
    </row>
    <row r="41" spans="1:1" x14ac:dyDescent="0.35">
      <c r="A41">
        <f ca="1">INDEX(_xlfn.RANDARRAY(2,2,5,5),1,1)</f>
        <v>5</v>
      </c>
    </row>
    <row r="42" spans="1:1" x14ac:dyDescent="0.35">
      <c r="A42">
        <f>_xlfn.XMATCH(3,{1,2,3})</f>
        <v>3</v>
      </c>
    </row>
    <row r="43" spans="1:1" x14ac:dyDescent="0.35">
      <c r="A43" t="e">
        <f>ROWS(_xlfn.ANCHORARRAY(Stats!A1:A20))</f>
        <v>#REF!</v>
      </c>
    </row>
    <row r="44" spans="1:1" x14ac:dyDescent="0.35">
      <c r="A44" t="e">
        <f>SUM(Db!B2:B11*(Db!A2:A11="Apple"))</f>
        <v>#VALUE!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09A8-54F3-4B99-87F0-21657DA99FE5}">
  <dimension ref="A1:A19"/>
  <sheetViews>
    <sheetView workbookViewId="0"/>
  </sheetViews>
  <sheetFormatPr defaultRowHeight="14.5" x14ac:dyDescent="0.35"/>
  <sheetData>
    <row r="1" spans="1:1" x14ac:dyDescent="0.35">
      <c r="A1">
        <f ca="1">CELL("row",Stats!B5)</f>
        <v>5</v>
      </c>
    </row>
    <row r="2" spans="1:1" x14ac:dyDescent="0.35">
      <c r="A2" t="str">
        <f ca="1">CELL("address",Stats!B5)</f>
        <v>[inputs.xlsx]Stats!$B$5</v>
      </c>
    </row>
    <row r="3" spans="1:1" x14ac:dyDescent="0.35">
      <c r="A3">
        <f ca="1">CELL("col",Stats!B5)</f>
        <v>2</v>
      </c>
    </row>
    <row r="4" spans="1:1" x14ac:dyDescent="0.35">
      <c r="A4">
        <f ca="1">CELL("contents",Stats!A1)</f>
        <v>0.77400000000000002</v>
      </c>
    </row>
    <row r="5" spans="1:1" x14ac:dyDescent="0.35">
      <c r="A5" t="str">
        <f ca="1">CELL("type",Stats!A1)</f>
        <v>v</v>
      </c>
    </row>
    <row r="6" spans="1:1" x14ac:dyDescent="0.35">
      <c r="A6" t="str">
        <f ca="1">CELL("type",Stats!D1)</f>
        <v>v</v>
      </c>
    </row>
    <row r="7" spans="1:1" x14ac:dyDescent="0.35">
      <c r="A7" s="6" t="str">
        <f>HYPERLINK("http://example.com","text")</f>
        <v>text</v>
      </c>
    </row>
    <row r="8" spans="1:1" x14ac:dyDescent="0.35">
      <c r="A8">
        <f ca="1">_xlfn.SHEET()</f>
        <v>104</v>
      </c>
    </row>
    <row r="9" spans="1:1" x14ac:dyDescent="0.35">
      <c r="A9">
        <f ca="1">_xlfn.SHEETS()</f>
        <v>132</v>
      </c>
    </row>
    <row r="10" spans="1:1" x14ac:dyDescent="0.35">
      <c r="A10">
        <f>AREAS((Stats!A1:A2,Stats!B1))</f>
        <v>2</v>
      </c>
    </row>
    <row r="11" spans="1:1" x14ac:dyDescent="0.35">
      <c r="A11">
        <f>N(DATE(2020,1,1))</f>
        <v>43831</v>
      </c>
    </row>
    <row r="12" spans="1:1" x14ac:dyDescent="0.35">
      <c r="A12" t="str">
        <f>FIXED(1234567.891,-3)</f>
        <v>1,235,000</v>
      </c>
    </row>
    <row r="13" spans="1:1" x14ac:dyDescent="0.35">
      <c r="A13" t="b">
        <f>_xlfn.ISOMITTED(1)</f>
        <v>0</v>
      </c>
    </row>
    <row r="14" spans="1:1" x14ac:dyDescent="0.35">
      <c r="A14">
        <f>SUM(Stats!A1:A20)</f>
        <v>207.07899999999998</v>
      </c>
    </row>
    <row r="15" spans="1:1" x14ac:dyDescent="0.35">
      <c r="A15">
        <f>COUNT(Stats!A:A)</f>
        <v>20</v>
      </c>
    </row>
    <row r="16" spans="1:1" x14ac:dyDescent="0.35">
      <c r="A16">
        <f>MAX(Stats!A:A)</f>
        <v>19.963999999999999</v>
      </c>
    </row>
    <row r="17" spans="1:1" x14ac:dyDescent="0.35">
      <c r="A17">
        <f>COUNTIF(Db!A:A,"Apple")</f>
        <v>4</v>
      </c>
    </row>
    <row r="18" spans="1:1" x14ac:dyDescent="0.35">
      <c r="A18">
        <f>SUMIF(Db!A:A,"Pear",Db!E:E)</f>
        <v>212.8</v>
      </c>
    </row>
    <row r="19" spans="1:1" x14ac:dyDescent="0.35">
      <c r="A19">
        <f>SUMPRODUCT((Db!A2:A11="Apple")*(Db!B2:B11&gt;10),Db!E2:E11)</f>
        <v>246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04BE-C02B-43D3-9E42-C19B5654048E}">
  <dimension ref="A1:A72"/>
  <sheetViews>
    <sheetView workbookViewId="0"/>
  </sheetViews>
  <sheetFormatPr defaultRowHeight="14.5" x14ac:dyDescent="0.35"/>
  <sheetData>
    <row r="1" spans="1:1" x14ac:dyDescent="0.35">
      <c r="A1">
        <f>_xlfn.COT(Reals!A1)</f>
        <v>7.6215794205039593</v>
      </c>
    </row>
    <row r="2" spans="1:1" x14ac:dyDescent="0.35">
      <c r="A2">
        <f>_xlfn.COT(Reals!A2)</f>
        <v>-0.48211561074684822</v>
      </c>
    </row>
    <row r="3" spans="1:1" x14ac:dyDescent="0.35">
      <c r="A3">
        <f>_xlfn.COT(Reals!A3)</f>
        <v>-0.22056303570091146</v>
      </c>
    </row>
    <row r="4" spans="1:1" x14ac:dyDescent="0.35">
      <c r="A4">
        <f>_xlfn.COT(Reals!A4)</f>
        <v>-1.1116613123771391</v>
      </c>
    </row>
    <row r="5" spans="1:1" x14ac:dyDescent="0.35">
      <c r="A5">
        <f>_xlfn.COT(Reals!A5)</f>
        <v>-1.2582525529551214</v>
      </c>
    </row>
    <row r="6" spans="1:1" x14ac:dyDescent="0.35">
      <c r="A6">
        <f>_xlfn.COT(Reals!A6)</f>
        <v>-35.757656372763371</v>
      </c>
    </row>
    <row r="7" spans="1:1" x14ac:dyDescent="0.35">
      <c r="A7">
        <f>_xlfn.COT(Reals!A7)</f>
        <v>0.19342794636975208</v>
      </c>
    </row>
    <row r="8" spans="1:1" x14ac:dyDescent="0.35">
      <c r="A8">
        <f>_xlfn.COT(Reals!A8)</f>
        <v>-1.6069298882832436E-3</v>
      </c>
    </row>
    <row r="9" spans="1:1" x14ac:dyDescent="0.35">
      <c r="A9">
        <f>_xlfn.COT(Reals!A9)</f>
        <v>2.4200177522240773</v>
      </c>
    </row>
    <row r="10" spans="1:1" x14ac:dyDescent="0.35">
      <c r="A10">
        <f>_xlfn.COT(Reals!A10)</f>
        <v>4.9357335690001278</v>
      </c>
    </row>
    <row r="11" spans="1:1" x14ac:dyDescent="0.35">
      <c r="A11">
        <f>_xlfn.COT(Reals!A11)</f>
        <v>-1.4045563309671585</v>
      </c>
    </row>
    <row r="12" spans="1:1" x14ac:dyDescent="0.35">
      <c r="A12">
        <f>_xlfn.COT(Reals!A12)</f>
        <v>12.050898477737523</v>
      </c>
    </row>
    <row r="13" spans="1:1" x14ac:dyDescent="0.35">
      <c r="A13">
        <f>_xlfn.COT(Reals!A13)</f>
        <v>-2.0537592034634784</v>
      </c>
    </row>
    <row r="14" spans="1:1" x14ac:dyDescent="0.35">
      <c r="A14">
        <f>_xlfn.COT(Reals!A14)</f>
        <v>11.047470028563005</v>
      </c>
    </row>
    <row r="15" spans="1:1" x14ac:dyDescent="0.35">
      <c r="A15">
        <f>_xlfn.COT(Reals!A15)</f>
        <v>4.1962924948820142</v>
      </c>
    </row>
    <row r="16" spans="1:1" x14ac:dyDescent="0.35">
      <c r="A16">
        <f>_xlfn.COT(Reals!A16)</f>
        <v>-6.7498879150063305</v>
      </c>
    </row>
    <row r="17" spans="1:1" x14ac:dyDescent="0.35">
      <c r="A17">
        <f>_xlfn.COT(Reals!A17)</f>
        <v>-1.8399238384754437</v>
      </c>
    </row>
    <row r="18" spans="1:1" x14ac:dyDescent="0.35">
      <c r="A18">
        <f>_xlfn.COT(Reals!A18)</f>
        <v>-0.18150705394186359</v>
      </c>
    </row>
    <row r="19" spans="1:1" x14ac:dyDescent="0.35">
      <c r="A19">
        <f>_xlfn.COT(Reals!A19)</f>
        <v>0.63820896261643556</v>
      </c>
    </row>
    <row r="20" spans="1:1" x14ac:dyDescent="0.35">
      <c r="A20">
        <f>_xlfn.COT(Reals!A20)</f>
        <v>2.4203758139653369</v>
      </c>
    </row>
    <row r="21" spans="1:1" x14ac:dyDescent="0.35">
      <c r="A21">
        <f>_xlfn.COT(Reals!A21)</f>
        <v>-7.5898422520609791E-3</v>
      </c>
    </row>
    <row r="22" spans="1:1" x14ac:dyDescent="0.35">
      <c r="A22">
        <f>_xlfn.COT(Reals!A22)</f>
        <v>-0.41829481109568856</v>
      </c>
    </row>
    <row r="23" spans="1:1" x14ac:dyDescent="0.35">
      <c r="A23">
        <f>_xlfn.COT(Reals!A23)</f>
        <v>2.5668164745655933E-2</v>
      </c>
    </row>
    <row r="24" spans="1:1" x14ac:dyDescent="0.35">
      <c r="A24">
        <f>_xlfn.COT(Reals!A24)</f>
        <v>9.731442374537993</v>
      </c>
    </row>
    <row r="25" spans="1:1" x14ac:dyDescent="0.35">
      <c r="A25">
        <f>_xlfn.COT(Reals!A25)</f>
        <v>-0.95263144702111724</v>
      </c>
    </row>
    <row r="26" spans="1:1" x14ac:dyDescent="0.35">
      <c r="A26">
        <f>_xlfn.COT(Reals!A26)</f>
        <v>-3.2454620758628649E-2</v>
      </c>
    </row>
    <row r="27" spans="1:1" x14ac:dyDescent="0.35">
      <c r="A27">
        <f>_xlfn.COT(Reals!A27)</f>
        <v>0.2988247869069805</v>
      </c>
    </row>
    <row r="28" spans="1:1" x14ac:dyDescent="0.35">
      <c r="A28">
        <f>_xlfn.COT(Reals!A28)</f>
        <v>-30.659450785455171</v>
      </c>
    </row>
    <row r="29" spans="1:1" x14ac:dyDescent="0.35">
      <c r="A29">
        <f>_xlfn.COT(Reals!A29)</f>
        <v>-0.28506482942255801</v>
      </c>
    </row>
    <row r="30" spans="1:1" x14ac:dyDescent="0.35">
      <c r="A30">
        <f>_xlfn.COT(Reals!A30)</f>
        <v>13.740672663804958</v>
      </c>
    </row>
    <row r="31" spans="1:1" x14ac:dyDescent="0.35">
      <c r="A31">
        <f>_xlfn.COT(Reals!A31)</f>
        <v>7.186440359275309E-2</v>
      </c>
    </row>
    <row r="32" spans="1:1" x14ac:dyDescent="0.35">
      <c r="A32">
        <f>_xlfn.COT(Reals!A32)</f>
        <v>-0.99531739903711669</v>
      </c>
    </row>
    <row r="33" spans="1:1" x14ac:dyDescent="0.35">
      <c r="A33">
        <f>_xlfn.COT(Reals!A33)</f>
        <v>0.6216083829954876</v>
      </c>
    </row>
    <row r="34" spans="1:1" x14ac:dyDescent="0.35">
      <c r="A34">
        <f>_xlfn.COT(Reals!A34)</f>
        <v>42.119719647298368</v>
      </c>
    </row>
    <row r="35" spans="1:1" x14ac:dyDescent="0.35">
      <c r="A35">
        <f>_xlfn.COT(Reals!A35)</f>
        <v>-0.11076486547717314</v>
      </c>
    </row>
    <row r="36" spans="1:1" x14ac:dyDescent="0.35">
      <c r="A36">
        <f>_xlfn.COT(Reals!A36)</f>
        <v>-2.878005001174726E-3</v>
      </c>
    </row>
    <row r="37" spans="1:1" x14ac:dyDescent="0.35">
      <c r="A37">
        <f>_xlfn.COT(Reals!A37)</f>
        <v>-5.3333751429779257</v>
      </c>
    </row>
    <row r="38" spans="1:1" x14ac:dyDescent="0.35">
      <c r="A38">
        <f>_xlfn.COT(Reals!A38)</f>
        <v>-8.4454524722568119E-2</v>
      </c>
    </row>
    <row r="39" spans="1:1" x14ac:dyDescent="0.35">
      <c r="A39">
        <f>_xlfn.COT(Reals!A39)</f>
        <v>-2.9899128724339761</v>
      </c>
    </row>
    <row r="40" spans="1:1" x14ac:dyDescent="0.35">
      <c r="A40">
        <f>_xlfn.COT(Reals!A40)</f>
        <v>0.80954013343818165</v>
      </c>
    </row>
    <row r="41" spans="1:1" x14ac:dyDescent="0.35">
      <c r="A41">
        <f>_xlfn.COT(Reals!A41)</f>
        <v>-0.12229909644745864</v>
      </c>
    </row>
    <row r="42" spans="1:1" x14ac:dyDescent="0.35">
      <c r="A42">
        <f>_xlfn.COT(Reals!A42)</f>
        <v>2.4372055372213612</v>
      </c>
    </row>
    <row r="43" spans="1:1" x14ac:dyDescent="0.35">
      <c r="A43">
        <f>_xlfn.COT(Reals!A43)</f>
        <v>-2.431597262680925</v>
      </c>
    </row>
    <row r="44" spans="1:1" x14ac:dyDescent="0.35">
      <c r="A44">
        <f>_xlfn.COT(Reals!A44)</f>
        <v>-1.102838916855172</v>
      </c>
    </row>
    <row r="45" spans="1:1" x14ac:dyDescent="0.35">
      <c r="A45">
        <f>_xlfn.COT(Reals!A45)</f>
        <v>44.862564717282609</v>
      </c>
    </row>
    <row r="46" spans="1:1" x14ac:dyDescent="0.35">
      <c r="A46">
        <f>_xlfn.COT(Reals!A46)</f>
        <v>-0.25855013030997437</v>
      </c>
    </row>
    <row r="47" spans="1:1" x14ac:dyDescent="0.35">
      <c r="A47">
        <f>_xlfn.COT(Reals!A47)</f>
        <v>0.28033311650452181</v>
      </c>
    </row>
    <row r="48" spans="1:1" x14ac:dyDescent="0.35">
      <c r="A48">
        <f>_xlfn.COT(Reals!A48)</f>
        <v>3.179373810689436</v>
      </c>
    </row>
    <row r="49" spans="1:1" x14ac:dyDescent="0.35">
      <c r="A49">
        <f>_xlfn.COT(Reals!A49)</f>
        <v>1.2938695205195145</v>
      </c>
    </row>
    <row r="50" spans="1:1" x14ac:dyDescent="0.35">
      <c r="A50">
        <f>_xlfn.COT(Reals!A50)</f>
        <v>16.684842987182279</v>
      </c>
    </row>
    <row r="51" spans="1:1" x14ac:dyDescent="0.35">
      <c r="A51">
        <f>_xlfn.COT(Reals!A51)</f>
        <v>-3.707062493718042E-2</v>
      </c>
    </row>
    <row r="52" spans="1:1" x14ac:dyDescent="0.35">
      <c r="A52">
        <f>_xlfn.COT(Reals!A52)</f>
        <v>-7.697766373808114E-2</v>
      </c>
    </row>
    <row r="53" spans="1:1" x14ac:dyDescent="0.35">
      <c r="A53">
        <f>_xlfn.COT(Reals!A53)</f>
        <v>-3.1725909072076317</v>
      </c>
    </row>
    <row r="54" spans="1:1" x14ac:dyDescent="0.35">
      <c r="A54">
        <f>_xlfn.COT(Reals!A54)</f>
        <v>0.36865370820207155</v>
      </c>
    </row>
    <row r="55" spans="1:1" x14ac:dyDescent="0.35">
      <c r="A55">
        <f>_xlfn.COT(Reals!A55)</f>
        <v>-1.0338730654355479</v>
      </c>
    </row>
    <row r="56" spans="1:1" x14ac:dyDescent="0.35">
      <c r="A56">
        <f>_xlfn.COT(Reals!A56)</f>
        <v>-1.0331431258656132</v>
      </c>
    </row>
    <row r="57" spans="1:1" x14ac:dyDescent="0.35">
      <c r="A57">
        <f>_xlfn.COT(Reals!A57)</f>
        <v>1.1814888525231932</v>
      </c>
    </row>
    <row r="58" spans="1:1" x14ac:dyDescent="0.35">
      <c r="A58">
        <f>_xlfn.COT(Reals!A58)</f>
        <v>0.36675189498464877</v>
      </c>
    </row>
    <row r="59" spans="1:1" x14ac:dyDescent="0.35">
      <c r="A59">
        <f>_xlfn.COT(Reals!A59)</f>
        <v>0.65802781864044591</v>
      </c>
    </row>
    <row r="60" spans="1:1" x14ac:dyDescent="0.35">
      <c r="A60">
        <f>_xlfn.COT(Reals!A60)</f>
        <v>-5.4579662760947336</v>
      </c>
    </row>
    <row r="61" spans="1:1" x14ac:dyDescent="0.35">
      <c r="A61">
        <f>_xlfn.COT(Reals!A61)</f>
        <v>1.830487721712452</v>
      </c>
    </row>
    <row r="62" spans="1:1" x14ac:dyDescent="0.35">
      <c r="A62">
        <f>_xlfn.COT(Reals!A62)</f>
        <v>0.64209261593433065</v>
      </c>
    </row>
    <row r="63" spans="1:1" x14ac:dyDescent="0.35">
      <c r="A63">
        <f>_xlfn.COT(Reals!A63)</f>
        <v>-0.45765755436028577</v>
      </c>
    </row>
    <row r="64" spans="1:1" x14ac:dyDescent="0.35">
      <c r="A64">
        <f>_xlfn.COT(Reals!A64)</f>
        <v>-1.830487721712452</v>
      </c>
    </row>
    <row r="65" spans="1:1" x14ac:dyDescent="0.35">
      <c r="A65">
        <f>_xlfn.COT(Reals!A65)</f>
        <v>100000000</v>
      </c>
    </row>
    <row r="66" spans="1:1" x14ac:dyDescent="0.35">
      <c r="A66">
        <f>_xlfn.COT(Reals!A66)</f>
        <v>1</v>
      </c>
    </row>
    <row r="67" spans="1:1" x14ac:dyDescent="0.35">
      <c r="A67">
        <f>_xlfn.COT(Reals!A67)</f>
        <v>0.57735026918962595</v>
      </c>
    </row>
    <row r="68" spans="1:1" x14ac:dyDescent="0.35">
      <c r="A68">
        <f>_xlfn.COT(Reals!A68)</f>
        <v>1.7320508075688774</v>
      </c>
    </row>
    <row r="69" spans="1:1" x14ac:dyDescent="0.35">
      <c r="A69">
        <f>_xlfn.COT(Reals!A69)</f>
        <v>-0.99999999999999978</v>
      </c>
    </row>
    <row r="70" spans="1:1" x14ac:dyDescent="0.35">
      <c r="A70">
        <f>_xlfn.COT(Reals!A70)</f>
        <v>-1.7029569194264691</v>
      </c>
    </row>
    <row r="71" spans="1:1" x14ac:dyDescent="0.35">
      <c r="A71">
        <f>_xlfn.COT(Reals!A71)</f>
        <v>-27.955088398229467</v>
      </c>
    </row>
    <row r="72" spans="1:1" x14ac:dyDescent="0.35">
      <c r="A72">
        <f>_xlfn.COT(Reals!A72)</f>
        <v>-2.1573538153599929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CCCB-14F7-47EA-B5EA-69814D2F03E5}">
  <dimension ref="A1:A72"/>
  <sheetViews>
    <sheetView workbookViewId="0"/>
  </sheetViews>
  <sheetFormatPr defaultRowHeight="14.5" x14ac:dyDescent="0.35"/>
  <sheetData>
    <row r="1" spans="1:1" x14ac:dyDescent="0.35">
      <c r="A1">
        <f>_xlfn.CSC(Reals!A1)</f>
        <v>7.6869026833341305</v>
      </c>
    </row>
    <row r="2" spans="1:1" x14ac:dyDescent="0.35">
      <c r="A2">
        <f>_xlfn.CSC(Reals!A2)</f>
        <v>1.1101510987815155</v>
      </c>
    </row>
    <row r="3" spans="1:1" x14ac:dyDescent="0.35">
      <c r="A3">
        <f>_xlfn.CSC(Reals!A3)</f>
        <v>-1.0240351813866559</v>
      </c>
    </row>
    <row r="4" spans="1:1" x14ac:dyDescent="0.35">
      <c r="A4">
        <f>_xlfn.CSC(Reals!A4)</f>
        <v>1.4952561230224284</v>
      </c>
    </row>
    <row r="5" spans="1:1" x14ac:dyDescent="0.35">
      <c r="A5">
        <f>_xlfn.CSC(Reals!A5)</f>
        <v>1.6072334886437878</v>
      </c>
    </row>
    <row r="6" spans="1:1" x14ac:dyDescent="0.35">
      <c r="A6">
        <f>_xlfn.CSC(Reals!A6)</f>
        <v>-35.771636659127367</v>
      </c>
    </row>
    <row r="7" spans="1:1" x14ac:dyDescent="0.35">
      <c r="A7">
        <f>_xlfn.CSC(Reals!A7)</f>
        <v>1.0185354046064474</v>
      </c>
    </row>
    <row r="8" spans="1:1" x14ac:dyDescent="0.35">
      <c r="A8">
        <f>_xlfn.CSC(Reals!A8)</f>
        <v>-1.0000012911109994</v>
      </c>
    </row>
    <row r="9" spans="1:1" x14ac:dyDescent="0.35">
      <c r="A9">
        <f>_xlfn.CSC(Reals!A9)</f>
        <v>2.6184892440259659</v>
      </c>
    </row>
    <row r="10" spans="1:1" x14ac:dyDescent="0.35">
      <c r="A10">
        <f>_xlfn.CSC(Reals!A10)</f>
        <v>5.0360168649593238</v>
      </c>
    </row>
    <row r="11" spans="1:1" x14ac:dyDescent="0.35">
      <c r="A11">
        <f>_xlfn.CSC(Reals!A11)</f>
        <v>-1.7241747263139913</v>
      </c>
    </row>
    <row r="12" spans="1:1" x14ac:dyDescent="0.35">
      <c r="A12">
        <f>_xlfn.CSC(Reals!A12)</f>
        <v>-12.092317979640486</v>
      </c>
    </row>
    <row r="13" spans="1:1" x14ac:dyDescent="0.35">
      <c r="A13">
        <f>_xlfn.CSC(Reals!A13)</f>
        <v>2.2842781936119212</v>
      </c>
    </row>
    <row r="14" spans="1:1" x14ac:dyDescent="0.35">
      <c r="A14">
        <f>_xlfn.CSC(Reals!A14)</f>
        <v>11.092636928701754</v>
      </c>
    </row>
    <row r="15" spans="1:1" x14ac:dyDescent="0.35">
      <c r="A15">
        <f>_xlfn.CSC(Reals!A15)</f>
        <v>-4.3138000304375632</v>
      </c>
    </row>
    <row r="16" spans="1:1" x14ac:dyDescent="0.35">
      <c r="A16">
        <f>_xlfn.CSC(Reals!A16)</f>
        <v>6.8235611571340442</v>
      </c>
    </row>
    <row r="17" spans="1:1" x14ac:dyDescent="0.35">
      <c r="A17">
        <f>_xlfn.CSC(Reals!A17)</f>
        <v>-2.0941155009669861</v>
      </c>
    </row>
    <row r="18" spans="1:1" x14ac:dyDescent="0.35">
      <c r="A18">
        <f>_xlfn.CSC(Reals!A18)</f>
        <v>1.0163389250789594</v>
      </c>
    </row>
    <row r="19" spans="1:1" x14ac:dyDescent="0.35">
      <c r="A19">
        <f>_xlfn.CSC(Reals!A19)</f>
        <v>1.1863012602049898</v>
      </c>
    </row>
    <row r="20" spans="1:1" x14ac:dyDescent="0.35">
      <c r="A20">
        <f>_xlfn.CSC(Reals!A20)</f>
        <v>2.6188201696237883</v>
      </c>
    </row>
    <row r="21" spans="1:1" x14ac:dyDescent="0.35">
      <c r="A21">
        <f>_xlfn.CSC(Reals!A21)</f>
        <v>1.0000288024379154</v>
      </c>
    </row>
    <row r="22" spans="1:1" x14ac:dyDescent="0.35">
      <c r="A22">
        <f>_xlfn.CSC(Reals!A22)</f>
        <v>1.0839605846107034</v>
      </c>
    </row>
    <row r="23" spans="1:1" x14ac:dyDescent="0.35">
      <c r="A23">
        <f>_xlfn.CSC(Reals!A23)</f>
        <v>1.0003293730973863</v>
      </c>
    </row>
    <row r="24" spans="1:1" x14ac:dyDescent="0.35">
      <c r="A24">
        <f>_xlfn.CSC(Reals!A24)</f>
        <v>9.7826872938346359</v>
      </c>
    </row>
    <row r="25" spans="1:1" x14ac:dyDescent="0.35">
      <c r="A25">
        <f>_xlfn.CSC(Reals!A25)</f>
        <v>1.3811251477884066</v>
      </c>
    </row>
    <row r="26" spans="1:1" x14ac:dyDescent="0.35">
      <c r="A26">
        <f>_xlfn.CSC(Reals!A26)</f>
        <v>-1.0005265125965359</v>
      </c>
    </row>
    <row r="27" spans="1:1" x14ac:dyDescent="0.35">
      <c r="A27">
        <f>_xlfn.CSC(Reals!A27)</f>
        <v>1.043693562914902</v>
      </c>
    </row>
    <row r="28" spans="1:1" x14ac:dyDescent="0.35">
      <c r="A28">
        <f>_xlfn.CSC(Reals!A28)</f>
        <v>30.675754635636064</v>
      </c>
    </row>
    <row r="29" spans="1:1" x14ac:dyDescent="0.35">
      <c r="A29">
        <f>_xlfn.CSC(Reals!A29)</f>
        <v>-1.0398374666137551</v>
      </c>
    </row>
    <row r="30" spans="1:1" x14ac:dyDescent="0.35">
      <c r="A30">
        <f>_xlfn.CSC(Reals!A30)</f>
        <v>-13.77701292929047</v>
      </c>
    </row>
    <row r="31" spans="1:1" x14ac:dyDescent="0.35">
      <c r="A31">
        <f>_xlfn.CSC(Reals!A31)</f>
        <v>-1.0025789208355331</v>
      </c>
    </row>
    <row r="32" spans="1:1" x14ac:dyDescent="0.35">
      <c r="A32">
        <f>_xlfn.CSC(Reals!A32)</f>
        <v>1.4109063487085209</v>
      </c>
    </row>
    <row r="33" spans="1:1" x14ac:dyDescent="0.35">
      <c r="A33">
        <f>_xlfn.CSC(Reals!A33)</f>
        <v>1.1774536007037664</v>
      </c>
    </row>
    <row r="34" spans="1:1" x14ac:dyDescent="0.35">
      <c r="A34">
        <f>_xlfn.CSC(Reals!A34)</f>
        <v>-42.131588899150387</v>
      </c>
    </row>
    <row r="35" spans="1:1" x14ac:dyDescent="0.35">
      <c r="A35">
        <f>_xlfn.CSC(Reals!A35)</f>
        <v>-1.0061157266558238</v>
      </c>
    </row>
    <row r="36" spans="1:1" x14ac:dyDescent="0.35">
      <c r="A36">
        <f>_xlfn.CSC(Reals!A36)</f>
        <v>-1.0000041414478176</v>
      </c>
    </row>
    <row r="37" spans="1:1" x14ac:dyDescent="0.35">
      <c r="A37">
        <f>_xlfn.CSC(Reals!A37)</f>
        <v>5.4263146255755208</v>
      </c>
    </row>
    <row r="38" spans="1:1" x14ac:dyDescent="0.35">
      <c r="A38">
        <f>_xlfn.CSC(Reals!A38)</f>
        <v>1.0035599467625813</v>
      </c>
    </row>
    <row r="39" spans="1:1" x14ac:dyDescent="0.35">
      <c r="A39">
        <f>_xlfn.CSC(Reals!A39)</f>
        <v>-3.1527097844150496</v>
      </c>
    </row>
    <row r="40" spans="1:1" x14ac:dyDescent="0.35">
      <c r="A40">
        <f>_xlfn.CSC(Reals!A40)</f>
        <v>1.286606088764976</v>
      </c>
    </row>
    <row r="41" spans="1:1" x14ac:dyDescent="0.35">
      <c r="A41">
        <f>_xlfn.CSC(Reals!A41)</f>
        <v>-1.0074507774536008</v>
      </c>
    </row>
    <row r="42" spans="1:1" x14ac:dyDescent="0.35">
      <c r="A42">
        <f>_xlfn.CSC(Reals!A42)</f>
        <v>-2.634382438193525</v>
      </c>
    </row>
    <row r="43" spans="1:1" x14ac:dyDescent="0.35">
      <c r="A43">
        <f>_xlfn.CSC(Reals!A43)</f>
        <v>2.6291947907824111</v>
      </c>
    </row>
    <row r="44" spans="1:1" x14ac:dyDescent="0.35">
      <c r="A44">
        <f>_xlfn.CSC(Reals!A44)</f>
        <v>1.4887087279015627</v>
      </c>
    </row>
    <row r="45" spans="1:1" x14ac:dyDescent="0.35">
      <c r="A45">
        <f>_xlfn.CSC(Reals!A45)</f>
        <v>44.873708482945453</v>
      </c>
    </row>
    <row r="46" spans="1:1" x14ac:dyDescent="0.35">
      <c r="A46">
        <f>_xlfn.CSC(Reals!A46)</f>
        <v>-1.0328834251179098</v>
      </c>
    </row>
    <row r="47" spans="1:1" x14ac:dyDescent="0.35">
      <c r="A47">
        <f>_xlfn.CSC(Reals!A47)</f>
        <v>-1.0385502665779534</v>
      </c>
    </row>
    <row r="48" spans="1:1" x14ac:dyDescent="0.35">
      <c r="A48">
        <f>_xlfn.CSC(Reals!A48)</f>
        <v>3.332929316396894</v>
      </c>
    </row>
    <row r="49" spans="1:1" x14ac:dyDescent="0.35">
      <c r="A49">
        <f>_xlfn.CSC(Reals!A49)</f>
        <v>1.6352670534592808</v>
      </c>
    </row>
    <row r="50" spans="1:1" x14ac:dyDescent="0.35">
      <c r="A50">
        <f>_xlfn.CSC(Reals!A50)</f>
        <v>-16.71478344181957</v>
      </c>
    </row>
    <row r="51" spans="1:1" x14ac:dyDescent="0.35">
      <c r="A51">
        <f>_xlfn.CSC(Reals!A51)</f>
        <v>-1.0006868797147452</v>
      </c>
    </row>
    <row r="52" spans="1:1" x14ac:dyDescent="0.35">
      <c r="A52">
        <f>_xlfn.CSC(Reals!A52)</f>
        <v>1.0029584042793465</v>
      </c>
    </row>
    <row r="53" spans="1:1" x14ac:dyDescent="0.35">
      <c r="A53">
        <f>_xlfn.CSC(Reals!A53)</f>
        <v>3.3264595389838347</v>
      </c>
    </row>
    <row r="54" spans="1:1" x14ac:dyDescent="0.35">
      <c r="A54">
        <f>_xlfn.CSC(Reals!A54)</f>
        <v>-1.0657887016529768</v>
      </c>
    </row>
    <row r="55" spans="1:1" x14ac:dyDescent="0.35">
      <c r="A55">
        <f>_xlfn.CSC(Reals!A55)</f>
        <v>1.4383648756254779</v>
      </c>
    </row>
    <row r="56" spans="1:1" x14ac:dyDescent="0.35">
      <c r="A56">
        <f>_xlfn.CSC(Reals!A56)</f>
        <v>-1.4378402965988157</v>
      </c>
    </row>
    <row r="57" spans="1:1" x14ac:dyDescent="0.35">
      <c r="A57">
        <f>_xlfn.CSC(Reals!A57)</f>
        <v>1.5478746424166823</v>
      </c>
    </row>
    <row r="58" spans="1:1" x14ac:dyDescent="0.35">
      <c r="A58">
        <f>_xlfn.CSC(Reals!A58)</f>
        <v>1.0651323638284731</v>
      </c>
    </row>
    <row r="59" spans="1:1" x14ac:dyDescent="0.35">
      <c r="A59">
        <f>_xlfn.CSC(Reals!A59)</f>
        <v>1.1970800349620336</v>
      </c>
    </row>
    <row r="60" spans="1:1" x14ac:dyDescent="0.35">
      <c r="A60">
        <f>_xlfn.CSC(Reals!A60)</f>
        <v>5.5488193222511235</v>
      </c>
    </row>
    <row r="61" spans="1:1" x14ac:dyDescent="0.35">
      <c r="A61">
        <f>_xlfn.CSC(Reals!A61)</f>
        <v>2.0858296429334882</v>
      </c>
    </row>
    <row r="62" spans="1:1" x14ac:dyDescent="0.35">
      <c r="A62">
        <f>_xlfn.CSC(Reals!A62)</f>
        <v>1.1883951057781212</v>
      </c>
    </row>
    <row r="63" spans="1:1" x14ac:dyDescent="0.35">
      <c r="A63">
        <f>_xlfn.CSC(Reals!A63)</f>
        <v>1.0997501702946164</v>
      </c>
    </row>
    <row r="64" spans="1:1" x14ac:dyDescent="0.35">
      <c r="A64">
        <f>_xlfn.CSC(Reals!A64)</f>
        <v>-2.0858296429334882</v>
      </c>
    </row>
    <row r="65" spans="1:1" x14ac:dyDescent="0.35">
      <c r="A65">
        <f>_xlfn.CSC(Reals!A65)</f>
        <v>100000000</v>
      </c>
    </row>
    <row r="66" spans="1:1" x14ac:dyDescent="0.35">
      <c r="A66">
        <f>_xlfn.CSC(Reals!A66)</f>
        <v>1.4142135623730951</v>
      </c>
    </row>
    <row r="67" spans="1:1" x14ac:dyDescent="0.35">
      <c r="A67">
        <f>_xlfn.CSC(Reals!A67)</f>
        <v>1.1547005383792517</v>
      </c>
    </row>
    <row r="68" spans="1:1" x14ac:dyDescent="0.35">
      <c r="A68">
        <f>_xlfn.CSC(Reals!A68)</f>
        <v>2</v>
      </c>
    </row>
    <row r="69" spans="1:1" x14ac:dyDescent="0.35">
      <c r="A69">
        <f>_xlfn.CSC(Reals!A69)</f>
        <v>1.4142135623730949</v>
      </c>
    </row>
    <row r="70" spans="1:1" x14ac:dyDescent="0.35">
      <c r="A70">
        <f>_xlfn.CSC(Reals!A70)</f>
        <v>-1.9748575314240999</v>
      </c>
    </row>
    <row r="71" spans="1:1" x14ac:dyDescent="0.35">
      <c r="A71">
        <f>_xlfn.CSC(Reals!A71)</f>
        <v>27.972968511633223</v>
      </c>
    </row>
    <row r="72" spans="1:1" x14ac:dyDescent="0.35">
      <c r="A72">
        <f>_xlfn.CSC(Reals!A72)</f>
        <v>2.3778510223830924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4FFE-4769-48D1-9011-D05ED050F52D}">
  <dimension ref="A1:A72"/>
  <sheetViews>
    <sheetView workbookViewId="0"/>
  </sheetViews>
  <sheetFormatPr defaultRowHeight="14.5" x14ac:dyDescent="0.35"/>
  <sheetData>
    <row r="1" spans="1:1" x14ac:dyDescent="0.35">
      <c r="A1">
        <f>_xlfn.SEC(Reals!A1)</f>
        <v>1.0085708301686704</v>
      </c>
    </row>
    <row r="2" spans="1:1" x14ac:dyDescent="0.35">
      <c r="A2">
        <f>_xlfn.SEC(Reals!A2)</f>
        <v>-2.3026657383314633</v>
      </c>
    </row>
    <row r="3" spans="1:1" x14ac:dyDescent="0.35">
      <c r="A3">
        <f>_xlfn.SEC(Reals!A3)</f>
        <v>4.6428232098476885</v>
      </c>
    </row>
    <row r="4" spans="1:1" x14ac:dyDescent="0.35">
      <c r="A4">
        <f>_xlfn.SEC(Reals!A4)</f>
        <v>-1.3450644601681991</v>
      </c>
    </row>
    <row r="5" spans="1:1" x14ac:dyDescent="0.35">
      <c r="A5">
        <f>_xlfn.SEC(Reals!A5)</f>
        <v>-1.2773536480168888</v>
      </c>
    </row>
    <row r="6" spans="1:1" x14ac:dyDescent="0.35">
      <c r="A6">
        <f>_xlfn.SEC(Reals!A6)</f>
        <v>1.0003909732287333</v>
      </c>
    </row>
    <row r="7" spans="1:1" x14ac:dyDescent="0.35">
      <c r="A7">
        <f>_xlfn.SEC(Reals!A7)</f>
        <v>5.265709654278397</v>
      </c>
    </row>
    <row r="8" spans="1:1" x14ac:dyDescent="0.35">
      <c r="A8">
        <f>_xlfn.SEC(Reals!A8)</f>
        <v>622.30548974314388</v>
      </c>
    </row>
    <row r="9" spans="1:1" x14ac:dyDescent="0.35">
      <c r="A9">
        <f>_xlfn.SEC(Reals!A9)</f>
        <v>1.0820124115285876</v>
      </c>
    </row>
    <row r="10" spans="1:1" x14ac:dyDescent="0.35">
      <c r="A10">
        <f>_xlfn.SEC(Reals!A10)</f>
        <v>1.0203178098163657</v>
      </c>
    </row>
    <row r="11" spans="1:1" x14ac:dyDescent="0.35">
      <c r="A11">
        <f>_xlfn.SEC(Reals!A11)</f>
        <v>1.227558260427154</v>
      </c>
    </row>
    <row r="12" spans="1:1" x14ac:dyDescent="0.35">
      <c r="A12">
        <f>_xlfn.SEC(Reals!A12)</f>
        <v>-1.003437046787796</v>
      </c>
    </row>
    <row r="13" spans="1:1" x14ac:dyDescent="0.35">
      <c r="A13">
        <f>_xlfn.SEC(Reals!A13)</f>
        <v>-1.1122424623878464</v>
      </c>
    </row>
    <row r="14" spans="1:1" x14ac:dyDescent="0.35">
      <c r="A14">
        <f>_xlfn.SEC(Reals!A14)</f>
        <v>1.0040884383503164</v>
      </c>
    </row>
    <row r="15" spans="1:1" x14ac:dyDescent="0.35">
      <c r="A15">
        <f>_xlfn.SEC(Reals!A15)</f>
        <v>-1.0280027037435704</v>
      </c>
    </row>
    <row r="16" spans="1:1" x14ac:dyDescent="0.35">
      <c r="A16">
        <f>_xlfn.SEC(Reals!A16)</f>
        <v>-1.0109147356304873</v>
      </c>
    </row>
    <row r="17" spans="1:1" x14ac:dyDescent="0.35">
      <c r="A17">
        <f>_xlfn.SEC(Reals!A17)</f>
        <v>1.1381533611207324</v>
      </c>
    </row>
    <row r="18" spans="1:1" x14ac:dyDescent="0.35">
      <c r="A18">
        <f>_xlfn.SEC(Reals!A18)</f>
        <v>-5.5994458783100027</v>
      </c>
    </row>
    <row r="19" spans="1:1" x14ac:dyDescent="0.35">
      <c r="A19">
        <f>_xlfn.SEC(Reals!A19)</f>
        <v>1.8587975564328738</v>
      </c>
    </row>
    <row r="20" spans="1:1" x14ac:dyDescent="0.35">
      <c r="A20">
        <f>_xlfn.SEC(Reals!A20)</f>
        <v>1.0819890673644341</v>
      </c>
    </row>
    <row r="21" spans="1:1" x14ac:dyDescent="0.35">
      <c r="A21">
        <f>_xlfn.SEC(Reals!A21)</f>
        <v>-131.75883888316164</v>
      </c>
    </row>
    <row r="22" spans="1:1" x14ac:dyDescent="0.35">
      <c r="A22">
        <f>_xlfn.SEC(Reals!A22)</f>
        <v>-2.5913794669634043</v>
      </c>
    </row>
    <row r="23" spans="1:1" x14ac:dyDescent="0.35">
      <c r="A23">
        <f>_xlfn.SEC(Reals!A23)</f>
        <v>38.971597035065848</v>
      </c>
    </row>
    <row r="24" spans="1:1" x14ac:dyDescent="0.35">
      <c r="A24">
        <f>_xlfn.SEC(Reals!A24)</f>
        <v>1.0052659120122547</v>
      </c>
    </row>
    <row r="25" spans="1:1" x14ac:dyDescent="0.35">
      <c r="A25">
        <f>_xlfn.SEC(Reals!A25)</f>
        <v>-1.449800079671095</v>
      </c>
    </row>
    <row r="26" spans="1:1" x14ac:dyDescent="0.35">
      <c r="A26">
        <f>_xlfn.SEC(Reals!A26)</f>
        <v>30.828476476050881</v>
      </c>
    </row>
    <row r="27" spans="1:1" x14ac:dyDescent="0.35">
      <c r="A27">
        <f>_xlfn.SEC(Reals!A27)</f>
        <v>3.4926606113159799</v>
      </c>
    </row>
    <row r="28" spans="1:1" x14ac:dyDescent="0.35">
      <c r="A28">
        <f>_xlfn.SEC(Reals!A28)</f>
        <v>-1.0005317724148091</v>
      </c>
    </row>
    <row r="29" spans="1:1" x14ac:dyDescent="0.35">
      <c r="A29">
        <f>_xlfn.SEC(Reals!A29)</f>
        <v>3.6477227608895255</v>
      </c>
    </row>
    <row r="30" spans="1:1" x14ac:dyDescent="0.35">
      <c r="A30">
        <f>_xlfn.SEC(Reals!A30)</f>
        <v>-1.0026447224509787</v>
      </c>
    </row>
    <row r="31" spans="1:1" x14ac:dyDescent="0.35">
      <c r="A31">
        <f>_xlfn.SEC(Reals!A31)</f>
        <v>-13.950980885015436</v>
      </c>
    </row>
    <row r="32" spans="1:1" x14ac:dyDescent="0.35">
      <c r="A32">
        <f>_xlfn.SEC(Reals!A32)</f>
        <v>-1.4175441422740631</v>
      </c>
    </row>
    <row r="33" spans="1:1" x14ac:dyDescent="0.35">
      <c r="A33">
        <f>_xlfn.SEC(Reals!A33)</f>
        <v>1.8942048288179438</v>
      </c>
    </row>
    <row r="34" spans="1:1" x14ac:dyDescent="0.35">
      <c r="A34">
        <f>_xlfn.SEC(Reals!A34)</f>
        <v>-1.0002817979785101</v>
      </c>
    </row>
    <row r="35" spans="1:1" x14ac:dyDescent="0.35">
      <c r="A35">
        <f>_xlfn.SEC(Reals!A35)</f>
        <v>9.0833471635747891</v>
      </c>
    </row>
    <row r="36" spans="1:1" x14ac:dyDescent="0.35">
      <c r="A36">
        <f>_xlfn.SEC(Reals!A36)</f>
        <v>347.46435153505371</v>
      </c>
    </row>
    <row r="37" spans="1:1" x14ac:dyDescent="0.35">
      <c r="A37">
        <f>_xlfn.SEC(Reals!A37)</f>
        <v>-1.0174260163791333</v>
      </c>
    </row>
    <row r="38" spans="1:1" x14ac:dyDescent="0.35">
      <c r="A38">
        <f>_xlfn.SEC(Reals!A38)</f>
        <v>-11.882844051982543</v>
      </c>
    </row>
    <row r="39" spans="1:1" x14ac:dyDescent="0.35">
      <c r="A39">
        <f>_xlfn.SEC(Reals!A39)</f>
        <v>1.0544487143695753</v>
      </c>
    </row>
    <row r="40" spans="1:1" x14ac:dyDescent="0.35">
      <c r="A40">
        <f>_xlfn.SEC(Reals!A40)</f>
        <v>1.5893048851088543</v>
      </c>
    </row>
    <row r="41" spans="1:1" x14ac:dyDescent="0.35">
      <c r="A41">
        <f>_xlfn.SEC(Reals!A41)</f>
        <v>8.2375978786271382</v>
      </c>
    </row>
    <row r="42" spans="1:1" x14ac:dyDescent="0.35">
      <c r="A42">
        <f>_xlfn.SEC(Reals!A42)</f>
        <v>-1.0809028610680755</v>
      </c>
    </row>
    <row r="43" spans="1:1" x14ac:dyDescent="0.35">
      <c r="A43">
        <f>_xlfn.SEC(Reals!A43)</f>
        <v>-1.0812624405916742</v>
      </c>
    </row>
    <row r="44" spans="1:1" x14ac:dyDescent="0.35">
      <c r="A44">
        <f>_xlfn.SEC(Reals!A44)</f>
        <v>-1.3498877353246905</v>
      </c>
    </row>
    <row r="45" spans="1:1" x14ac:dyDescent="0.35">
      <c r="A45">
        <f>_xlfn.SEC(Reals!A45)</f>
        <v>1.0002483978732171</v>
      </c>
    </row>
    <row r="46" spans="1:1" x14ac:dyDescent="0.35">
      <c r="A46">
        <f>_xlfn.SEC(Reals!A46)</f>
        <v>3.9949058384909391</v>
      </c>
    </row>
    <row r="47" spans="1:1" x14ac:dyDescent="0.35">
      <c r="A47">
        <f>_xlfn.SEC(Reals!A47)</f>
        <v>-3.7047006059350158</v>
      </c>
    </row>
    <row r="48" spans="1:1" x14ac:dyDescent="0.35">
      <c r="A48">
        <f>_xlfn.SEC(Reals!A48)</f>
        <v>1.0482974053542198</v>
      </c>
    </row>
    <row r="49" spans="1:1" x14ac:dyDescent="0.35">
      <c r="A49">
        <f>_xlfn.SEC(Reals!A49)</f>
        <v>1.2638577750890123</v>
      </c>
    </row>
    <row r="50" spans="1:1" x14ac:dyDescent="0.35">
      <c r="A50">
        <f>_xlfn.SEC(Reals!A50)</f>
        <v>-1.0017944702662345</v>
      </c>
    </row>
    <row r="51" spans="1:1" x14ac:dyDescent="0.35">
      <c r="A51">
        <f>_xlfn.SEC(Reals!A51)</f>
        <v>26.994065554883448</v>
      </c>
    </row>
    <row r="52" spans="1:1" x14ac:dyDescent="0.35">
      <c r="A52">
        <f>_xlfn.SEC(Reals!A52)</f>
        <v>-13.029213353264955</v>
      </c>
    </row>
    <row r="53" spans="1:1" x14ac:dyDescent="0.35">
      <c r="A53">
        <f>_xlfn.SEC(Reals!A53)</f>
        <v>-1.0484993610196125</v>
      </c>
    </row>
    <row r="54" spans="1:1" x14ac:dyDescent="0.35">
      <c r="A54">
        <f>_xlfn.SEC(Reals!A54)</f>
        <v>-2.8910293805285208</v>
      </c>
    </row>
    <row r="55" spans="1:1" x14ac:dyDescent="0.35">
      <c r="A55">
        <f>_xlfn.SEC(Reals!A55)</f>
        <v>-1.3912393346078</v>
      </c>
    </row>
    <row r="56" spans="1:1" x14ac:dyDescent="0.35">
      <c r="A56">
        <f>_xlfn.SEC(Reals!A56)</f>
        <v>1.391714526865897</v>
      </c>
    </row>
    <row r="57" spans="1:1" x14ac:dyDescent="0.35">
      <c r="A57">
        <f>_xlfn.SEC(Reals!A57)</f>
        <v>1.3101051602061533</v>
      </c>
    </row>
    <row r="58" spans="1:1" x14ac:dyDescent="0.35">
      <c r="A58">
        <f>_xlfn.SEC(Reals!A58)</f>
        <v>2.9042313847432379</v>
      </c>
    </row>
    <row r="59" spans="1:1" x14ac:dyDescent="0.35">
      <c r="A59">
        <f>_xlfn.SEC(Reals!A59)</f>
        <v>1.8191936587655606</v>
      </c>
    </row>
    <row r="60" spans="1:1" x14ac:dyDescent="0.35">
      <c r="A60">
        <f>_xlfn.SEC(Reals!A60)</f>
        <v>-1.0166459522760913</v>
      </c>
    </row>
    <row r="61" spans="1:1" x14ac:dyDescent="0.35">
      <c r="A61">
        <f>_xlfn.SEC(Reals!A61)</f>
        <v>1.139493927324549</v>
      </c>
    </row>
    <row r="62" spans="1:1" x14ac:dyDescent="0.35">
      <c r="A62">
        <f>_xlfn.SEC(Reals!A62)</f>
        <v>1.8508157176809255</v>
      </c>
    </row>
    <row r="63" spans="1:1" x14ac:dyDescent="0.35">
      <c r="A63">
        <f>_xlfn.SEC(Reals!A63)</f>
        <v>-2.4029979617223809</v>
      </c>
    </row>
    <row r="64" spans="1:1" x14ac:dyDescent="0.35">
      <c r="A64">
        <f>_xlfn.SEC(Reals!A64)</f>
        <v>1.139493927324549</v>
      </c>
    </row>
    <row r="65" spans="1:1" x14ac:dyDescent="0.35">
      <c r="A65">
        <f>_xlfn.SEC(Reals!A65)</f>
        <v>1</v>
      </c>
    </row>
    <row r="66" spans="1:1" x14ac:dyDescent="0.35">
      <c r="A66">
        <f>_xlfn.SEC(Reals!A66)</f>
        <v>1.4142135623730949</v>
      </c>
    </row>
    <row r="67" spans="1:1" x14ac:dyDescent="0.35">
      <c r="A67">
        <f>_xlfn.SEC(Reals!A67)</f>
        <v>1.9999999999999996</v>
      </c>
    </row>
    <row r="68" spans="1:1" x14ac:dyDescent="0.35">
      <c r="A68">
        <f>_xlfn.SEC(Reals!A68)</f>
        <v>1.1547005383792515</v>
      </c>
    </row>
    <row r="69" spans="1:1" x14ac:dyDescent="0.35">
      <c r="A69">
        <f>_xlfn.SEC(Reals!A69)</f>
        <v>-1.4142135623730951</v>
      </c>
    </row>
    <row r="70" spans="1:1" x14ac:dyDescent="0.35">
      <c r="A70">
        <f>_xlfn.SEC(Reals!A70)</f>
        <v>1.1596638229046938</v>
      </c>
    </row>
    <row r="71" spans="1:1" x14ac:dyDescent="0.35">
      <c r="A71">
        <f>_xlfn.SEC(Reals!A71)</f>
        <v>-1.0006396013902388</v>
      </c>
    </row>
    <row r="72" spans="1:1" x14ac:dyDescent="0.35">
      <c r="A72">
        <f>_xlfn.SEC(Reals!A72)</f>
        <v>-1.1022072529101146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EFC0-2F9A-4C1A-A1D3-423204E9CB72}">
  <dimension ref="A1:A72"/>
  <sheetViews>
    <sheetView workbookViewId="0"/>
  </sheetViews>
  <sheetFormatPr defaultRowHeight="14.5" x14ac:dyDescent="0.35"/>
  <sheetData>
    <row r="1" spans="1:1" x14ac:dyDescent="0.35">
      <c r="A1">
        <f>_xlfn.COTH(Reals!A1)</f>
        <v>-1.0000090540665032</v>
      </c>
    </row>
    <row r="2" spans="1:1" x14ac:dyDescent="0.35">
      <c r="A2">
        <f>_xlfn.COTH(Reals!A2)</f>
        <v>-1.0003964516113184</v>
      </c>
    </row>
    <row r="3" spans="1:1" x14ac:dyDescent="0.35">
      <c r="A3">
        <f>_xlfn.COTH(Reals!A3)</f>
        <v>-1.0000004652731027</v>
      </c>
    </row>
    <row r="4" spans="1:1" x14ac:dyDescent="0.35">
      <c r="A4">
        <f>_xlfn.COTH(Reals!A4)</f>
        <v>-1.0008633033165364</v>
      </c>
    </row>
    <row r="5" spans="1:1" x14ac:dyDescent="0.35">
      <c r="A5">
        <f>_xlfn.COTH(Reals!A5)</f>
        <v>-1.0009754445540866</v>
      </c>
    </row>
    <row r="6" spans="1:1" x14ac:dyDescent="0.35">
      <c r="A6">
        <f>_xlfn.COTH(Reals!A6)</f>
        <v>-1.0000065954031847</v>
      </c>
    </row>
    <row r="7" spans="1:1" x14ac:dyDescent="0.35">
      <c r="A7">
        <f>_xlfn.COTH(Reals!A7)</f>
        <v>1.13521508599731</v>
      </c>
    </row>
    <row r="8" spans="1:1" x14ac:dyDescent="0.35">
      <c r="A8">
        <f>_xlfn.COTH(Reals!A8)</f>
        <v>1.0001608940967772</v>
      </c>
    </row>
    <row r="9" spans="1:1" x14ac:dyDescent="0.35">
      <c r="A9">
        <f>_xlfn.COTH(Reals!A9)</f>
        <v>-1.0000152716229529</v>
      </c>
    </row>
    <row r="10" spans="1:1" x14ac:dyDescent="0.35">
      <c r="A10">
        <f>_xlfn.COTH(Reals!A10)</f>
        <v>5.0690004342982817</v>
      </c>
    </row>
    <row r="11" spans="1:1" x14ac:dyDescent="0.35">
      <c r="A11">
        <f>_xlfn.COTH(Reals!A11)</f>
        <v>-1.0000020235656799</v>
      </c>
    </row>
    <row r="12" spans="1:1" x14ac:dyDescent="0.35">
      <c r="A12">
        <f>_xlfn.COTH(Reals!A12)</f>
        <v>1.000000011037226</v>
      </c>
    </row>
    <row r="13" spans="1:1" x14ac:dyDescent="0.35">
      <c r="A13">
        <f>_xlfn.COTH(Reals!A13)</f>
        <v>-1.0015101771591752</v>
      </c>
    </row>
    <row r="14" spans="1:1" x14ac:dyDescent="0.35">
      <c r="A14">
        <f>_xlfn.COTH(Reals!A14)</f>
        <v>11.107651685206358</v>
      </c>
    </row>
    <row r="15" spans="1:1" x14ac:dyDescent="0.35">
      <c r="A15">
        <f>_xlfn.COTH(Reals!A15)</f>
        <v>1.0023419946230352</v>
      </c>
    </row>
    <row r="16" spans="1:1" x14ac:dyDescent="0.35">
      <c r="A16">
        <f>_xlfn.COTH(Reals!A16)</f>
        <v>-1.0027869509048779</v>
      </c>
    </row>
    <row r="17" spans="1:1" x14ac:dyDescent="0.35">
      <c r="A17">
        <f>_xlfn.COTH(Reals!A17)</f>
        <v>-2.1719464939823823</v>
      </c>
    </row>
    <row r="18" spans="1:1" x14ac:dyDescent="0.35">
      <c r="A18">
        <f>_xlfn.COTH(Reals!A18)</f>
        <v>1.0000002104704433</v>
      </c>
    </row>
    <row r="19" spans="1:1" x14ac:dyDescent="0.35">
      <c r="A19">
        <f>_xlfn.COTH(Reals!A19)</f>
        <v>1.3110478567893893</v>
      </c>
    </row>
    <row r="20" spans="1:1" x14ac:dyDescent="0.35">
      <c r="A20">
        <f>_xlfn.COTH(Reals!A20)</f>
        <v>-1.0000152700281857</v>
      </c>
    </row>
    <row r="21" spans="1:1" x14ac:dyDescent="0.35">
      <c r="A21">
        <f>_xlfn.COTH(Reals!A21)</f>
        <v>1.0000002968629262</v>
      </c>
    </row>
    <row r="22" spans="1:1" x14ac:dyDescent="0.35">
      <c r="A22">
        <f>_xlfn.COTH(Reals!A22)</f>
        <v>-1.0003565281682305</v>
      </c>
    </row>
    <row r="23" spans="1:1" x14ac:dyDescent="0.35">
      <c r="A23">
        <f>_xlfn.COTH(Reals!A23)</f>
        <v>-1.0001533359679955</v>
      </c>
    </row>
    <row r="24" spans="1:1" x14ac:dyDescent="0.35">
      <c r="A24">
        <f>_xlfn.COTH(Reals!A24)</f>
        <v>9.7997092658532221</v>
      </c>
    </row>
    <row r="25" spans="1:1" x14ac:dyDescent="0.35">
      <c r="A25">
        <f>_xlfn.COTH(Reals!A25)</f>
        <v>1.0190391266971874</v>
      </c>
    </row>
    <row r="26" spans="1:1" x14ac:dyDescent="0.35">
      <c r="A26">
        <f>_xlfn.COTH(Reals!A26)</f>
        <v>1.0001512703969779</v>
      </c>
    </row>
    <row r="27" spans="1:1" x14ac:dyDescent="0.35">
      <c r="A27">
        <f>_xlfn.COTH(Reals!A27)</f>
        <v>-1.000090302793015</v>
      </c>
    </row>
    <row r="28" spans="1:1" x14ac:dyDescent="0.35">
      <c r="A28">
        <f>_xlfn.COTH(Reals!A28)</f>
        <v>-1.0000000122025809</v>
      </c>
    </row>
    <row r="29" spans="1:1" x14ac:dyDescent="0.35">
      <c r="A29">
        <f>_xlfn.COTH(Reals!A29)</f>
        <v>-1.0000005252362927</v>
      </c>
    </row>
    <row r="30" spans="1:1" x14ac:dyDescent="0.35">
      <c r="A30">
        <f>_xlfn.COTH(Reals!A30)</f>
        <v>1.0032350236334673</v>
      </c>
    </row>
    <row r="31" spans="1:1" x14ac:dyDescent="0.35">
      <c r="A31">
        <f>_xlfn.COTH(Reals!A31)</f>
        <v>-1.0000002611167793</v>
      </c>
    </row>
    <row r="32" spans="1:1" x14ac:dyDescent="0.35">
      <c r="A32">
        <f>_xlfn.COTH(Reals!A32)</f>
        <v>-1.0007730695225623</v>
      </c>
    </row>
    <row r="33" spans="1:1" x14ac:dyDescent="0.35">
      <c r="A33">
        <f>_xlfn.COTH(Reals!A33)</f>
        <v>-1.0000530689997778</v>
      </c>
    </row>
    <row r="34" spans="1:1" x14ac:dyDescent="0.35">
      <c r="A34">
        <f>_xlfn.COTH(Reals!A34)</f>
        <v>1.0000000124209223</v>
      </c>
    </row>
    <row r="35" spans="1:1" x14ac:dyDescent="0.35">
      <c r="A35">
        <f>_xlfn.COTH(Reals!A35)</f>
        <v>-1.0000003758087264</v>
      </c>
    </row>
    <row r="36" spans="1:1" x14ac:dyDescent="0.35">
      <c r="A36">
        <f>_xlfn.COTH(Reals!A36)</f>
        <v>1.0001604855685915</v>
      </c>
    </row>
    <row r="37" spans="1:1" x14ac:dyDescent="0.35">
      <c r="A37">
        <f>_xlfn.COTH(Reals!A37)</f>
        <v>1.0000000188695624</v>
      </c>
    </row>
    <row r="38" spans="1:1" x14ac:dyDescent="0.35">
      <c r="A38">
        <f>_xlfn.COTH(Reals!A38)</f>
        <v>1.0000002546628983</v>
      </c>
    </row>
    <row r="39" spans="1:1" x14ac:dyDescent="0.35">
      <c r="A39">
        <f>_xlfn.COTH(Reals!A39)</f>
        <v>-1.0000036574430964</v>
      </c>
    </row>
    <row r="40" spans="1:1" x14ac:dyDescent="0.35">
      <c r="A40">
        <f>_xlfn.COTH(Reals!A40)</f>
        <v>1.4054325584973408</v>
      </c>
    </row>
    <row r="41" spans="1:1" x14ac:dyDescent="0.35">
      <c r="A41">
        <f>_xlfn.COTH(Reals!A41)</f>
        <v>-1.1166757810767385</v>
      </c>
    </row>
    <row r="42" spans="1:1" x14ac:dyDescent="0.35">
      <c r="A42">
        <f>_xlfn.COTH(Reals!A42)</f>
        <v>1.0000000059783154</v>
      </c>
    </row>
    <row r="43" spans="1:1" x14ac:dyDescent="0.35">
      <c r="A43">
        <f>_xlfn.COTH(Reals!A43)</f>
        <v>1.0000000284228903</v>
      </c>
    </row>
    <row r="44" spans="1:1" x14ac:dyDescent="0.35">
      <c r="A44">
        <f>_xlfn.COTH(Reals!A44)</f>
        <v>-1.0008564843028573</v>
      </c>
    </row>
    <row r="45" spans="1:1" x14ac:dyDescent="0.35">
      <c r="A45">
        <f>_xlfn.COTH(Reals!A45)</f>
        <v>1.0000066706495692</v>
      </c>
    </row>
    <row r="46" spans="1:1" x14ac:dyDescent="0.35">
      <c r="A46">
        <f>_xlfn.COTH(Reals!A46)</f>
        <v>-1.0000004999304708</v>
      </c>
    </row>
    <row r="47" spans="1:1" x14ac:dyDescent="0.35">
      <c r="A47">
        <f>_xlfn.COTH(Reals!A47)</f>
        <v>-1.0513163378511121</v>
      </c>
    </row>
    <row r="48" spans="1:1" x14ac:dyDescent="0.35">
      <c r="A48">
        <f>_xlfn.COTH(Reals!A48)</f>
        <v>3.3825387850794431</v>
      </c>
    </row>
    <row r="49" spans="1:1" x14ac:dyDescent="0.35">
      <c r="A49">
        <f>_xlfn.COTH(Reals!A49)</f>
        <v>1.0000018707235734</v>
      </c>
    </row>
    <row r="50" spans="1:1" x14ac:dyDescent="0.35">
      <c r="A50">
        <f>_xlfn.COTH(Reals!A50)</f>
        <v>-1.0042187985414632</v>
      </c>
    </row>
    <row r="51" spans="1:1" x14ac:dyDescent="0.35">
      <c r="A51">
        <f>_xlfn.COTH(Reals!A51)</f>
        <v>-1.0976190702545923</v>
      </c>
    </row>
    <row r="52" spans="1:1" x14ac:dyDescent="0.35">
      <c r="A52">
        <f>_xlfn.COTH(Reals!A52)</f>
        <v>1.0769703738603982</v>
      </c>
    </row>
    <row r="53" spans="1:1" x14ac:dyDescent="0.35">
      <c r="A53">
        <f>_xlfn.COTH(Reals!A53)</f>
        <v>1.0000000239877251</v>
      </c>
    </row>
    <row r="54" spans="1:1" x14ac:dyDescent="0.35">
      <c r="A54">
        <f>_xlfn.COTH(Reals!A54)</f>
        <v>1.0003271549092601</v>
      </c>
    </row>
    <row r="55" spans="1:1" x14ac:dyDescent="0.35">
      <c r="A55">
        <f>_xlfn.COTH(Reals!A55)</f>
        <v>1.0000000606031945</v>
      </c>
    </row>
    <row r="56" spans="1:1" x14ac:dyDescent="0.35">
      <c r="A56">
        <f>_xlfn.COTH(Reals!A56)</f>
        <v>1.000032475947243</v>
      </c>
    </row>
    <row r="57" spans="1:1" x14ac:dyDescent="0.35">
      <c r="A57">
        <f>_xlfn.COTH(Reals!A57)</f>
        <v>1.6504772030969492</v>
      </c>
    </row>
    <row r="58" spans="1:1" x14ac:dyDescent="0.35">
      <c r="A58">
        <f>_xlfn.COTH(Reals!A58)</f>
        <v>-1.000079908313138</v>
      </c>
    </row>
    <row r="59" spans="1:1" x14ac:dyDescent="0.35">
      <c r="A59">
        <f>_xlfn.COTH(Reals!A59)</f>
        <v>1.0000009653070319</v>
      </c>
    </row>
    <row r="60" spans="1:1" x14ac:dyDescent="0.35">
      <c r="A60">
        <f>_xlfn.COTH(Reals!A60)</f>
        <v>1.000000018714045</v>
      </c>
    </row>
    <row r="61" spans="1:1" x14ac:dyDescent="0.35">
      <c r="A61">
        <f>_xlfn.COTH(Reals!A61)</f>
        <v>2.1639534137386529</v>
      </c>
    </row>
    <row r="62" spans="1:1" x14ac:dyDescent="0.35">
      <c r="A62">
        <f>_xlfn.COTH(Reals!A62)</f>
        <v>1.3130352854993315</v>
      </c>
    </row>
    <row r="63" spans="1:1" x14ac:dyDescent="0.35">
      <c r="A63">
        <f>_xlfn.COTH(Reals!A63)</f>
        <v>1.0373147207275479</v>
      </c>
    </row>
    <row r="64" spans="1:1" x14ac:dyDescent="0.35">
      <c r="A64">
        <f>_xlfn.COTH(Reals!A64)</f>
        <v>-2.1639534137386529</v>
      </c>
    </row>
    <row r="65" spans="1:1" x14ac:dyDescent="0.35">
      <c r="A65">
        <f>_xlfn.COTH(Reals!A65)</f>
        <v>100000000</v>
      </c>
    </row>
    <row r="66" spans="1:1" x14ac:dyDescent="0.35">
      <c r="A66">
        <f>_xlfn.COTH(Reals!A66)</f>
        <v>1.5248686188220641</v>
      </c>
    </row>
    <row r="67" spans="1:1" x14ac:dyDescent="0.35">
      <c r="A67">
        <f>_xlfn.COTH(Reals!A67)</f>
        <v>1.2808780710450447</v>
      </c>
    </row>
    <row r="68" spans="1:1" x14ac:dyDescent="0.35">
      <c r="A68">
        <f>_xlfn.COTH(Reals!A68)</f>
        <v>2.0812833639336374</v>
      </c>
    </row>
    <row r="69" spans="1:1" x14ac:dyDescent="0.35">
      <c r="A69">
        <f>_xlfn.COTH(Reals!A69)</f>
        <v>1.0181294441147934</v>
      </c>
    </row>
    <row r="70" spans="1:1" x14ac:dyDescent="0.35">
      <c r="A70">
        <f>_xlfn.COTH(Reals!A70)</f>
        <v>1</v>
      </c>
    </row>
    <row r="71" spans="1:1" x14ac:dyDescent="0.35">
      <c r="A71">
        <f>_xlfn.COTH(Reals!A71)</f>
        <v>1</v>
      </c>
    </row>
    <row r="72" spans="1:1" x14ac:dyDescent="0.35">
      <c r="A72">
        <f>_xlfn.COTH(Reals!A72)</f>
        <v>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1C8B-D377-45A1-86F2-9D10CF5F455B}">
  <dimension ref="A1:A72"/>
  <sheetViews>
    <sheetView workbookViewId="0"/>
  </sheetViews>
  <sheetFormatPr defaultRowHeight="14.5" x14ac:dyDescent="0.35"/>
  <sheetData>
    <row r="1" spans="1:1" x14ac:dyDescent="0.35">
      <c r="A1">
        <f>_xlfn.CSCH(Reals!A1)</f>
        <v>-4.2553748345065352E-3</v>
      </c>
    </row>
    <row r="2" spans="1:1" x14ac:dyDescent="0.35">
      <c r="A2">
        <f>_xlfn.CSCH(Reals!A2)</f>
        <v>-2.8161328031840849E-2</v>
      </c>
    </row>
    <row r="3" spans="1:1" x14ac:dyDescent="0.35">
      <c r="A3">
        <f>_xlfn.CSCH(Reals!A3)</f>
        <v>-9.646483410407175E-4</v>
      </c>
    </row>
    <row r="4" spans="1:1" x14ac:dyDescent="0.35">
      <c r="A4">
        <f>_xlfn.CSCH(Reals!A4)</f>
        <v>-4.1561423528186814E-2</v>
      </c>
    </row>
    <row r="5" spans="1:1" x14ac:dyDescent="0.35">
      <c r="A5">
        <f>_xlfn.CSCH(Reals!A5)</f>
        <v>-4.4179640110021449E-2</v>
      </c>
    </row>
    <row r="6" spans="1:1" x14ac:dyDescent="0.35">
      <c r="A6">
        <f>_xlfn.CSCH(Reals!A6)</f>
        <v>-3.6319209612560026E-3</v>
      </c>
    </row>
    <row r="7" spans="1:1" x14ac:dyDescent="0.35">
      <c r="A7">
        <f>_xlfn.CSCH(Reals!A7)</f>
        <v>0.53732047371738967</v>
      </c>
    </row>
    <row r="8" spans="1:1" x14ac:dyDescent="0.35">
      <c r="A8">
        <f>_xlfn.CSCH(Reals!A8)</f>
        <v>1.7939177251614109E-2</v>
      </c>
    </row>
    <row r="9" spans="1:1" x14ac:dyDescent="0.35">
      <c r="A9">
        <f>_xlfn.CSCH(Reals!A9)</f>
        <v>-5.5266155220093588E-3</v>
      </c>
    </row>
    <row r="10" spans="1:1" x14ac:dyDescent="0.35">
      <c r="A10">
        <f>_xlfn.CSCH(Reals!A10)</f>
        <v>4.9693827989918589</v>
      </c>
    </row>
    <row r="11" spans="1:1" x14ac:dyDescent="0.35">
      <c r="A11">
        <f>_xlfn.CSCH(Reals!A11)</f>
        <v>-2.0117493518526683E-3</v>
      </c>
    </row>
    <row r="12" spans="1:1" x14ac:dyDescent="0.35">
      <c r="A12">
        <f>_xlfn.CSCH(Reals!A12)</f>
        <v>1.4857473578791847E-4</v>
      </c>
    </row>
    <row r="13" spans="1:1" x14ac:dyDescent="0.35">
      <c r="A13">
        <f>_xlfn.CSCH(Reals!A13)</f>
        <v>-5.4978495372303759E-2</v>
      </c>
    </row>
    <row r="14" spans="1:1" x14ac:dyDescent="0.35">
      <c r="A14">
        <f>_xlfn.CSCH(Reals!A14)</f>
        <v>11.062546088485583</v>
      </c>
    </row>
    <row r="15" spans="1:1" x14ac:dyDescent="0.35">
      <c r="A15">
        <f>_xlfn.CSCH(Reals!A15)</f>
        <v>6.8479735578377041E-2</v>
      </c>
    </row>
    <row r="16" spans="1:1" x14ac:dyDescent="0.35">
      <c r="A16">
        <f>_xlfn.CSCH(Reals!A16)</f>
        <v>-7.4710567559762547E-2</v>
      </c>
    </row>
    <row r="17" spans="1:1" x14ac:dyDescent="0.35">
      <c r="A17">
        <f>_xlfn.CSCH(Reals!A17)</f>
        <v>-1.9280434571664518</v>
      </c>
    </row>
    <row r="18" spans="1:1" x14ac:dyDescent="0.35">
      <c r="A18">
        <f>_xlfn.CSCH(Reals!A18)</f>
        <v>6.4879960777395663E-4</v>
      </c>
    </row>
    <row r="19" spans="1:1" x14ac:dyDescent="0.35">
      <c r="A19">
        <f>_xlfn.CSCH(Reals!A19)</f>
        <v>0.84784814842756528</v>
      </c>
    </row>
    <row r="20" spans="1:1" x14ac:dyDescent="0.35">
      <c r="A20">
        <f>_xlfn.CSCH(Reals!A20)</f>
        <v>-5.5263269488103391E-3</v>
      </c>
    </row>
    <row r="21" spans="1:1" x14ac:dyDescent="0.35">
      <c r="A21">
        <f>_xlfn.CSCH(Reals!A21)</f>
        <v>7.7053613860988697E-4</v>
      </c>
    </row>
    <row r="22" spans="1:1" x14ac:dyDescent="0.35">
      <c r="A22">
        <f>_xlfn.CSCH(Reals!A22)</f>
        <v>-2.6705494730399057E-2</v>
      </c>
    </row>
    <row r="23" spans="1:1" x14ac:dyDescent="0.35">
      <c r="A23">
        <f>_xlfn.CSCH(Reals!A23)</f>
        <v>-1.7512722458553398E-2</v>
      </c>
    </row>
    <row r="24" spans="1:1" x14ac:dyDescent="0.35">
      <c r="A24">
        <f>_xlfn.CSCH(Reals!A24)</f>
        <v>9.7485538258374227</v>
      </c>
    </row>
    <row r="25" spans="1:1" x14ac:dyDescent="0.35">
      <c r="A25">
        <f>_xlfn.CSCH(Reals!A25)</f>
        <v>0.19606310652380934</v>
      </c>
    </row>
    <row r="26" spans="1:1" x14ac:dyDescent="0.35">
      <c r="A26">
        <f>_xlfn.CSCH(Reals!A26)</f>
        <v>1.7394357610696076E-2</v>
      </c>
    </row>
    <row r="27" spans="1:1" x14ac:dyDescent="0.35">
      <c r="A27">
        <f>_xlfn.CSCH(Reals!A27)</f>
        <v>-1.3439261163643433E-2</v>
      </c>
    </row>
    <row r="28" spans="1:1" x14ac:dyDescent="0.35">
      <c r="A28">
        <f>_xlfn.CSCH(Reals!A28)</f>
        <v>-1.562215156635615E-4</v>
      </c>
    </row>
    <row r="29" spans="1:1" x14ac:dyDescent="0.35">
      <c r="A29">
        <f>_xlfn.CSCH(Reals!A29)</f>
        <v>-1.0249257833842423E-3</v>
      </c>
    </row>
    <row r="30" spans="1:1" x14ac:dyDescent="0.35">
      <c r="A30">
        <f>_xlfn.CSCH(Reals!A30)</f>
        <v>8.0501631317904929E-2</v>
      </c>
    </row>
    <row r="31" spans="1:1" x14ac:dyDescent="0.35">
      <c r="A31">
        <f>_xlfn.CSCH(Reals!A31)</f>
        <v>-7.2265733715111728E-4</v>
      </c>
    </row>
    <row r="32" spans="1:1" x14ac:dyDescent="0.35">
      <c r="A32">
        <f>_xlfn.CSCH(Reals!A32)</f>
        <v>-3.9328573348279376E-2</v>
      </c>
    </row>
    <row r="33" spans="1:1" x14ac:dyDescent="0.35">
      <c r="A33">
        <f>_xlfn.CSCH(Reals!A33)</f>
        <v>-1.0302466494681785E-2</v>
      </c>
    </row>
    <row r="34" spans="1:1" x14ac:dyDescent="0.35">
      <c r="A34">
        <f>_xlfn.CSCH(Reals!A34)</f>
        <v>1.5761295801014293E-4</v>
      </c>
    </row>
    <row r="35" spans="1:1" x14ac:dyDescent="0.35">
      <c r="A35">
        <f>_xlfn.CSCH(Reals!A35)</f>
        <v>-8.669588191164237E-4</v>
      </c>
    </row>
    <row r="36" spans="1:1" x14ac:dyDescent="0.35">
      <c r="A36">
        <f>_xlfn.CSCH(Reals!A36)</f>
        <v>1.791638615348248E-2</v>
      </c>
    </row>
    <row r="37" spans="1:1" x14ac:dyDescent="0.35">
      <c r="A37">
        <f>_xlfn.CSCH(Reals!A37)</f>
        <v>1.9426560434035881E-4</v>
      </c>
    </row>
    <row r="38" spans="1:1" x14ac:dyDescent="0.35">
      <c r="A38">
        <f>_xlfn.CSCH(Reals!A38)</f>
        <v>7.1367069518555898E-4</v>
      </c>
    </row>
    <row r="39" spans="1:1" x14ac:dyDescent="0.35">
      <c r="A39">
        <f>_xlfn.CSCH(Reals!A39)</f>
        <v>-2.7046071007950021E-3</v>
      </c>
    </row>
    <row r="40" spans="1:1" x14ac:dyDescent="0.35">
      <c r="A40">
        <f>_xlfn.CSCH(Reals!A40)</f>
        <v>0.98754274666182473</v>
      </c>
    </row>
    <row r="41" spans="1:1" x14ac:dyDescent="0.35">
      <c r="A41">
        <f>_xlfn.CSCH(Reals!A41)</f>
        <v>-0.49695553125339492</v>
      </c>
    </row>
    <row r="42" spans="1:1" x14ac:dyDescent="0.35">
      <c r="A42">
        <f>_xlfn.CSCH(Reals!A42)</f>
        <v>1.0934637906612184E-4</v>
      </c>
    </row>
    <row r="43" spans="1:1" x14ac:dyDescent="0.35">
      <c r="A43">
        <f>_xlfn.CSCH(Reals!A43)</f>
        <v>2.3842353383619463E-4</v>
      </c>
    </row>
    <row r="44" spans="1:1" x14ac:dyDescent="0.35">
      <c r="A44">
        <f>_xlfn.CSCH(Reals!A44)</f>
        <v>-4.1396886006992629E-2</v>
      </c>
    </row>
    <row r="45" spans="1:1" x14ac:dyDescent="0.35">
      <c r="A45">
        <f>_xlfn.CSCH(Reals!A45)</f>
        <v>3.652580407845143E-3</v>
      </c>
    </row>
    <row r="46" spans="1:1" x14ac:dyDescent="0.35">
      <c r="A46">
        <f>_xlfn.CSCH(Reals!A46)</f>
        <v>-9.9993059310510908E-4</v>
      </c>
    </row>
    <row r="47" spans="1:1" x14ac:dyDescent="0.35">
      <c r="A47">
        <f>_xlfn.CSCH(Reals!A47)</f>
        <v>-0.32444728729436739</v>
      </c>
    </row>
    <row r="48" spans="1:1" x14ac:dyDescent="0.35">
      <c r="A48">
        <f>_xlfn.CSCH(Reals!A48)</f>
        <v>3.2313416149591352</v>
      </c>
    </row>
    <row r="49" spans="1:1" x14ac:dyDescent="0.35">
      <c r="A49">
        <f>_xlfn.CSCH(Reals!A49)</f>
        <v>1.9342829799629563E-3</v>
      </c>
    </row>
    <row r="50" spans="1:1" x14ac:dyDescent="0.35">
      <c r="A50">
        <f>_xlfn.CSCH(Reals!A50)</f>
        <v>-9.1953223674102344E-2</v>
      </c>
    </row>
    <row r="51" spans="1:1" x14ac:dyDescent="0.35">
      <c r="A51">
        <f>_xlfn.CSCH(Reals!A51)</f>
        <v>-0.45251256710345128</v>
      </c>
    </row>
    <row r="52" spans="1:1" x14ac:dyDescent="0.35">
      <c r="A52">
        <f>_xlfn.CSCH(Reals!A52)</f>
        <v>0.39983144720370078</v>
      </c>
    </row>
    <row r="53" spans="1:1" x14ac:dyDescent="0.35">
      <c r="A53">
        <f>_xlfn.CSCH(Reals!A53)</f>
        <v>2.1903299111009466E-4</v>
      </c>
    </row>
    <row r="54" spans="1:1" x14ac:dyDescent="0.35">
      <c r="A54">
        <f>_xlfn.CSCH(Reals!A54)</f>
        <v>2.5581572446872994E-2</v>
      </c>
    </row>
    <row r="55" spans="1:1" x14ac:dyDescent="0.35">
      <c r="A55">
        <f>_xlfn.CSCH(Reals!A55)</f>
        <v>3.4814708452955234E-4</v>
      </c>
    </row>
    <row r="56" spans="1:1" x14ac:dyDescent="0.35">
      <c r="A56">
        <f>_xlfn.CSCH(Reals!A56)</f>
        <v>8.0593392516470821E-3</v>
      </c>
    </row>
    <row r="57" spans="1:1" x14ac:dyDescent="0.35">
      <c r="A57">
        <f>_xlfn.CSCH(Reals!A57)</f>
        <v>1.3130403641711585</v>
      </c>
    </row>
    <row r="58" spans="1:1" x14ac:dyDescent="0.35">
      <c r="A58">
        <f>_xlfn.CSCH(Reals!A58)</f>
        <v>-1.2642112624659268E-2</v>
      </c>
    </row>
    <row r="59" spans="1:1" x14ac:dyDescent="0.35">
      <c r="A59">
        <f>_xlfn.CSCH(Reals!A59)</f>
        <v>1.3894657230697663E-3</v>
      </c>
    </row>
    <row r="60" spans="1:1" x14ac:dyDescent="0.35">
      <c r="A60">
        <f>_xlfn.CSCH(Reals!A60)</f>
        <v>1.9346340830351093E-4</v>
      </c>
    </row>
    <row r="61" spans="1:1" x14ac:dyDescent="0.35">
      <c r="A61">
        <f>_xlfn.CSCH(Reals!A61)</f>
        <v>1.9190347513349437</v>
      </c>
    </row>
    <row r="62" spans="1:1" x14ac:dyDescent="0.35">
      <c r="A62">
        <f>_xlfn.CSCH(Reals!A62)</f>
        <v>0.85091812823932156</v>
      </c>
    </row>
    <row r="63" spans="1:1" x14ac:dyDescent="0.35">
      <c r="A63">
        <f>_xlfn.CSCH(Reals!A63)</f>
        <v>0.27572056477178319</v>
      </c>
    </row>
    <row r="64" spans="1:1" x14ac:dyDescent="0.35">
      <c r="A64">
        <f>_xlfn.CSCH(Reals!A64)</f>
        <v>-1.9190347513349437</v>
      </c>
    </row>
    <row r="65" spans="1:1" x14ac:dyDescent="0.35">
      <c r="A65">
        <f>_xlfn.CSCH(Reals!A65)</f>
        <v>100000000</v>
      </c>
    </row>
    <row r="66" spans="1:1" x14ac:dyDescent="0.35">
      <c r="A66">
        <f>_xlfn.CSCH(Reals!A66)</f>
        <v>1.1511838709208486</v>
      </c>
    </row>
    <row r="67" spans="1:1" x14ac:dyDescent="0.35">
      <c r="A67">
        <f>_xlfn.CSCH(Reals!A67)</f>
        <v>0.80040529288859308</v>
      </c>
    </row>
    <row r="68" spans="1:1" x14ac:dyDescent="0.35">
      <c r="A68">
        <f>_xlfn.CSCH(Reals!A68)</f>
        <v>1.8253055746879534</v>
      </c>
    </row>
    <row r="69" spans="1:1" x14ac:dyDescent="0.35">
      <c r="A69">
        <f>_xlfn.CSCH(Reals!A69)</f>
        <v>0.19127876247377312</v>
      </c>
    </row>
    <row r="70" spans="1:1" x14ac:dyDescent="0.35">
      <c r="A70">
        <f>_xlfn.CSCH(Reals!A70)</f>
        <v>7.4401519520416712E-44</v>
      </c>
    </row>
    <row r="71" spans="1:1" x14ac:dyDescent="0.35">
      <c r="A71">
        <f>_xlfn.CSCH(Reals!A71)</f>
        <v>0</v>
      </c>
    </row>
    <row r="72" spans="1:1" x14ac:dyDescent="0.35">
      <c r="A72">
        <f>_xlfn.CSCH(Reals!A72)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4232-0EF6-4A23-B897-BCA4DA6527BA}">
  <dimension ref="A1:A72"/>
  <sheetViews>
    <sheetView workbookViewId="0"/>
  </sheetViews>
  <sheetFormatPr defaultRowHeight="14.5" x14ac:dyDescent="0.35"/>
  <sheetData>
    <row r="1" spans="1:1" x14ac:dyDescent="0.35">
      <c r="A1">
        <f>_xlfn.SECH(Reals!A1)</f>
        <v>4.2553363064086235E-3</v>
      </c>
    </row>
    <row r="2" spans="1:1" x14ac:dyDescent="0.35">
      <c r="A2">
        <f>_xlfn.SECH(Reals!A2)</f>
        <v>2.8150167852436871E-2</v>
      </c>
    </row>
    <row r="3" spans="1:1" x14ac:dyDescent="0.35">
      <c r="A3">
        <f>_xlfn.SECH(Reals!A3)</f>
        <v>9.6464789221599966E-4</v>
      </c>
    </row>
    <row r="4" spans="1:1" x14ac:dyDescent="0.35">
      <c r="A4">
        <f>_xlfn.SECH(Reals!A4)</f>
        <v>4.1525574362118914E-2</v>
      </c>
    </row>
    <row r="5" spans="1:1" x14ac:dyDescent="0.35">
      <c r="A5">
        <f>_xlfn.SECH(Reals!A5)</f>
        <v>4.4136587316287813E-2</v>
      </c>
    </row>
    <row r="6" spans="1:1" x14ac:dyDescent="0.35">
      <c r="A6">
        <f>_xlfn.SECH(Reals!A6)</f>
        <v>3.6318970074309133E-3</v>
      </c>
    </row>
    <row r="7" spans="1:1" x14ac:dyDescent="0.35">
      <c r="A7">
        <f>_xlfn.SECH(Reals!A7)</f>
        <v>0.47332041332532371</v>
      </c>
    </row>
    <row r="8" spans="1:1" x14ac:dyDescent="0.35">
      <c r="A8">
        <f>_xlfn.SECH(Reals!A8)</f>
        <v>1.7936291408208453E-2</v>
      </c>
    </row>
    <row r="9" spans="1:1" x14ac:dyDescent="0.35">
      <c r="A9">
        <f>_xlfn.SECH(Reals!A9)</f>
        <v>5.526531122909812E-3</v>
      </c>
    </row>
    <row r="10" spans="1:1" x14ac:dyDescent="0.35">
      <c r="A10">
        <f>_xlfn.SECH(Reals!A10)</f>
        <v>0.98034767670715095</v>
      </c>
    </row>
    <row r="11" spans="1:1" x14ac:dyDescent="0.35">
      <c r="A11">
        <f>_xlfn.SECH(Reals!A11)</f>
        <v>2.0117452809539612E-3</v>
      </c>
    </row>
    <row r="12" spans="1:1" x14ac:dyDescent="0.35">
      <c r="A12">
        <f>_xlfn.SECH(Reals!A12)</f>
        <v>1.4857473414806556E-4</v>
      </c>
    </row>
    <row r="13" spans="1:1" x14ac:dyDescent="0.35">
      <c r="A13">
        <f>_xlfn.SECH(Reals!A13)</f>
        <v>5.4895593301160971E-2</v>
      </c>
    </row>
    <row r="14" spans="1:1" x14ac:dyDescent="0.35">
      <c r="A14">
        <f>_xlfn.SECH(Reals!A14)</f>
        <v>0.99593923198178347</v>
      </c>
    </row>
    <row r="15" spans="1:1" x14ac:dyDescent="0.35">
      <c r="A15">
        <f>_xlfn.SECH(Reals!A15)</f>
        <v>6.8319731135410705E-2</v>
      </c>
    </row>
    <row r="16" spans="1:1" x14ac:dyDescent="0.35">
      <c r="A16">
        <f>_xlfn.SECH(Reals!A16)</f>
        <v>7.4502931547270834E-2</v>
      </c>
    </row>
    <row r="17" spans="1:1" x14ac:dyDescent="0.35">
      <c r="A17">
        <f>_xlfn.SECH(Reals!A17)</f>
        <v>0.88770301778073679</v>
      </c>
    </row>
    <row r="18" spans="1:1" x14ac:dyDescent="0.35">
      <c r="A18">
        <f>_xlfn.SECH(Reals!A18)</f>
        <v>6.4879947122084417E-4</v>
      </c>
    </row>
    <row r="19" spans="1:1" x14ac:dyDescent="0.35">
      <c r="A19">
        <f>_xlfn.SECH(Reals!A19)</f>
        <v>0.64669504170797487</v>
      </c>
    </row>
    <row r="20" spans="1:1" x14ac:dyDescent="0.35">
      <c r="A20">
        <f>_xlfn.SECH(Reals!A20)</f>
        <v>5.526242562930642E-3</v>
      </c>
    </row>
    <row r="21" spans="1:1" x14ac:dyDescent="0.35">
      <c r="A21">
        <f>_xlfn.SECH(Reals!A21)</f>
        <v>7.7053590986634192E-4</v>
      </c>
    </row>
    <row r="22" spans="1:1" x14ac:dyDescent="0.35">
      <c r="A22">
        <f>_xlfn.SECH(Reals!A22)</f>
        <v>2.6695976862669089E-2</v>
      </c>
    </row>
    <row r="23" spans="1:1" x14ac:dyDescent="0.35">
      <c r="A23">
        <f>_xlfn.SECH(Reals!A23)</f>
        <v>1.7510037539997563E-2</v>
      </c>
    </row>
    <row r="24" spans="1:1" x14ac:dyDescent="0.35">
      <c r="A24">
        <f>_xlfn.SECH(Reals!A24)</f>
        <v>0.99477990227791269</v>
      </c>
    </row>
    <row r="25" spans="1:1" x14ac:dyDescent="0.35">
      <c r="A25">
        <f>_xlfn.SECH(Reals!A25)</f>
        <v>0.19239997894808064</v>
      </c>
    </row>
    <row r="26" spans="1:1" x14ac:dyDescent="0.35">
      <c r="A26">
        <f>_xlfn.SECH(Reals!A26)</f>
        <v>1.739172675728537E-2</v>
      </c>
    </row>
    <row r="27" spans="1:1" x14ac:dyDescent="0.35">
      <c r="A27">
        <f>_xlfn.SECH(Reals!A27)</f>
        <v>1.3438047670406126E-2</v>
      </c>
    </row>
    <row r="28" spans="1:1" x14ac:dyDescent="0.35">
      <c r="A28">
        <f>_xlfn.SECH(Reals!A28)</f>
        <v>1.5622151375725585E-4</v>
      </c>
    </row>
    <row r="29" spans="1:1" x14ac:dyDescent="0.35">
      <c r="A29">
        <f>_xlfn.SECH(Reals!A29)</f>
        <v>1.0249252450563063E-3</v>
      </c>
    </row>
    <row r="30" spans="1:1" x14ac:dyDescent="0.35">
      <c r="A30">
        <f>_xlfn.SECH(Reals!A30)</f>
        <v>8.024204640139862E-2</v>
      </c>
    </row>
    <row r="31" spans="1:1" x14ac:dyDescent="0.35">
      <c r="A31">
        <f>_xlfn.SECH(Reals!A31)</f>
        <v>7.2265714845321015E-4</v>
      </c>
    </row>
    <row r="32" spans="1:1" x14ac:dyDescent="0.35">
      <c r="A32">
        <f>_xlfn.SECH(Reals!A32)</f>
        <v>3.9298193112892031E-2</v>
      </c>
    </row>
    <row r="33" spans="1:1" x14ac:dyDescent="0.35">
      <c r="A33">
        <f>_xlfn.SECH(Reals!A33)</f>
        <v>1.0301919782103158E-2</v>
      </c>
    </row>
    <row r="34" spans="1:1" x14ac:dyDescent="0.35">
      <c r="A34">
        <f>_xlfn.SECH(Reals!A34)</f>
        <v>1.5761295605244466E-4</v>
      </c>
    </row>
    <row r="35" spans="1:1" x14ac:dyDescent="0.35">
      <c r="A35">
        <f>_xlfn.SECH(Reals!A35)</f>
        <v>8.6695849330585659E-4</v>
      </c>
    </row>
    <row r="36" spans="1:1" x14ac:dyDescent="0.35">
      <c r="A36">
        <f>_xlfn.SECH(Reals!A36)</f>
        <v>1.791351129343708E-2</v>
      </c>
    </row>
    <row r="37" spans="1:1" x14ac:dyDescent="0.35">
      <c r="A37">
        <f>_xlfn.SECH(Reals!A37)</f>
        <v>1.9426560067465197E-4</v>
      </c>
    </row>
    <row r="38" spans="1:1" x14ac:dyDescent="0.35">
      <c r="A38">
        <f>_xlfn.SECH(Reals!A38)</f>
        <v>7.1367051344015759E-4</v>
      </c>
    </row>
    <row r="39" spans="1:1" x14ac:dyDescent="0.35">
      <c r="A39">
        <f>_xlfn.SECH(Reals!A39)</f>
        <v>2.7045972088846123E-3</v>
      </c>
    </row>
    <row r="40" spans="1:1" x14ac:dyDescent="0.35">
      <c r="A40">
        <f>_xlfn.SECH(Reals!A40)</f>
        <v>0.70266107092159935</v>
      </c>
    </row>
    <row r="41" spans="1:1" x14ac:dyDescent="0.35">
      <c r="A41">
        <f>_xlfn.SECH(Reals!A41)</f>
        <v>0.44503117169265793</v>
      </c>
    </row>
    <row r="42" spans="1:1" x14ac:dyDescent="0.35">
      <c r="A42">
        <f>_xlfn.SECH(Reals!A42)</f>
        <v>1.0934637841241472E-4</v>
      </c>
    </row>
    <row r="43" spans="1:1" x14ac:dyDescent="0.35">
      <c r="A43">
        <f>_xlfn.SECH(Reals!A43)</f>
        <v>2.3842352705950889E-4</v>
      </c>
    </row>
    <row r="44" spans="1:1" x14ac:dyDescent="0.35">
      <c r="A44">
        <f>_xlfn.SECH(Reals!A44)</f>
        <v>4.1361460565275211E-2</v>
      </c>
    </row>
    <row r="45" spans="1:1" x14ac:dyDescent="0.35">
      <c r="A45">
        <f>_xlfn.SECH(Reals!A45)</f>
        <v>3.6525560429237491E-3</v>
      </c>
    </row>
    <row r="46" spans="1:1" x14ac:dyDescent="0.35">
      <c r="A46">
        <f>_xlfn.SECH(Reals!A46)</f>
        <v>9.9993009320958697E-4</v>
      </c>
    </row>
    <row r="47" spans="1:1" x14ac:dyDescent="0.35">
      <c r="A47">
        <f>_xlfn.SECH(Reals!A47)</f>
        <v>0.30861052531299649</v>
      </c>
    </row>
    <row r="48" spans="1:1" x14ac:dyDescent="0.35">
      <c r="A48">
        <f>_xlfn.SECH(Reals!A48)</f>
        <v>0.95530068397523005</v>
      </c>
    </row>
    <row r="49" spans="1:1" x14ac:dyDescent="0.35">
      <c r="A49">
        <f>_xlfn.SECH(Reals!A49)</f>
        <v>1.9342793614609574E-3</v>
      </c>
    </row>
    <row r="50" spans="1:1" x14ac:dyDescent="0.35">
      <c r="A50">
        <f>_xlfn.SECH(Reals!A50)</f>
        <v>9.1566921280159336E-2</v>
      </c>
    </row>
    <row r="51" spans="1:1" x14ac:dyDescent="0.35">
      <c r="A51">
        <f>_xlfn.SECH(Reals!A51)</f>
        <v>0.41226740621269564</v>
      </c>
    </row>
    <row r="52" spans="1:1" x14ac:dyDescent="0.35">
      <c r="A52">
        <f>_xlfn.SECH(Reals!A52)</f>
        <v>0.37125575309050124</v>
      </c>
    </row>
    <row r="53" spans="1:1" x14ac:dyDescent="0.35">
      <c r="A53">
        <f>_xlfn.SECH(Reals!A53)</f>
        <v>2.190329858559916E-4</v>
      </c>
    </row>
    <row r="54" spans="1:1" x14ac:dyDescent="0.35">
      <c r="A54">
        <f>_xlfn.SECH(Reals!A54)</f>
        <v>2.5573206046969207E-2</v>
      </c>
    </row>
    <row r="55" spans="1:1" x14ac:dyDescent="0.35">
      <c r="A55">
        <f>_xlfn.SECH(Reals!A55)</f>
        <v>3.4814706343072816E-4</v>
      </c>
    </row>
    <row r="56" spans="1:1" x14ac:dyDescent="0.35">
      <c r="A56">
        <f>_xlfn.SECH(Reals!A56)</f>
        <v>8.0590775254705382E-3</v>
      </c>
    </row>
    <row r="57" spans="1:1" x14ac:dyDescent="0.35">
      <c r="A57">
        <f>_xlfn.SECH(Reals!A57)</f>
        <v>0.79555195413022028</v>
      </c>
    </row>
    <row r="58" spans="1:1" x14ac:dyDescent="0.35">
      <c r="A58">
        <f>_xlfn.SECH(Reals!A58)</f>
        <v>1.2641102495482651E-2</v>
      </c>
    </row>
    <row r="59" spans="1:1" x14ac:dyDescent="0.35">
      <c r="A59">
        <f>_xlfn.SECH(Reals!A59)</f>
        <v>1.389464381810028E-3</v>
      </c>
    </row>
    <row r="60" spans="1:1" x14ac:dyDescent="0.35">
      <c r="A60">
        <f>_xlfn.SECH(Reals!A60)</f>
        <v>1.9346340468302808E-4</v>
      </c>
    </row>
    <row r="61" spans="1:1" x14ac:dyDescent="0.35">
      <c r="A61">
        <f>_xlfn.SECH(Reals!A61)</f>
        <v>0.88681888397007402</v>
      </c>
    </row>
    <row r="62" spans="1:1" x14ac:dyDescent="0.35">
      <c r="A62">
        <f>_xlfn.SECH(Reals!A62)</f>
        <v>0.64805427366388546</v>
      </c>
    </row>
    <row r="63" spans="1:1" x14ac:dyDescent="0.35">
      <c r="A63">
        <f>_xlfn.SECH(Reals!A63)</f>
        <v>0.26580222883407972</v>
      </c>
    </row>
    <row r="64" spans="1:1" x14ac:dyDescent="0.35">
      <c r="A64">
        <f>_xlfn.SECH(Reals!A64)</f>
        <v>0.88681888397007402</v>
      </c>
    </row>
    <row r="65" spans="1:1" x14ac:dyDescent="0.35">
      <c r="A65">
        <f>_xlfn.SECH(Reals!A65)</f>
        <v>1</v>
      </c>
    </row>
    <row r="66" spans="1:1" x14ac:dyDescent="0.35">
      <c r="A66">
        <f>_xlfn.SECH(Reals!A66)</f>
        <v>0.7549397087141313</v>
      </c>
    </row>
    <row r="67" spans="1:1" x14ac:dyDescent="0.35">
      <c r="A67">
        <f>_xlfn.SECH(Reals!A67)</f>
        <v>0.62488796629608723</v>
      </c>
    </row>
    <row r="68" spans="1:1" x14ac:dyDescent="0.35">
      <c r="A68">
        <f>_xlfn.SECH(Reals!A68)</f>
        <v>0.87700964045477936</v>
      </c>
    </row>
    <row r="69" spans="1:1" x14ac:dyDescent="0.35">
      <c r="A69">
        <f>_xlfn.SECH(Reals!A69)</f>
        <v>0.187872734237717</v>
      </c>
    </row>
    <row r="70" spans="1:1" x14ac:dyDescent="0.35">
      <c r="A70">
        <f>_xlfn.SECH(Reals!A70)</f>
        <v>7.4401519520416712E-44</v>
      </c>
    </row>
    <row r="71" spans="1:1" x14ac:dyDescent="0.35">
      <c r="A71">
        <f>_xlfn.SECH(Reals!A71)</f>
        <v>0</v>
      </c>
    </row>
    <row r="72" spans="1:1" x14ac:dyDescent="0.35">
      <c r="A72">
        <f>_xlfn.SECH(Reals!A72)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39BA-C602-45E9-9812-6F92B36B2F67}">
  <dimension ref="A1:A72"/>
  <sheetViews>
    <sheetView workbookViewId="0"/>
  </sheetViews>
  <sheetFormatPr defaultRowHeight="14.5" x14ac:dyDescent="0.35"/>
  <sheetData>
    <row r="1" spans="1:1" x14ac:dyDescent="0.35">
      <c r="A1">
        <f>_xlfn.ACOT(Reals!A1)</f>
        <v>2.9804718778761181</v>
      </c>
    </row>
    <row r="2" spans="1:1" x14ac:dyDescent="0.35">
      <c r="A2">
        <f>_xlfn.ACOT(Reals!A2)</f>
        <v>2.9111898566642678</v>
      </c>
    </row>
    <row r="3" spans="1:1" x14ac:dyDescent="0.35">
      <c r="A3">
        <f>_xlfn.ACOT(Reals!A3)</f>
        <v>3.0113901575283064</v>
      </c>
    </row>
    <row r="4" spans="1:1" x14ac:dyDescent="0.35">
      <c r="A4">
        <f>_xlfn.ACOT(Reals!A4)</f>
        <v>2.88898601831617</v>
      </c>
    </row>
    <row r="5" spans="1:1" x14ac:dyDescent="0.35">
      <c r="A5">
        <f>_xlfn.ACOT(Reals!A5)</f>
        <v>2.8851163311611536</v>
      </c>
    </row>
    <row r="6" spans="1:1" x14ac:dyDescent="0.35">
      <c r="A6">
        <f>_xlfn.ACOT(Reals!A6)</f>
        <v>2.9844491861987441</v>
      </c>
    </row>
    <row r="7" spans="1:1" x14ac:dyDescent="0.35">
      <c r="A7">
        <f>_xlfn.ACOT(Reals!A7)</f>
        <v>0.62716433892370826</v>
      </c>
    </row>
    <row r="8" spans="1:1" x14ac:dyDescent="0.35">
      <c r="A8">
        <f>_xlfn.ACOT(Reals!A8)</f>
        <v>0.20903542198009303</v>
      </c>
    </row>
    <row r="9" spans="1:1" x14ac:dyDescent="0.35">
      <c r="A9">
        <f>_xlfn.ACOT(Reals!A9)</f>
        <v>2.9734543985627595</v>
      </c>
    </row>
    <row r="10" spans="1:1" x14ac:dyDescent="0.35">
      <c r="A10">
        <f>_xlfn.ACOT(Reals!A10)</f>
        <v>1.3734985848867713</v>
      </c>
    </row>
    <row r="11" spans="1:1" x14ac:dyDescent="0.35">
      <c r="A11">
        <f>_xlfn.ACOT(Reals!A11)</f>
        <v>2.9977062556687217</v>
      </c>
    </row>
    <row r="12" spans="1:1" x14ac:dyDescent="0.35">
      <c r="A12">
        <f>_xlfn.ACOT(Reals!A12)</f>
        <v>0.1047940490824996</v>
      </c>
    </row>
    <row r="13" spans="1:1" x14ac:dyDescent="0.35">
      <c r="A13">
        <f>_xlfn.ACOT(Reals!A13)</f>
        <v>2.8702667155417561</v>
      </c>
    </row>
    <row r="14" spans="1:1" x14ac:dyDescent="0.35">
      <c r="A14">
        <f>_xlfn.ACOT(Reals!A14)</f>
        <v>1.480767901370531</v>
      </c>
    </row>
    <row r="15" spans="1:1" x14ac:dyDescent="0.35">
      <c r="A15">
        <f>_xlfn.ACOT(Reals!A15)</f>
        <v>0.28801228350407965</v>
      </c>
    </row>
    <row r="16" spans="1:1" x14ac:dyDescent="0.35">
      <c r="A16">
        <f>_xlfn.ACOT(Reals!A16)</f>
        <v>2.8464024703816984</v>
      </c>
    </row>
    <row r="17" spans="1:1" x14ac:dyDescent="0.35">
      <c r="A17">
        <f>_xlfn.ACOT(Reals!A17)</f>
        <v>2.0327142023772247</v>
      </c>
    </row>
    <row r="18" spans="1:1" x14ac:dyDescent="0.35">
      <c r="A18">
        <f>_xlfn.ACOT(Reals!A18)</f>
        <v>0.12384120826523611</v>
      </c>
    </row>
    <row r="19" spans="1:1" x14ac:dyDescent="0.35">
      <c r="A19">
        <f>_xlfn.ACOT(Reals!A19)</f>
        <v>0.78402267443625306</v>
      </c>
    </row>
    <row r="20" spans="1:1" x14ac:dyDescent="0.35">
      <c r="A20">
        <f>_xlfn.ACOT(Reals!A20)</f>
        <v>2.9734558608555703</v>
      </c>
    </row>
    <row r="21" spans="1:1" x14ac:dyDescent="0.35">
      <c r="A21">
        <f>_xlfn.ACOT(Reals!A21)</f>
        <v>0.12652157591161242</v>
      </c>
    </row>
    <row r="22" spans="1:1" x14ac:dyDescent="0.35">
      <c r="A22">
        <f>_xlfn.ACOT(Reals!A22)</f>
        <v>2.9139248285069699</v>
      </c>
    </row>
    <row r="23" spans="1:1" x14ac:dyDescent="0.35">
      <c r="A23">
        <f>_xlfn.ACOT(Reals!A23)</f>
        <v>2.9335881050837078</v>
      </c>
    </row>
    <row r="24" spans="1:1" x14ac:dyDescent="0.35">
      <c r="A24">
        <f>_xlfn.ACOT(Reals!A24)</f>
        <v>1.4687517429344483</v>
      </c>
    </row>
    <row r="25" spans="1:1" x14ac:dyDescent="0.35">
      <c r="A25">
        <f>_xlfn.ACOT(Reals!A25)</f>
        <v>0.40510803739364926</v>
      </c>
    </row>
    <row r="26" spans="1:1" x14ac:dyDescent="0.35">
      <c r="A26">
        <f>_xlfn.ACOT(Reals!A26)</f>
        <v>0.20771577766032576</v>
      </c>
    </row>
    <row r="27" spans="1:1" x14ac:dyDescent="0.35">
      <c r="A27">
        <f>_xlfn.ACOT(Reals!A27)</f>
        <v>2.9443034697946362</v>
      </c>
    </row>
    <row r="28" spans="1:1" x14ac:dyDescent="0.35">
      <c r="A28">
        <f>_xlfn.ACOT(Reals!A28)</f>
        <v>3.0362465953644384</v>
      </c>
    </row>
    <row r="29" spans="1:1" x14ac:dyDescent="0.35">
      <c r="A29">
        <f>_xlfn.ACOT(Reals!A29)</f>
        <v>3.0103603824315033</v>
      </c>
    </row>
    <row r="30" spans="1:1" x14ac:dyDescent="0.35">
      <c r="A30">
        <f>_xlfn.ACOT(Reals!A30)</f>
        <v>0.30162297326344484</v>
      </c>
    </row>
    <row r="31" spans="1:1" x14ac:dyDescent="0.35">
      <c r="A31">
        <f>_xlfn.ACOT(Reals!A31)</f>
        <v>3.0160843889474536</v>
      </c>
    </row>
    <row r="32" spans="1:1" x14ac:dyDescent="0.35">
      <c r="A32">
        <f>_xlfn.ACOT(Reals!A32)</f>
        <v>2.8923871261789067</v>
      </c>
    </row>
    <row r="33" spans="1:1" x14ac:dyDescent="0.35">
      <c r="A33">
        <f>_xlfn.ACOT(Reals!A33)</f>
        <v>2.9540182434199407</v>
      </c>
    </row>
    <row r="34" spans="1:1" x14ac:dyDescent="0.35">
      <c r="A34">
        <f>_xlfn.ACOT(Reals!A34)</f>
        <v>0.10544419453127546</v>
      </c>
    </row>
    <row r="35" spans="1:1" x14ac:dyDescent="0.35">
      <c r="A35">
        <f>_xlfn.ACOT(Reals!A35)</f>
        <v>3.0131656200267547</v>
      </c>
    </row>
    <row r="36" spans="1:1" x14ac:dyDescent="0.35">
      <c r="A36">
        <f>_xlfn.ACOT(Reals!A36)</f>
        <v>0.20898069999495639</v>
      </c>
    </row>
    <row r="37" spans="1:1" x14ac:dyDescent="0.35">
      <c r="A37">
        <f>_xlfn.ACOT(Reals!A37)</f>
        <v>0.10781210064747709</v>
      </c>
    </row>
    <row r="38" spans="1:1" x14ac:dyDescent="0.35">
      <c r="A38">
        <f>_xlfn.ACOT(Reals!A38)</f>
        <v>0.12531248478858248</v>
      </c>
    </row>
    <row r="39" spans="1:1" x14ac:dyDescent="0.35">
      <c r="A39">
        <f>_xlfn.ACOT(Reals!A39)</f>
        <v>2.9913545828730994</v>
      </c>
    </row>
    <row r="40" spans="1:1" x14ac:dyDescent="0.35">
      <c r="A40">
        <f>_xlfn.ACOT(Reals!A40)</f>
        <v>0.84338565272765176</v>
      </c>
    </row>
    <row r="41" spans="1:1" x14ac:dyDescent="0.35">
      <c r="A41">
        <f>_xlfn.ACOT(Reals!A41)</f>
        <v>2.5375536132105707</v>
      </c>
    </row>
    <row r="42" spans="1:1" x14ac:dyDescent="0.35">
      <c r="A42">
        <f>_xlfn.ACOT(Reals!A42)</f>
        <v>0.1015433761513158</v>
      </c>
    </row>
    <row r="43" spans="1:1" x14ac:dyDescent="0.35">
      <c r="A43">
        <f>_xlfn.ACOT(Reals!A43)</f>
        <v>0.11023675608449274</v>
      </c>
    </row>
    <row r="44" spans="1:1" x14ac:dyDescent="0.35">
      <c r="A44">
        <f>_xlfn.ACOT(Reals!A44)</f>
        <v>2.8892333491763527</v>
      </c>
    </row>
    <row r="45" spans="1:1" x14ac:dyDescent="0.35">
      <c r="A45">
        <f>_xlfn.ACOT(Reals!A45)</f>
        <v>0.15728250841080807</v>
      </c>
    </row>
    <row r="46" spans="1:1" x14ac:dyDescent="0.35">
      <c r="A46">
        <f>_xlfn.ACOT(Reals!A46)</f>
        <v>3.010781799323059</v>
      </c>
    </row>
    <row r="47" spans="1:1" x14ac:dyDescent="0.35">
      <c r="A47">
        <f>_xlfn.ACOT(Reals!A47)</f>
        <v>2.6447067521110883</v>
      </c>
    </row>
    <row r="48" spans="1:1" x14ac:dyDescent="0.35">
      <c r="A48">
        <f>_xlfn.ACOT(Reals!A48)</f>
        <v>1.2750050416559515</v>
      </c>
    </row>
    <row r="49" spans="1:1" x14ac:dyDescent="0.35">
      <c r="A49">
        <f>_xlfn.ACOT(Reals!A49)</f>
        <v>0.1430834925402866</v>
      </c>
    </row>
    <row r="50" spans="1:1" x14ac:dyDescent="0.35">
      <c r="A50">
        <f>_xlfn.ACOT(Reals!A50)</f>
        <v>2.8278192965891966</v>
      </c>
    </row>
    <row r="51" spans="1:1" x14ac:dyDescent="0.35">
      <c r="A51">
        <f>_xlfn.ACOT(Reals!A51)</f>
        <v>2.5638128430124958</v>
      </c>
    </row>
    <row r="52" spans="1:1" x14ac:dyDescent="0.35">
      <c r="A52">
        <f>_xlfn.ACOT(Reals!A52)</f>
        <v>0.54550327724485115</v>
      </c>
    </row>
    <row r="53" spans="1:1" x14ac:dyDescent="0.35">
      <c r="A53">
        <f>_xlfn.ACOT(Reals!A53)</f>
        <v>0.10921953928876613</v>
      </c>
    </row>
    <row r="54" spans="1:1" x14ac:dyDescent="0.35">
      <c r="A54">
        <f>_xlfn.ACOT(Reals!A54)</f>
        <v>0.22549866614088182</v>
      </c>
    </row>
    <row r="55" spans="1:1" x14ac:dyDescent="0.35">
      <c r="A55">
        <f>_xlfn.ACOT(Reals!A55)</f>
        <v>0.11501649086533434</v>
      </c>
    </row>
    <row r="56" spans="1:1" x14ac:dyDescent="0.35">
      <c r="A56">
        <f>_xlfn.ACOT(Reals!A56)</f>
        <v>0.17940382677854333</v>
      </c>
    </row>
    <row r="57" spans="1:1" x14ac:dyDescent="0.35">
      <c r="A57">
        <f>_xlfn.ACOT(Reals!A57)</f>
        <v>0.95846521390722828</v>
      </c>
    </row>
    <row r="58" spans="1:1" x14ac:dyDescent="0.35">
      <c r="A58">
        <f>_xlfn.ACOT(Reals!A58)</f>
        <v>2.9466252806910651</v>
      </c>
    </row>
    <row r="59" spans="1:1" x14ac:dyDescent="0.35">
      <c r="A59">
        <f>_xlfn.ACOT(Reals!A59)</f>
        <v>0.13665696229012098</v>
      </c>
    </row>
    <row r="60" spans="1:1" x14ac:dyDescent="0.35">
      <c r="A60">
        <f>_xlfn.ACOT(Reals!A60)</f>
        <v>0.10776421092609706</v>
      </c>
    </row>
    <row r="61" spans="1:1" x14ac:dyDescent="0.35">
      <c r="A61">
        <f>_xlfn.ACOT(Reals!A61)</f>
        <v>1.1071487177940904</v>
      </c>
    </row>
    <row r="62" spans="1:1" x14ac:dyDescent="0.35">
      <c r="A62">
        <f>_xlfn.ACOT(Reals!A62)</f>
        <v>0.78539816339744828</v>
      </c>
    </row>
    <row r="63" spans="1:1" x14ac:dyDescent="0.35">
      <c r="A63">
        <f>_xlfn.ACOT(Reals!A63)</f>
        <v>0.46364760900080609</v>
      </c>
    </row>
    <row r="64" spans="1:1" x14ac:dyDescent="0.35">
      <c r="A64">
        <f>_xlfn.ACOT(Reals!A64)</f>
        <v>2.0344439357957027</v>
      </c>
    </row>
    <row r="65" spans="1:1" x14ac:dyDescent="0.35">
      <c r="A65">
        <f>_xlfn.ACOT(Reals!A65)</f>
        <v>1.5707963167948966</v>
      </c>
    </row>
    <row r="66" spans="1:1" x14ac:dyDescent="0.35">
      <c r="A66">
        <f>_xlfn.ACOT(Reals!A66)</f>
        <v>0.90502257676654274</v>
      </c>
    </row>
    <row r="67" spans="1:1" x14ac:dyDescent="0.35">
      <c r="A67">
        <f>_xlfn.ACOT(Reals!A67)</f>
        <v>0.76234753416487466</v>
      </c>
    </row>
    <row r="68" spans="1:1" x14ac:dyDescent="0.35">
      <c r="A68">
        <f>_xlfn.ACOT(Reals!A68)</f>
        <v>1.0884484196938717</v>
      </c>
    </row>
    <row r="69" spans="1:1" x14ac:dyDescent="0.35">
      <c r="A69">
        <f>_xlfn.ACOT(Reals!A69)</f>
        <v>0.40137350197914029</v>
      </c>
    </row>
    <row r="70" spans="1:1" x14ac:dyDescent="0.35">
      <c r="A70">
        <f>_xlfn.ACOT(Reals!A70)</f>
        <v>9.9996666866652376E-3</v>
      </c>
    </row>
    <row r="71" spans="1:1" x14ac:dyDescent="0.35">
      <c r="A71">
        <f>_xlfn.ACOT(Reals!A71)</f>
        <v>9.9999999996666679E-6</v>
      </c>
    </row>
    <row r="72" spans="1:1" x14ac:dyDescent="0.35">
      <c r="A72">
        <f>_xlfn.ACOT(Reals!A72)</f>
        <v>9.9999999999999665E-8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F3E3-76AA-433E-AE85-FBE4EA4BBF8E}">
  <dimension ref="A1:A72"/>
  <sheetViews>
    <sheetView workbookViewId="0"/>
  </sheetViews>
  <sheetFormatPr defaultRowHeight="14.5" x14ac:dyDescent="0.35"/>
  <sheetData>
    <row r="1" spans="1:1" x14ac:dyDescent="0.35">
      <c r="A1">
        <f>_xlfn.ACOTH(ABS(Reals!A1)+1)</f>
        <v>0.14072859427145928</v>
      </c>
    </row>
    <row r="2" spans="1:1" x14ac:dyDescent="0.35">
      <c r="A2">
        <f>_xlfn.ACOTH(ABS(Reals!A2)+1)</f>
        <v>0.19233742836661555</v>
      </c>
    </row>
    <row r="3" spans="1:1" x14ac:dyDescent="0.35">
      <c r="A3">
        <f>_xlfn.ACOTH(ABS(Reals!A3)+1)</f>
        <v>0.11630393600926157</v>
      </c>
    </row>
    <row r="4" spans="1:1" x14ac:dyDescent="0.35">
      <c r="A4">
        <f>_xlfn.ACOTH(ABS(Reals!A4)+1)</f>
        <v>0.20811703267653045</v>
      </c>
    </row>
    <row r="5" spans="1:1" x14ac:dyDescent="0.35">
      <c r="A5">
        <f>_xlfn.ACOTH(ABS(Reals!A5)+1)</f>
        <v>0.21083456893727784</v>
      </c>
    </row>
    <row r="6" spans="1:1" x14ac:dyDescent="0.35">
      <c r="A6">
        <f>_xlfn.ACOTH(ABS(Reals!A6)+1)</f>
        <v>0.13764015148998271</v>
      </c>
    </row>
    <row r="7" spans="1:1" x14ac:dyDescent="0.35">
      <c r="A7">
        <f>_xlfn.ACOTH(ABS(Reals!A7)+1)</f>
        <v>0.44795443552615616</v>
      </c>
    </row>
    <row r="8" spans="1:1" x14ac:dyDescent="0.35">
      <c r="A8">
        <f>_xlfn.ACOTH(ABS(Reals!A8)+1)</f>
        <v>0.17682917628386552</v>
      </c>
    </row>
    <row r="9" spans="1:1" x14ac:dyDescent="0.35">
      <c r="A9">
        <f>_xlfn.ACOTH(ABS(Reals!A9)+1)</f>
        <v>0.14614135837082057</v>
      </c>
    </row>
    <row r="10" spans="1:1" x14ac:dyDescent="0.35">
      <c r="A10">
        <f>_xlfn.ACOTH(ABS(Reals!A10)+1)</f>
        <v>1.1991789020878376</v>
      </c>
    </row>
    <row r="11" spans="1:1" x14ac:dyDescent="0.35">
      <c r="A11">
        <f>_xlfn.ACOTH(ABS(Reals!A11)+1)</f>
        <v>0.12723402001644479</v>
      </c>
    </row>
    <row r="12" spans="1:1" x14ac:dyDescent="0.35">
      <c r="A12">
        <f>_xlfn.ACOTH(ABS(Reals!A12)+1)</f>
        <v>9.5458381419591717E-2</v>
      </c>
    </row>
    <row r="13" spans="1:1" x14ac:dyDescent="0.35">
      <c r="A13">
        <f>_xlfn.ACOTH(ABS(Reals!A13)+1)</f>
        <v>0.22117883809457026</v>
      </c>
    </row>
    <row r="14" spans="1:1" x14ac:dyDescent="0.35">
      <c r="A14">
        <f>_xlfn.ACOTH(ABS(Reals!A14)+1)</f>
        <v>1.5711087042010692</v>
      </c>
    </row>
    <row r="15" spans="1:1" x14ac:dyDescent="0.35">
      <c r="A15">
        <f>_xlfn.ACOTH(ABS(Reals!A15)+1)</f>
        <v>0.23265214227456732</v>
      </c>
    </row>
    <row r="16" spans="1:1" x14ac:dyDescent="0.35">
      <c r="A16">
        <f>_xlfn.ACOTH(ABS(Reals!A16)+1)</f>
        <v>0.23754158796622235</v>
      </c>
    </row>
    <row r="17" spans="1:1" x14ac:dyDescent="0.35">
      <c r="A17">
        <f>_xlfn.ACOTH(ABS(Reals!A17)+1)</f>
        <v>0.80645169026271124</v>
      </c>
    </row>
    <row r="18" spans="1:1" x14ac:dyDescent="0.35">
      <c r="A18">
        <f>_xlfn.ACOTH(ABS(Reals!A18)+1)</f>
        <v>0.11115417673469305</v>
      </c>
    </row>
    <row r="19" spans="1:1" x14ac:dyDescent="0.35">
      <c r="A19">
        <f>_xlfn.ACOTH(ABS(Reals!A19)+1)</f>
        <v>0.54838957110387798</v>
      </c>
    </row>
    <row r="20" spans="1:1" x14ac:dyDescent="0.35">
      <c r="A20">
        <f>_xlfn.ACOTH(ABS(Reals!A20)+1)</f>
        <v>0.14614023523066849</v>
      </c>
    </row>
    <row r="21" spans="1:1" x14ac:dyDescent="0.35">
      <c r="A21">
        <f>_xlfn.ACOTH(ABS(Reals!A21)+1)</f>
        <v>0.1133295093915045</v>
      </c>
    </row>
    <row r="22" spans="1:1" x14ac:dyDescent="0.35">
      <c r="A22">
        <f>_xlfn.ACOTH(ABS(Reals!A22)+1)</f>
        <v>0.19037077098576316</v>
      </c>
    </row>
    <row r="23" spans="1:1" x14ac:dyDescent="0.35">
      <c r="A23">
        <f>_xlfn.ACOTH(ABS(Reals!A23)+1)</f>
        <v>0.17607240614672071</v>
      </c>
    </row>
    <row r="24" spans="1:1" x14ac:dyDescent="0.35">
      <c r="A24">
        <f>_xlfn.ACOTH(ABS(Reals!A24)+1)</f>
        <v>1.5109728246639644</v>
      </c>
    </row>
    <row r="25" spans="1:1" x14ac:dyDescent="0.35">
      <c r="A25">
        <f>_xlfn.ACOTH(ABS(Reals!A25)+1)</f>
        <v>0.30965742836007687</v>
      </c>
    </row>
    <row r="26" spans="1:1" x14ac:dyDescent="0.35">
      <c r="A26">
        <f>_xlfn.ACOTH(ABS(Reals!A26)+1)</f>
        <v>0.17586027146183181</v>
      </c>
    </row>
    <row r="27" spans="1:1" x14ac:dyDescent="0.35">
      <c r="A27">
        <f>_xlfn.ACOTH(ABS(Reals!A27)+1)</f>
        <v>0.16815709153450406</v>
      </c>
    </row>
    <row r="28" spans="1:1" x14ac:dyDescent="0.35">
      <c r="A28">
        <f>_xlfn.ACOTH(ABS(Reals!A28)+1)</f>
        <v>9.5919311792015322E-2</v>
      </c>
    </row>
    <row r="29" spans="1:1" x14ac:dyDescent="0.35">
      <c r="A29">
        <f>_xlfn.ACOTH(ABS(Reals!A29)+1)</f>
        <v>0.11713341207331844</v>
      </c>
    </row>
    <row r="30" spans="1:1" x14ac:dyDescent="0.35">
      <c r="A30">
        <f>_xlfn.ACOTH(ABS(Reals!A30)+1)</f>
        <v>0.24190113074178807</v>
      </c>
    </row>
    <row r="31" spans="1:1" x14ac:dyDescent="0.35">
      <c r="A31">
        <f>_xlfn.ACOTH(ABS(Reals!A31)+1)</f>
        <v>0.11250806593921042</v>
      </c>
    </row>
    <row r="32" spans="1:1" x14ac:dyDescent="0.35">
      <c r="A32">
        <f>_xlfn.ACOTH(ABS(Reals!A32)+1)</f>
        <v>0.20572082042373385</v>
      </c>
    </row>
    <row r="33" spans="1:1" x14ac:dyDescent="0.35">
      <c r="A33">
        <f>_xlfn.ACOTH(ABS(Reals!A33)+1)</f>
        <v>0.1609009330290237</v>
      </c>
    </row>
    <row r="34" spans="1:1" x14ac:dyDescent="0.35">
      <c r="A34">
        <f>_xlfn.ACOTH(ABS(Reals!A34)+1)</f>
        <v>9.6001217249009174E-2</v>
      </c>
    </row>
    <row r="35" spans="1:1" x14ac:dyDescent="0.35">
      <c r="A35">
        <f>_xlfn.ACOTH(ABS(Reals!A35)+1)</f>
        <v>0.11487110104889066</v>
      </c>
    </row>
    <row r="36" spans="1:1" x14ac:dyDescent="0.35">
      <c r="A36">
        <f>_xlfn.ACOTH(ABS(Reals!A36)+1)</f>
        <v>0.17678902503568195</v>
      </c>
    </row>
    <row r="37" spans="1:1" x14ac:dyDescent="0.35">
      <c r="A37">
        <f>_xlfn.ACOTH(ABS(Reals!A37)+1)</f>
        <v>9.7973954221127563E-2</v>
      </c>
    </row>
    <row r="38" spans="1:1" x14ac:dyDescent="0.35">
      <c r="A38">
        <f>_xlfn.ACOTH(ABS(Reals!A38)+1)</f>
        <v>0.11234922509773626</v>
      </c>
    </row>
    <row r="39" spans="1:1" x14ac:dyDescent="0.35">
      <c r="A39">
        <f>_xlfn.ACOTH(ABS(Reals!A39)+1)</f>
        <v>0.13224157480519252</v>
      </c>
    </row>
    <row r="40" spans="1:1" x14ac:dyDescent="0.35">
      <c r="A40">
        <f>_xlfn.ACOTH(ABS(Reals!A40)+1)</f>
        <v>0.58879205702129422</v>
      </c>
    </row>
    <row r="41" spans="1:1" x14ac:dyDescent="0.35">
      <c r="A41">
        <f>_xlfn.ACOTH(ABS(Reals!A41)+1)</f>
        <v>0.4335850142738007</v>
      </c>
    </row>
    <row r="42" spans="1:1" x14ac:dyDescent="0.35">
      <c r="A42">
        <f>_xlfn.ACOTH(ABS(Reals!A42)+1)</f>
        <v>9.2736483071443471E-2</v>
      </c>
    </row>
    <row r="43" spans="1:1" x14ac:dyDescent="0.35">
      <c r="A43">
        <f>_xlfn.ACOTH(ABS(Reals!A43)+1)</f>
        <v>9.9986978633819806E-2</v>
      </c>
    </row>
    <row r="44" spans="1:1" x14ac:dyDescent="0.35">
      <c r="A44">
        <f>_xlfn.ACOTH(ABS(Reals!A44)+1)</f>
        <v>0.20794302427472808</v>
      </c>
    </row>
    <row r="45" spans="1:1" x14ac:dyDescent="0.35">
      <c r="A45">
        <f>_xlfn.ACOTH(ABS(Reals!A45)+1)</f>
        <v>0.13774837502767823</v>
      </c>
    </row>
    <row r="46" spans="1:1" x14ac:dyDescent="0.35">
      <c r="A46">
        <f>_xlfn.ACOTH(ABS(Reals!A46)+1)</f>
        <v>0.11679410312046477</v>
      </c>
    </row>
    <row r="47" spans="1:1" x14ac:dyDescent="0.35">
      <c r="A47">
        <f>_xlfn.ACOTH(ABS(Reals!A47)+1)</f>
        <v>0.36727211478863908</v>
      </c>
    </row>
    <row r="48" spans="1:1" x14ac:dyDescent="0.35">
      <c r="A48">
        <f>_xlfn.ACOTH(ABS(Reals!A48)+1)</f>
        <v>1.0116452315847595</v>
      </c>
    </row>
    <row r="49" spans="1:1" x14ac:dyDescent="0.35">
      <c r="A49">
        <f>_xlfn.ACOTH(ABS(Reals!A49)+1)</f>
        <v>0.12659810578225625</v>
      </c>
    </row>
    <row r="50" spans="1:1" x14ac:dyDescent="0.35">
      <c r="A50">
        <f>_xlfn.ACOTH(ABS(Reals!A50)+1)</f>
        <v>0.25008033736522867</v>
      </c>
    </row>
    <row r="51" spans="1:1" x14ac:dyDescent="0.35">
      <c r="A51">
        <f>_xlfn.ACOTH(ABS(Reals!A51)+1)</f>
        <v>0.41732330909315712</v>
      </c>
    </row>
    <row r="52" spans="1:1" x14ac:dyDescent="0.35">
      <c r="A52">
        <f>_xlfn.ACOTH(ABS(Reals!A52)+1)</f>
        <v>0.39737112562849419</v>
      </c>
    </row>
    <row r="53" spans="1:1" x14ac:dyDescent="0.35">
      <c r="A53">
        <f>_xlfn.ACOTH(ABS(Reals!A53)+1)</f>
        <v>9.9143310059709389E-2</v>
      </c>
    </row>
    <row r="54" spans="1:1" x14ac:dyDescent="0.35">
      <c r="A54">
        <f>_xlfn.ACOTH(ABS(Reals!A54)+1)</f>
        <v>0.1888072396807782</v>
      </c>
    </row>
    <row r="55" spans="1:1" x14ac:dyDescent="0.35">
      <c r="A55">
        <f>_xlfn.ACOTH(ABS(Reals!A55)+1)</f>
        <v>0.10393484109706629</v>
      </c>
    </row>
    <row r="56" spans="1:1" x14ac:dyDescent="0.35">
      <c r="A56">
        <f>_xlfn.ACOTH(ABS(Reals!A56)+1)</f>
        <v>0.15473671452059407</v>
      </c>
    </row>
    <row r="57" spans="1:1" x14ac:dyDescent="0.35">
      <c r="A57">
        <f>_xlfn.ACOTH(ABS(Reals!A57)+1)</f>
        <v>0.67369922125555792</v>
      </c>
    </row>
    <row r="58" spans="1:1" x14ac:dyDescent="0.35">
      <c r="A58">
        <f>_xlfn.ACOTH(ABS(Reals!A58)+1)</f>
        <v>0.16642993594356295</v>
      </c>
    </row>
    <row r="59" spans="1:1" x14ac:dyDescent="0.35">
      <c r="A59">
        <f>_xlfn.ACOTH(ABS(Reals!A59)+1)</f>
        <v>0.12148411720566951</v>
      </c>
    </row>
    <row r="60" spans="1:1" x14ac:dyDescent="0.35">
      <c r="A60">
        <f>_xlfn.ACOTH(ABS(Reals!A60)+1)</f>
        <v>9.79341236923746E-2</v>
      </c>
    </row>
    <row r="61" spans="1:1" x14ac:dyDescent="0.35">
      <c r="A61">
        <f>_xlfn.ACOTH(ABS(Reals!A61)+1)</f>
        <v>0.80471895621705014</v>
      </c>
    </row>
    <row r="62" spans="1:1" x14ac:dyDescent="0.35">
      <c r="A62">
        <f>_xlfn.ACOTH(ABS(Reals!A62)+1)</f>
        <v>0.54930614433405489</v>
      </c>
    </row>
    <row r="63" spans="1:1" x14ac:dyDescent="0.35">
      <c r="A63">
        <f>_xlfn.ACOTH(ABS(Reals!A63)+1)</f>
        <v>0.34657359027997264</v>
      </c>
    </row>
    <row r="64" spans="1:1" x14ac:dyDescent="0.35">
      <c r="A64">
        <f>_xlfn.ACOTH(ABS(Reals!A64)+1)</f>
        <v>0.80471895621705014</v>
      </c>
    </row>
    <row r="65" spans="1:1" x14ac:dyDescent="0.35">
      <c r="A65">
        <f>_xlfn.ACOTH(ABS(Reals!A65)+1)</f>
        <v>9.5569139677948911</v>
      </c>
    </row>
    <row r="66" spans="1:1" x14ac:dyDescent="0.35">
      <c r="A66">
        <f>_xlfn.ACOTH(ABS(Reals!A66)+1)</f>
        <v>0.63297765276975693</v>
      </c>
    </row>
    <row r="67" spans="1:1" x14ac:dyDescent="0.35">
      <c r="A67">
        <f>_xlfn.ACOTH(ABS(Reals!A67)+1)</f>
        <v>0.5340523676882647</v>
      </c>
    </row>
    <row r="68" spans="1:1" x14ac:dyDescent="0.35">
      <c r="A68">
        <f>_xlfn.ACOTH(ABS(Reals!A68)+1)</f>
        <v>0.78635777585623945</v>
      </c>
    </row>
    <row r="69" spans="1:1" x14ac:dyDescent="0.35">
      <c r="A69">
        <f>_xlfn.ACOTH(ABS(Reals!A69)+1)</f>
        <v>0.30727551974042677</v>
      </c>
    </row>
    <row r="70" spans="1:1" x14ac:dyDescent="0.35">
      <c r="A70">
        <f>_xlfn.ACOTH(ABS(Reals!A70)+1)</f>
        <v>9.9013136480898579E-3</v>
      </c>
    </row>
    <row r="71" spans="1:1" x14ac:dyDescent="0.35">
      <c r="A71">
        <f>_xlfn.ACOTH(ABS(Reals!A71)+1)</f>
        <v>9.9999000013333135E-6</v>
      </c>
    </row>
    <row r="72" spans="1:1" x14ac:dyDescent="0.35">
      <c r="A72">
        <f>_xlfn.ACOTH(ABS(Reals!A72)+1)</f>
        <v>9.9999990000001336E-8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1289-1836-4EEA-8761-99336F78E93B}">
  <dimension ref="A1:A28"/>
  <sheetViews>
    <sheetView workbookViewId="0"/>
  </sheetViews>
  <sheetFormatPr defaultRowHeight="14.5" x14ac:dyDescent="0.35"/>
  <sheetData>
    <row r="1" spans="1:1" x14ac:dyDescent="0.35">
      <c r="A1">
        <f>ECMA.CEILING(Divisions!A1,Divisions!B1)</f>
        <v>13.2</v>
      </c>
    </row>
    <row r="2" spans="1:1" x14ac:dyDescent="0.35">
      <c r="A2">
        <f>ECMA.CEILING(Divisions!A2,Divisions!B2)</f>
        <v>6</v>
      </c>
    </row>
    <row r="3" spans="1:1" x14ac:dyDescent="0.35">
      <c r="A3">
        <f>ECMA.CEILING(Divisions!A3,Divisions!B3)</f>
        <v>10000000002</v>
      </c>
    </row>
    <row r="4" spans="1:1" x14ac:dyDescent="0.35">
      <c r="A4">
        <f>ECMA.CEILING(Divisions!A4,Divisions!B4)</f>
        <v>134217729</v>
      </c>
    </row>
    <row r="5" spans="1:1" x14ac:dyDescent="0.35">
      <c r="A5">
        <f>ECMA.CEILING(Divisions!A5,Divisions!B5)</f>
        <v>150000004</v>
      </c>
    </row>
    <row r="6" spans="1:1" x14ac:dyDescent="0.35">
      <c r="A6">
        <f>ECMA.CEILING(Divisions!A6,Divisions!B6)</f>
        <v>1</v>
      </c>
    </row>
    <row r="7" spans="1:1" x14ac:dyDescent="0.35">
      <c r="A7">
        <f>ECMA.CEILING(Divisions!A7,Divisions!B7)</f>
        <v>0.30000000000000004</v>
      </c>
    </row>
    <row r="8" spans="1:1" x14ac:dyDescent="0.35">
      <c r="A8">
        <f>ECMA.CEILING(Divisions!A8,Divisions!B8)</f>
        <v>7</v>
      </c>
    </row>
    <row r="9" spans="1:1" x14ac:dyDescent="0.35">
      <c r="A9">
        <f>ECMA.CEILING(Divisions!A9,Divisions!B9)</f>
        <v>-7</v>
      </c>
    </row>
    <row r="10" spans="1:1" x14ac:dyDescent="0.35">
      <c r="A10" t="e">
        <f>ECMA.CEILING(Divisions!A10,Divisions!B10)</f>
        <v>#NUM!</v>
      </c>
    </row>
    <row r="11" spans="1:1" x14ac:dyDescent="0.35">
      <c r="A11">
        <f>ECMA.CEILING(Divisions!A11,Divisions!B11)</f>
        <v>1000000000000001</v>
      </c>
    </row>
    <row r="12" spans="1:1" x14ac:dyDescent="0.35">
      <c r="A12">
        <f>ECMA.CEILING(Divisions!A12,Divisions!B12)</f>
        <v>2499999999999999</v>
      </c>
    </row>
    <row r="13" spans="1:1" x14ac:dyDescent="0.35">
      <c r="A13">
        <f>ECMA.CEILING(Divisions!A13,Divisions!B13)</f>
        <v>4.3</v>
      </c>
    </row>
    <row r="14" spans="1:1" x14ac:dyDescent="0.35">
      <c r="A14">
        <f>ECMA.CEILING(Divisions!A14,Divisions!B14)</f>
        <v>4.5</v>
      </c>
    </row>
    <row r="15" spans="1:1" x14ac:dyDescent="0.35">
      <c r="A15">
        <f>ECMA.CEILING(Divisions!A15,Divisions!B15)</f>
        <v>-4.3</v>
      </c>
    </row>
    <row r="16" spans="1:1" x14ac:dyDescent="0.35">
      <c r="A16">
        <f>ECMA.CEILING(Divisions!A16,Divisions!B16)</f>
        <v>1099511627778</v>
      </c>
    </row>
    <row r="17" spans="1:1" x14ac:dyDescent="0.35">
      <c r="A17">
        <f>ECMA.CEILING(Divisions!A17,Divisions!B17)</f>
        <v>123.46000000000001</v>
      </c>
    </row>
    <row r="18" spans="1:1" x14ac:dyDescent="0.35">
      <c r="A18">
        <f>ECMA.CEILING(Divisions!A18,Divisions!B18)</f>
        <v>1.25</v>
      </c>
    </row>
    <row r="19" spans="1:1" x14ac:dyDescent="0.35">
      <c r="A19">
        <f>ECMA.CEILING(Divisions!A19,Divisions!B19)</f>
        <v>100</v>
      </c>
    </row>
    <row r="20" spans="1:1" x14ac:dyDescent="0.35">
      <c r="A20">
        <f>ECMA.CEILING(Divisions!A20,Divisions!B20)</f>
        <v>0.60000000000000009</v>
      </c>
    </row>
    <row r="21" spans="1:1" x14ac:dyDescent="0.35">
      <c r="A21">
        <f>ECMA.CEILING(Divisions!A21,Divisions!B21)</f>
        <v>3</v>
      </c>
    </row>
    <row r="22" spans="1:1" x14ac:dyDescent="0.35">
      <c r="A22">
        <f>ECMA.CEILING(Divisions!A22,Divisions!B22)</f>
        <v>1.0000000000000011E+300</v>
      </c>
    </row>
    <row r="23" spans="1:1" x14ac:dyDescent="0.35">
      <c r="A23">
        <f>ECMA.CEILING(Divisions!A23,Divisions!B23)</f>
        <v>5</v>
      </c>
    </row>
    <row r="24" spans="1:1" x14ac:dyDescent="0.35">
      <c r="A24">
        <f>ECMA.CEILING(Divisions!A24,Divisions!B24)</f>
        <v>9007199254740990</v>
      </c>
    </row>
    <row r="25" spans="1:1" x14ac:dyDescent="0.35">
      <c r="A25">
        <f>ECMA.CEILING(Divisions!A25,Divisions!B25)</f>
        <v>9007199254740990</v>
      </c>
    </row>
    <row r="26" spans="1:1" x14ac:dyDescent="0.35">
      <c r="A26">
        <f>ECMA.CEILING(Divisions!A26,Divisions!B26)</f>
        <v>6</v>
      </c>
    </row>
    <row r="27" spans="1:1" x14ac:dyDescent="0.35">
      <c r="A27">
        <f>ECMA.CEILING(Divisions!A27,Divisions!B27)</f>
        <v>0.70000000000000007</v>
      </c>
    </row>
    <row r="28" spans="1:1" x14ac:dyDescent="0.35">
      <c r="A28">
        <f>ECMA.CEILING(Divisions!A28,Divisions!B28)</f>
        <v>11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A117-EF1C-4CC6-A147-213B00F053C2}">
  <dimension ref="A1:A29"/>
  <sheetViews>
    <sheetView workbookViewId="0"/>
  </sheetViews>
  <sheetFormatPr defaultRowHeight="14.5" x14ac:dyDescent="0.35"/>
  <sheetData>
    <row r="1" spans="1:1" x14ac:dyDescent="0.35">
      <c r="A1">
        <f>NETWORKDAYS.INTL(DATE(2024,1,1),DATE(2024,3,31),1)</f>
        <v>65</v>
      </c>
    </row>
    <row r="2" spans="1:1" x14ac:dyDescent="0.35">
      <c r="A2">
        <f>NETWORKDAYS.INTL(DATE(2024,1,1),DATE(2024,3,31),2)</f>
        <v>65</v>
      </c>
    </row>
    <row r="3" spans="1:1" x14ac:dyDescent="0.35">
      <c r="A3">
        <f>NETWORKDAYS.INTL(DATE(2024,1,1),DATE(2024,3,31),3)</f>
        <v>65</v>
      </c>
    </row>
    <row r="4" spans="1:1" x14ac:dyDescent="0.35">
      <c r="A4">
        <f>NETWORKDAYS.INTL(DATE(2024,1,1),DATE(2024,3,31),4)</f>
        <v>65</v>
      </c>
    </row>
    <row r="5" spans="1:1" x14ac:dyDescent="0.35">
      <c r="A5">
        <f>NETWORKDAYS.INTL(DATE(2024,1,1),DATE(2024,3,31),5)</f>
        <v>65</v>
      </c>
    </row>
    <row r="6" spans="1:1" x14ac:dyDescent="0.35">
      <c r="A6">
        <f>NETWORKDAYS.INTL(DATE(2024,1,1),DATE(2024,3,31),6)</f>
        <v>65</v>
      </c>
    </row>
    <row r="7" spans="1:1" x14ac:dyDescent="0.35">
      <c r="A7">
        <f>NETWORKDAYS.INTL(DATE(2024,1,1),DATE(2024,3,31),7)</f>
        <v>65</v>
      </c>
    </row>
    <row r="8" spans="1:1" x14ac:dyDescent="0.35">
      <c r="A8">
        <f>NETWORKDAYS.INTL(DATE(2024,1,1),DATE(2024,3,31),11)</f>
        <v>78</v>
      </c>
    </row>
    <row r="9" spans="1:1" x14ac:dyDescent="0.35">
      <c r="A9">
        <f>NETWORKDAYS.INTL(DATE(2024,1,1),DATE(2024,3,31),12)</f>
        <v>78</v>
      </c>
    </row>
    <row r="10" spans="1:1" x14ac:dyDescent="0.35">
      <c r="A10">
        <f>NETWORKDAYS.INTL(DATE(2024,1,1),DATE(2024,3,31),13)</f>
        <v>78</v>
      </c>
    </row>
    <row r="11" spans="1:1" x14ac:dyDescent="0.35">
      <c r="A11">
        <f>NETWORKDAYS.INTL(DATE(2024,1,1),DATE(2024,3,31),14)</f>
        <v>78</v>
      </c>
    </row>
    <row r="12" spans="1:1" x14ac:dyDescent="0.35">
      <c r="A12">
        <f>NETWORKDAYS.INTL(DATE(2024,1,1),DATE(2024,3,31),15)</f>
        <v>78</v>
      </c>
    </row>
    <row r="13" spans="1:1" x14ac:dyDescent="0.35">
      <c r="A13">
        <f>NETWORKDAYS.INTL(DATE(2024,1,1),DATE(2024,3,31),16)</f>
        <v>78</v>
      </c>
    </row>
    <row r="14" spans="1:1" x14ac:dyDescent="0.35">
      <c r="A14">
        <f>NETWORKDAYS.INTL(DATE(2024,1,1),DATE(2024,3,31),17)</f>
        <v>78</v>
      </c>
    </row>
    <row r="15" spans="1:1" x14ac:dyDescent="0.35">
      <c r="A15">
        <f>NETWORKDAYS.INTL(DATE(2024,1,1),DATE(2024,3,31),"0000011")</f>
        <v>65</v>
      </c>
    </row>
    <row r="16" spans="1:1" x14ac:dyDescent="0.35">
      <c r="A16">
        <f>NETWORKDAYS.INTL(DATE(2024,1,1),DATE(2024,3,31),"1000001")</f>
        <v>65</v>
      </c>
    </row>
    <row r="17" spans="1:1" x14ac:dyDescent="0.35">
      <c r="A17">
        <f>NETWORKDAYS.INTL(DATE(2024,1,1),DATE(2024,3,31),"0101010")</f>
        <v>52</v>
      </c>
    </row>
    <row r="18" spans="1:1" x14ac:dyDescent="0.35">
      <c r="A18">
        <f>NETWORKDAYS.INTL(DATE(2024,1,1),DATE(2024,3,31),"1111111")</f>
        <v>0</v>
      </c>
    </row>
    <row r="19" spans="1:1" x14ac:dyDescent="0.35">
      <c r="A19" t="e">
        <f>NETWORKDAYS.INTL(DATE(2024,1,1),DATE(2024,3,31),"000001")</f>
        <v>#VALUE!</v>
      </c>
    </row>
    <row r="20" spans="1:1" x14ac:dyDescent="0.35">
      <c r="A20">
        <f>WORKDAY.INTL(DATE(2024,1,1),30,1)</f>
        <v>45334</v>
      </c>
    </row>
    <row r="21" spans="1:1" x14ac:dyDescent="0.35">
      <c r="A21">
        <f>WORKDAY.INTL(DATE(2024,1,1),30,7)</f>
        <v>45334</v>
      </c>
    </row>
    <row r="22" spans="1:1" x14ac:dyDescent="0.35">
      <c r="A22">
        <f>WORKDAY.INTL(DATE(2024,1,1),30,11)</f>
        <v>45327</v>
      </c>
    </row>
    <row r="23" spans="1:1" x14ac:dyDescent="0.35">
      <c r="A23">
        <f>WORKDAY.INTL(DATE(2024,1,1),30,17)</f>
        <v>45327</v>
      </c>
    </row>
    <row r="24" spans="1:1" x14ac:dyDescent="0.35">
      <c r="A24">
        <f>WORKDAY.INTL(DATE(2024,1,1),30,"0000110")</f>
        <v>45334</v>
      </c>
    </row>
    <row r="25" spans="1:1" x14ac:dyDescent="0.35">
      <c r="A25">
        <f>WORKDAY.INTL(DATE(2024,1,1),-30,1)</f>
        <v>45250</v>
      </c>
    </row>
    <row r="26" spans="1:1" x14ac:dyDescent="0.35">
      <c r="A26">
        <f>WORKDAY.INTL(DATE(2024,1,1),10,1,{45306,45307})</f>
        <v>45308</v>
      </c>
    </row>
    <row r="27" spans="1:1" x14ac:dyDescent="0.35">
      <c r="A27">
        <f>NETWORKDAYS.INTL(DATE(2024,3,31),DATE(2024,1,1),1)</f>
        <v>-65</v>
      </c>
    </row>
    <row r="28" spans="1:1" x14ac:dyDescent="0.35">
      <c r="A28" t="e">
        <f>NETWORKDAYS.INTL(DATE(2024,1,1),DATE(2024,3,31),99)</f>
        <v>#NUM!</v>
      </c>
    </row>
    <row r="29" spans="1:1" x14ac:dyDescent="0.35">
      <c r="A29">
        <f>NETWORKDAYS.INTL(DATE(2024,1,1),DATE(2024,3,31),1,DATE(2024,1,15))</f>
        <v>64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BBFB-394F-4582-9B64-0C11D6636B71}">
  <dimension ref="A1:A15"/>
  <sheetViews>
    <sheetView workbookViewId="0"/>
  </sheetViews>
  <sheetFormatPr defaultRowHeight="14.5" x14ac:dyDescent="0.35"/>
  <sheetData>
    <row r="1" spans="1:1" x14ac:dyDescent="0.35">
      <c r="A1" t="str">
        <f>LEFTB("hello",2)</f>
        <v>he</v>
      </c>
    </row>
    <row r="2" spans="1:1" x14ac:dyDescent="0.35">
      <c r="A2" t="str">
        <f>RIGHTB("hello",3)</f>
        <v>llo</v>
      </c>
    </row>
    <row r="3" spans="1:1" x14ac:dyDescent="0.35">
      <c r="A3" t="str">
        <f>MIDB("hello",2,3)</f>
        <v>ell</v>
      </c>
    </row>
    <row r="4" spans="1:1" x14ac:dyDescent="0.35">
      <c r="A4">
        <f>LENB("hello")</f>
        <v>5</v>
      </c>
    </row>
    <row r="5" spans="1:1" x14ac:dyDescent="0.35">
      <c r="A5">
        <f>LENB("日本")</f>
        <v>2</v>
      </c>
    </row>
    <row r="6" spans="1:1" x14ac:dyDescent="0.35">
      <c r="A6">
        <f>FINDB("l","hello")</f>
        <v>3</v>
      </c>
    </row>
    <row r="7" spans="1:1" x14ac:dyDescent="0.35">
      <c r="A7">
        <f>SEARCHB("L","hello")</f>
        <v>3</v>
      </c>
    </row>
    <row r="8" spans="1:1" x14ac:dyDescent="0.35">
      <c r="A8" t="str">
        <f>REPLACEB("hello",2,3,"EY")</f>
        <v>hEYo</v>
      </c>
    </row>
    <row r="9" spans="1:1" x14ac:dyDescent="0.35">
      <c r="A9" t="str">
        <f>USDOLLAR(1234.567,2)</f>
        <v>$1,234.57</v>
      </c>
    </row>
    <row r="10" spans="1:1" x14ac:dyDescent="0.35">
      <c r="A10" t="str">
        <f>USDOLLAR(-5)</f>
        <v>($5.00)</v>
      </c>
    </row>
    <row r="11" spans="1:1" x14ac:dyDescent="0.35">
      <c r="A11" t="e">
        <f ca="1">JIS("abc")</f>
        <v>#NAME?</v>
      </c>
    </row>
    <row r="12" spans="1:1" x14ac:dyDescent="0.35">
      <c r="A12" t="str">
        <f>_xlfn.ENCODEURL("a b&amp;c/d?e=f")</f>
        <v>a%20b%26c%2Fd%3Fe%3Df</v>
      </c>
    </row>
    <row r="13" spans="1:1" x14ac:dyDescent="0.35">
      <c r="A13" t="str">
        <f>_xlfn.ENCODEURL("naïve ✓")</f>
        <v>na%C3%AFve%20%E2%9C%93</v>
      </c>
    </row>
    <row r="14" spans="1:1" x14ac:dyDescent="0.35">
      <c r="A14" t="str">
        <f>_xlfn.ENCODEURL("~-_.!*'()")</f>
        <v>%7E-_.%21%2A%27%28%29</v>
      </c>
    </row>
    <row r="15" spans="1:1" x14ac:dyDescent="0.35">
      <c r="A15" t="str">
        <f>_xlfn.ENCODEURL("100%")</f>
        <v>100%25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2A86-91A4-4E4B-ACD9-6A04D12E6442}">
  <dimension ref="A1:A12"/>
  <sheetViews>
    <sheetView workbookViewId="0"/>
  </sheetViews>
  <sheetFormatPr defaultRowHeight="14.5" x14ac:dyDescent="0.35"/>
  <sheetData>
    <row r="1" spans="1:1" x14ac:dyDescent="0.35">
      <c r="A1" t="b">
        <f>_xlfn.REGEXTEST("abc123","\d+")</f>
        <v>1</v>
      </c>
    </row>
    <row r="2" spans="1:1" x14ac:dyDescent="0.35">
      <c r="A2" t="b">
        <f>_xlfn.REGEXTEST("ABC","abc")</f>
        <v>0</v>
      </c>
    </row>
    <row r="3" spans="1:1" x14ac:dyDescent="0.35">
      <c r="A3" t="b">
        <f>_xlfn.REGEXTEST("ABC","abc",1)</f>
        <v>1</v>
      </c>
    </row>
    <row r="4" spans="1:1" x14ac:dyDescent="0.35">
      <c r="A4" t="str">
        <f>_xlfn.REGEXEXTRACT("abc123def456","\d+")</f>
        <v>123</v>
      </c>
    </row>
    <row r="5" spans="1:1" x14ac:dyDescent="0.35">
      <c r="A5" t="str">
        <f>INDEX(_xlfn.REGEXEXTRACT("abc123def456","\d+",1),2)</f>
        <v>456</v>
      </c>
    </row>
    <row r="6" spans="1:1" x14ac:dyDescent="0.35">
      <c r="A6" t="str">
        <f>INDEX(_xlfn.REGEXEXTRACT("John Smith","(\w+) (\w+)",2),2)</f>
        <v>Smith</v>
      </c>
    </row>
    <row r="7" spans="1:1" x14ac:dyDescent="0.35">
      <c r="A7" t="e" vm="1">
        <f>_xlfn.REGEXEXTRACT("abc","\d")</f>
        <v>#N/A</v>
      </c>
    </row>
    <row r="8" spans="1:1" x14ac:dyDescent="0.35">
      <c r="A8" t="str">
        <f>_xlfn.REGEXREPLACE("abc123","\d","#")</f>
        <v>abc###</v>
      </c>
    </row>
    <row r="9" spans="1:1" x14ac:dyDescent="0.35">
      <c r="A9" t="str">
        <f>_xlfn.REGEXREPLACE("a1b2c3","\d","#",2)</f>
        <v>a1b#c3</v>
      </c>
    </row>
    <row r="10" spans="1:1" x14ac:dyDescent="0.35">
      <c r="A10" t="str">
        <f>_xlfn.REGEXREPLACE("a1b2c3","\d","#",-1)</f>
        <v>a1b2c#</v>
      </c>
    </row>
    <row r="11" spans="1:1" x14ac:dyDescent="0.35">
      <c r="A11" t="str">
        <f>_xlfn.REGEXREPLACE("John Smith","(\w+) (\w+)","$2, $1")</f>
        <v>Smith, John</v>
      </c>
    </row>
    <row r="12" spans="1:1" x14ac:dyDescent="0.35">
      <c r="A12" t="e" vm="2">
        <f>_xlfn.REGEXTEST("x","[")</f>
        <v>#VALUE!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1982-C24C-4C56-8B1E-A9DA7C4343B7}">
  <dimension ref="A1:A8"/>
  <sheetViews>
    <sheetView workbookViewId="0"/>
  </sheetViews>
  <sheetFormatPr defaultRowHeight="14.5" x14ac:dyDescent="0.35"/>
  <sheetData>
    <row r="1" spans="1:1" x14ac:dyDescent="0.35">
      <c r="A1">
        <f>_xlfn.PERCENTOF(Stats!A1:A5,Stats!A1:A20)</f>
        <v>6.6815080235079372E-2</v>
      </c>
    </row>
    <row r="2" spans="1:1" x14ac:dyDescent="0.35">
      <c r="A2">
        <f>ROWS(_xlfn.TRIMRANGE(Stats!A1:A40))</f>
        <v>20</v>
      </c>
    </row>
    <row r="3" spans="1:1" x14ac:dyDescent="0.35">
      <c r="A3">
        <f>COLUMNS(_xlfn.TRIMRANGE(Stats!A1:Z3))</f>
        <v>6</v>
      </c>
    </row>
    <row r="4" spans="1:1" x14ac:dyDescent="0.35">
      <c r="A4">
        <f>ROWS(_xlfn.TRIMRANGE(Stats!A1:A40,2))</f>
        <v>20</v>
      </c>
    </row>
    <row r="5" spans="1:1" x14ac:dyDescent="0.35">
      <c r="A5">
        <f>ROWS(_xlfn.TRIMRANGE(Stats!A1:A40,0))</f>
        <v>40</v>
      </c>
    </row>
    <row r="6" spans="1:1" x14ac:dyDescent="0.35">
      <c r="A6" t="e">
        <f>ROWS(_xlfn.TRIMRANGE(Stats!Z1:Z40))</f>
        <v>#REF!</v>
      </c>
    </row>
    <row r="7" spans="1:1" x14ac:dyDescent="0.35">
      <c r="A7">
        <f>SUM(_xlfn.TRIMRANGE(Stats!A1:A40))</f>
        <v>207.07899999999998</v>
      </c>
    </row>
    <row r="8" spans="1:1" x14ac:dyDescent="0.35">
      <c r="A8" t="e">
        <f>_xlfn.PERCENTOF(0,0)</f>
        <v>#DIV/0!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23CB-0615-4F62-9DF3-1A481CE5F582}">
  <dimension ref="A1:A65"/>
  <sheetViews>
    <sheetView workbookViewId="0"/>
  </sheetViews>
  <sheetFormatPr defaultRowHeight="14.5" x14ac:dyDescent="0.35"/>
  <sheetData>
    <row r="1" spans="1:1" x14ac:dyDescent="0.35">
      <c r="A1">
        <f>BESSELJ(0.1,0)</f>
        <v>0.99750156477001672</v>
      </c>
    </row>
    <row r="2" spans="1:1" x14ac:dyDescent="0.35">
      <c r="A2">
        <f>BESSELJ(0.1,1)</f>
        <v>4.9937526043523334E-2</v>
      </c>
    </row>
    <row r="3" spans="1:1" x14ac:dyDescent="0.35">
      <c r="A3">
        <f>BESSELJ(0.1,2)</f>
        <v>1.248958658799919E-3</v>
      </c>
    </row>
    <row r="4" spans="1:1" x14ac:dyDescent="0.35">
      <c r="A4">
        <f>BESSELJ(0.1,3)</f>
        <v>2.0820315754756259E-5</v>
      </c>
    </row>
    <row r="5" spans="1:1" x14ac:dyDescent="0.35">
      <c r="A5">
        <f>BESSELJ(0.1,4)</f>
        <v>2.6028648545684036E-7</v>
      </c>
    </row>
    <row r="6" spans="1:1" x14ac:dyDescent="0.35">
      <c r="A6">
        <f>BESSELJ(0.5,0)</f>
        <v>0.93846980742354058</v>
      </c>
    </row>
    <row r="7" spans="1:1" x14ac:dyDescent="0.35">
      <c r="A7">
        <f>BESSELJ(0.5,1)</f>
        <v>0.24226845767957006</v>
      </c>
    </row>
    <row r="8" spans="1:1" x14ac:dyDescent="0.35">
      <c r="A8">
        <f>BESSELJ(0.5,2)</f>
        <v>3.0604023458698646E-2</v>
      </c>
    </row>
    <row r="9" spans="1:1" x14ac:dyDescent="0.35">
      <c r="A9">
        <f>BESSELJ(0.5,3)</f>
        <v>2.5637299945872449E-3</v>
      </c>
    </row>
    <row r="10" spans="1:1" x14ac:dyDescent="0.35">
      <c r="A10">
        <f>BESSELJ(0.5,4)</f>
        <v>1.6073647636428759E-4</v>
      </c>
    </row>
    <row r="11" spans="1:1" x14ac:dyDescent="0.35">
      <c r="A11">
        <f>BESSELJ(1,0)</f>
        <v>0.76519768375485919</v>
      </c>
    </row>
    <row r="12" spans="1:1" x14ac:dyDescent="0.35">
      <c r="A12">
        <f>BESSELJ(1,1)</f>
        <v>0.44005058567713012</v>
      </c>
    </row>
    <row r="13" spans="1:1" x14ac:dyDescent="0.35">
      <c r="A13">
        <f>BESSELJ(1,2)</f>
        <v>0.11490348499246938</v>
      </c>
    </row>
    <row r="14" spans="1:1" x14ac:dyDescent="0.35">
      <c r="A14">
        <f>BESSELJ(1,3)</f>
        <v>1.9563353982687996E-2</v>
      </c>
    </row>
    <row r="15" spans="1:1" x14ac:dyDescent="0.35">
      <c r="A15">
        <f>BESSELJ(1,4)</f>
        <v>2.4766389641099553E-3</v>
      </c>
    </row>
    <row r="16" spans="1:1" x14ac:dyDescent="0.35">
      <c r="A16">
        <f>BESSELJ(1.9,0)</f>
        <v>0.28181856183176462</v>
      </c>
    </row>
    <row r="17" spans="1:1" x14ac:dyDescent="0.35">
      <c r="A17">
        <f>BESSELJ(1.9,1)</f>
        <v>0.5811570728301696</v>
      </c>
    </row>
    <row r="18" spans="1:1" x14ac:dyDescent="0.35">
      <c r="A18">
        <f>BESSELJ(1.9,2)</f>
        <v>0.3299258286697852</v>
      </c>
    </row>
    <row r="19" spans="1:1" x14ac:dyDescent="0.35">
      <c r="A19">
        <f>BESSELJ(1.9,3)</f>
        <v>0.11342340687887195</v>
      </c>
    </row>
    <row r="20" spans="1:1" x14ac:dyDescent="0.35">
      <c r="A20">
        <f>BESSELJ(1.9,4)</f>
        <v>2.8253451167487936E-2</v>
      </c>
    </row>
    <row r="21" spans="1:1" x14ac:dyDescent="0.35">
      <c r="A21">
        <f>BESSELJ(2.5,0)</f>
        <v>-4.8383775826756847E-2</v>
      </c>
    </row>
    <row r="22" spans="1:1" x14ac:dyDescent="0.35">
      <c r="A22">
        <f>BESSELJ(2.5,1)</f>
        <v>0.49709410250442176</v>
      </c>
    </row>
    <row r="23" spans="1:1" x14ac:dyDescent="0.35">
      <c r="A23">
        <f>BESSELJ(2.5,2)</f>
        <v>0.44605905783029426</v>
      </c>
    </row>
    <row r="24" spans="1:1" x14ac:dyDescent="0.35">
      <c r="A24">
        <f>BESSELJ(2.5,3)</f>
        <v>0.21660040280734166</v>
      </c>
    </row>
    <row r="25" spans="1:1" x14ac:dyDescent="0.35">
      <c r="A25">
        <f>BESSELJ(2.5,4)</f>
        <v>7.3781880054484897E-2</v>
      </c>
    </row>
    <row r="26" spans="1:1" x14ac:dyDescent="0.35">
      <c r="A26">
        <f>BESSELJ(3.75,0)</f>
        <v>-0.40140605342728491</v>
      </c>
    </row>
    <row r="27" spans="1:1" x14ac:dyDescent="0.35">
      <c r="A27">
        <f>BESSELJ(3.75,1)</f>
        <v>3.3229349105749206E-2</v>
      </c>
    </row>
    <row r="28" spans="1:1" x14ac:dyDescent="0.35">
      <c r="A28">
        <f>BESSELJ(3.75,2)</f>
        <v>0.41912837295035116</v>
      </c>
    </row>
    <row r="29" spans="1:1" x14ac:dyDescent="0.35">
      <c r="A29">
        <f>BESSELJ(3.75,3)</f>
        <v>0.41384091537462536</v>
      </c>
    </row>
    <row r="30" spans="1:1" x14ac:dyDescent="0.35">
      <c r="A30">
        <f>BESSELJ(3.75,4)</f>
        <v>0.24301709313166855</v>
      </c>
    </row>
    <row r="31" spans="1:1" x14ac:dyDescent="0.35">
      <c r="A31">
        <f>BESSELJ(5,0)</f>
        <v>-0.17759677411234329</v>
      </c>
    </row>
    <row r="32" spans="1:1" x14ac:dyDescent="0.35">
      <c r="A32">
        <f>BESSELJ(5,1)</f>
        <v>-0.32757913856636323</v>
      </c>
    </row>
    <row r="33" spans="1:1" x14ac:dyDescent="0.35">
      <c r="A33">
        <f>BESSELJ(5,2)</f>
        <v>4.656511868579799E-2</v>
      </c>
    </row>
    <row r="34" spans="1:1" x14ac:dyDescent="0.35">
      <c r="A34">
        <f>BESSELJ(5,3)</f>
        <v>0.36483123351500163</v>
      </c>
    </row>
    <row r="35" spans="1:1" x14ac:dyDescent="0.35">
      <c r="A35">
        <f>BESSELJ(5,4)</f>
        <v>0.39123236153220403</v>
      </c>
    </row>
    <row r="36" spans="1:1" x14ac:dyDescent="0.35">
      <c r="A36">
        <f>BESSELJ(7.9,0)</f>
        <v>0.19436184974458756</v>
      </c>
    </row>
    <row r="37" spans="1:1" x14ac:dyDescent="0.35">
      <c r="A37">
        <f>BESSELJ(7.9,1)</f>
        <v>0.21917939627587849</v>
      </c>
    </row>
    <row r="38" spans="1:1" x14ac:dyDescent="0.35">
      <c r="A38">
        <f>BESSELJ(7.9,2)</f>
        <v>-0.1388733949912006</v>
      </c>
    </row>
    <row r="39" spans="1:1" x14ac:dyDescent="0.35">
      <c r="A39">
        <f>BESSELJ(7.9,3)</f>
        <v>-0.28949503930939779</v>
      </c>
    </row>
    <row r="40" spans="1:1" x14ac:dyDescent="0.35">
      <c r="A40">
        <f>BESSELJ(7.9,4)</f>
        <v>-8.0996255117202737E-2</v>
      </c>
    </row>
    <row r="41" spans="1:1" x14ac:dyDescent="0.35">
      <c r="A41">
        <f>BESSELJ(8,0)</f>
        <v>0.17165080731769355</v>
      </c>
    </row>
    <row r="42" spans="1:1" x14ac:dyDescent="0.35">
      <c r="A42">
        <f>BESSELJ(8,1)</f>
        <v>0.2346283865070744</v>
      </c>
    </row>
    <row r="43" spans="1:1" x14ac:dyDescent="0.35">
      <c r="A43">
        <f>BESSELJ(8,2)</f>
        <v>-0.11299371069092495</v>
      </c>
    </row>
    <row r="44" spans="1:1" x14ac:dyDescent="0.35">
      <c r="A44">
        <f>BESSELJ(8,3)</f>
        <v>-0.29112524185253685</v>
      </c>
    </row>
    <row r="45" spans="1:1" x14ac:dyDescent="0.35">
      <c r="A45">
        <f>BESSELJ(8,4)</f>
        <v>-0.10535022069847769</v>
      </c>
    </row>
    <row r="46" spans="1:1" x14ac:dyDescent="0.35">
      <c r="A46">
        <f>BESSELJ(8.1,0)</f>
        <v>0.14751745420611367</v>
      </c>
    </row>
    <row r="47" spans="1:1" x14ac:dyDescent="0.35">
      <c r="A47">
        <f>BESSELJ(8.1,1)</f>
        <v>0.24759990357563386</v>
      </c>
    </row>
    <row r="48" spans="1:1" x14ac:dyDescent="0.35">
      <c r="A48">
        <f>BESSELJ(8.1,2)</f>
        <v>-8.6381675545463332E-2</v>
      </c>
    </row>
    <row r="49" spans="1:1" x14ac:dyDescent="0.35">
      <c r="A49">
        <f>BESSELJ(8.1,3)</f>
        <v>-0.29025752112894909</v>
      </c>
    </row>
    <row r="50" spans="1:1" x14ac:dyDescent="0.35">
      <c r="A50">
        <f>BESSELJ(8.1,4)</f>
        <v>-0.12862389566116564</v>
      </c>
    </row>
    <row r="51" spans="1:1" x14ac:dyDescent="0.35">
      <c r="A51">
        <f>BESSELJ(12,0)</f>
        <v>4.7689310661336595E-2</v>
      </c>
    </row>
    <row r="52" spans="1:1" x14ac:dyDescent="0.35">
      <c r="A52">
        <f>BESSELJ(12,1)</f>
        <v>-0.22344638462281952</v>
      </c>
    </row>
    <row r="53" spans="1:1" x14ac:dyDescent="0.35">
      <c r="A53">
        <f>BESSELJ(12,2)</f>
        <v>-8.4930374765139843E-2</v>
      </c>
    </row>
    <row r="54" spans="1:1" x14ac:dyDescent="0.35">
      <c r="A54">
        <f>BESSELJ(12,3)</f>
        <v>0.19513625970110623</v>
      </c>
    </row>
    <row r="55" spans="1:1" x14ac:dyDescent="0.35">
      <c r="A55">
        <f>BESSELJ(12,4)</f>
        <v>0.18249850461569295</v>
      </c>
    </row>
    <row r="56" spans="1:1" x14ac:dyDescent="0.35">
      <c r="A56">
        <f>BESSELJ(20,0)</f>
        <v>0.16702466435943561</v>
      </c>
    </row>
    <row r="57" spans="1:1" x14ac:dyDescent="0.35">
      <c r="A57">
        <f>BESSELJ(20,1)</f>
        <v>6.6833114312052008E-2</v>
      </c>
    </row>
    <row r="58" spans="1:1" x14ac:dyDescent="0.35">
      <c r="A58">
        <f>BESSELJ(20,2)</f>
        <v>-0.1603413529282304</v>
      </c>
    </row>
    <row r="59" spans="1:1" x14ac:dyDescent="0.35">
      <c r="A59">
        <f>BESSELJ(20,3)</f>
        <v>-9.8901384897698091E-2</v>
      </c>
    </row>
    <row r="60" spans="1:1" x14ac:dyDescent="0.35">
      <c r="A60">
        <f>BESSELJ(20,4)</f>
        <v>0.13067093745892097</v>
      </c>
    </row>
    <row r="61" spans="1:1" x14ac:dyDescent="0.35">
      <c r="A61">
        <f>BESSELJ(35,0)</f>
        <v>-0.12684568271147803</v>
      </c>
    </row>
    <row r="62" spans="1:1" x14ac:dyDescent="0.35">
      <c r="A62">
        <f>BESSELJ(35,1)</f>
        <v>4.3990942019730972E-2</v>
      </c>
    </row>
    <row r="63" spans="1:1" x14ac:dyDescent="0.35">
      <c r="A63">
        <f>BESSELJ(35,2)</f>
        <v>0.12935945082689124</v>
      </c>
    </row>
    <row r="64" spans="1:1" x14ac:dyDescent="0.35">
      <c r="A64">
        <f>BESSELJ(35,3)</f>
        <v>-2.9207004782371974E-2</v>
      </c>
    </row>
    <row r="65" spans="1:1" x14ac:dyDescent="0.35">
      <c r="A65">
        <f>BESSELJ(35,4)</f>
        <v>-0.13436636593244072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453D-50A0-40DA-B82A-E0F77F43D8AA}">
  <dimension ref="A1:A65"/>
  <sheetViews>
    <sheetView workbookViewId="0"/>
  </sheetViews>
  <sheetFormatPr defaultRowHeight="14.5" x14ac:dyDescent="0.35"/>
  <sheetData>
    <row r="1" spans="1:1" x14ac:dyDescent="0.35">
      <c r="A1">
        <f>BESSELY(0.1,0)</f>
        <v>-1.5342386613496624</v>
      </c>
    </row>
    <row r="2" spans="1:1" x14ac:dyDescent="0.35">
      <c r="A2">
        <f>BESSELY(0.1,1)</f>
        <v>-6.4589510909911061</v>
      </c>
    </row>
    <row r="3" spans="1:1" x14ac:dyDescent="0.35">
      <c r="A3">
        <f>BESSELY(0.1,2)</f>
        <v>-127.64478315847245</v>
      </c>
    </row>
    <row r="4" spans="1:1" x14ac:dyDescent="0.35">
      <c r="A4">
        <f>BESSELY(0.1,3)</f>
        <v>-5099.3323752479073</v>
      </c>
    </row>
    <row r="5" spans="1:1" x14ac:dyDescent="0.35">
      <c r="A5">
        <f>BESSELY(0.1,4)</f>
        <v>-305832.29773171595</v>
      </c>
    </row>
    <row r="6" spans="1:1" x14ac:dyDescent="0.35">
      <c r="A6">
        <f>BESSELY(0.5,0)</f>
        <v>-0.44451873376270784</v>
      </c>
    </row>
    <row r="7" spans="1:1" x14ac:dyDescent="0.35">
      <c r="A7">
        <f>BESSELY(0.5,1)</f>
        <v>-1.4714723918672943</v>
      </c>
    </row>
    <row r="8" spans="1:1" x14ac:dyDescent="0.35">
      <c r="A8">
        <f>BESSELY(0.5,2)</f>
        <v>-5.4413708337064692</v>
      </c>
    </row>
    <row r="9" spans="1:1" x14ac:dyDescent="0.35">
      <c r="A9">
        <f>BESSELY(0.5,3)</f>
        <v>-42.059494277784459</v>
      </c>
    </row>
    <row r="10" spans="1:1" x14ac:dyDescent="0.35">
      <c r="A10">
        <f>BESSELY(0.5,4)</f>
        <v>-499.27256049970703</v>
      </c>
    </row>
    <row r="11" spans="1:1" x14ac:dyDescent="0.35">
      <c r="A11">
        <f>BESSELY(1,0)</f>
        <v>8.8256971397708064E-2</v>
      </c>
    </row>
    <row r="12" spans="1:1" x14ac:dyDescent="0.35">
      <c r="A12">
        <f>BESSELY(1,1)</f>
        <v>-0.78121282095311972</v>
      </c>
    </row>
    <row r="13" spans="1:1" x14ac:dyDescent="0.35">
      <c r="A13">
        <f>BESSELY(1,2)</f>
        <v>-1.6506826133039476</v>
      </c>
    </row>
    <row r="14" spans="1:1" x14ac:dyDescent="0.35">
      <c r="A14">
        <f>BESSELY(1,3)</f>
        <v>-5.8215176322626707</v>
      </c>
    </row>
    <row r="15" spans="1:1" x14ac:dyDescent="0.35">
      <c r="A15">
        <f>BESSELY(1,4)</f>
        <v>-33.278423180272078</v>
      </c>
    </row>
    <row r="16" spans="1:1" x14ac:dyDescent="0.35">
      <c r="A16">
        <f>BESSELY(1.9,0)</f>
        <v>0.49681996590818489</v>
      </c>
    </row>
    <row r="17" spans="1:1" x14ac:dyDescent="0.35">
      <c r="A17">
        <f>BESSELY(1.9,1)</f>
        <v>-0.16440577239826398</v>
      </c>
    </row>
    <row r="18" spans="1:1" x14ac:dyDescent="0.35">
      <c r="A18">
        <f>BESSELY(1.9,2)</f>
        <v>-0.66987867369583121</v>
      </c>
    </row>
    <row r="19" spans="1:1" x14ac:dyDescent="0.35">
      <c r="A19">
        <f>BESSELY(1.9,3)</f>
        <v>-1.2458651195929595</v>
      </c>
    </row>
    <row r="20" spans="1:1" x14ac:dyDescent="0.35">
      <c r="A20">
        <f>BESSELY(1.9,4)</f>
        <v>-3.2644322302819355</v>
      </c>
    </row>
    <row r="21" spans="1:1" x14ac:dyDescent="0.35">
      <c r="A21">
        <f>BESSELY(2.5,0)</f>
        <v>0.49807035844668862</v>
      </c>
    </row>
    <row r="22" spans="1:1" x14ac:dyDescent="0.35">
      <c r="A22">
        <f>BESSELY(2.5,1)</f>
        <v>0.14591813750831284</v>
      </c>
    </row>
    <row r="23" spans="1:1" x14ac:dyDescent="0.35">
      <c r="A23">
        <f>BESSELY(2.5,2)</f>
        <v>-0.38133584844003832</v>
      </c>
    </row>
    <row r="24" spans="1:1" x14ac:dyDescent="0.35">
      <c r="A24">
        <f>BESSELY(2.5,3)</f>
        <v>-0.75605549501237423</v>
      </c>
    </row>
    <row r="25" spans="1:1" x14ac:dyDescent="0.35">
      <c r="A25">
        <f>BESSELY(2.5,4)</f>
        <v>-1.4331973395896602</v>
      </c>
    </row>
    <row r="26" spans="1:1" x14ac:dyDescent="0.35">
      <c r="A26">
        <f>BESSELY(3.75,0)</f>
        <v>8.5256753680741648E-2</v>
      </c>
    </row>
    <row r="27" spans="1:1" x14ac:dyDescent="0.35">
      <c r="A27">
        <f>BESSELY(3.75,1)</f>
        <v>0.41586877803575617</v>
      </c>
    </row>
    <row r="28" spans="1:1" x14ac:dyDescent="0.35">
      <c r="A28">
        <f>BESSELY(3.75,2)</f>
        <v>0.13653992793832831</v>
      </c>
    </row>
    <row r="29" spans="1:1" x14ac:dyDescent="0.35">
      <c r="A29">
        <f>BESSELY(3.75,3)</f>
        <v>-0.27022618823487266</v>
      </c>
    </row>
    <row r="30" spans="1:1" x14ac:dyDescent="0.35">
      <c r="A30">
        <f>BESSELY(3.75,4)</f>
        <v>-0.56890182911412457</v>
      </c>
    </row>
    <row r="31" spans="1:1" x14ac:dyDescent="0.35">
      <c r="A31">
        <f>BESSELY(5,0)</f>
        <v>-0.30851762303205721</v>
      </c>
    </row>
    <row r="32" spans="1:1" x14ac:dyDescent="0.35">
      <c r="A32">
        <f>BESSELY(5,1)</f>
        <v>0.14786313988734273</v>
      </c>
    </row>
    <row r="33" spans="1:1" x14ac:dyDescent="0.35">
      <c r="A33">
        <f>BESSELY(5,2)</f>
        <v>0.36766287898699429</v>
      </c>
    </row>
    <row r="34" spans="1:1" x14ac:dyDescent="0.35">
      <c r="A34">
        <f>BESSELY(5,3)</f>
        <v>0.1462671633022527</v>
      </c>
    </row>
    <row r="35" spans="1:1" x14ac:dyDescent="0.35">
      <c r="A35">
        <f>BESSELY(5,4)</f>
        <v>-0.19214228302429101</v>
      </c>
    </row>
    <row r="36" spans="1:1" x14ac:dyDescent="0.35">
      <c r="A36">
        <f>BESSELY(7.9,0)</f>
        <v>0.20652093124487067</v>
      </c>
    </row>
    <row r="37" spans="1:1" x14ac:dyDescent="0.35">
      <c r="A37">
        <f>BESSELY(7.9,1)</f>
        <v>-0.1817210873565048</v>
      </c>
    </row>
    <row r="38" spans="1:1" x14ac:dyDescent="0.35">
      <c r="A38">
        <f>BESSELY(7.9,2)</f>
        <v>-0.25252626981613768</v>
      </c>
    </row>
    <row r="39" spans="1:1" x14ac:dyDescent="0.35">
      <c r="A39">
        <f>BESSELY(7.9,3)</f>
        <v>5.3859684917954093E-2</v>
      </c>
    </row>
    <row r="40" spans="1:1" x14ac:dyDescent="0.35">
      <c r="A40">
        <f>BESSELY(7.9,4)</f>
        <v>0.29343235962724207</v>
      </c>
    </row>
    <row r="41" spans="1:1" x14ac:dyDescent="0.35">
      <c r="A41">
        <f>BESSELY(8,0)</f>
        <v>0.22352148924968093</v>
      </c>
    </row>
    <row r="42" spans="1:1" x14ac:dyDescent="0.35">
      <c r="A42">
        <f>BESSELY(8,1)</f>
        <v>-0.15806046183514619</v>
      </c>
    </row>
    <row r="43" spans="1:1" x14ac:dyDescent="0.35">
      <c r="A43">
        <f>BESSELY(8,2)</f>
        <v>-0.26303660470846746</v>
      </c>
    </row>
    <row r="44" spans="1:1" x14ac:dyDescent="0.35">
      <c r="A44">
        <f>BESSELY(8,3)</f>
        <v>2.6542159480912458E-2</v>
      </c>
    </row>
    <row r="45" spans="1:1" x14ac:dyDescent="0.35">
      <c r="A45">
        <f>BESSELY(8,4)</f>
        <v>0.28294322431915181</v>
      </c>
    </row>
    <row r="46" spans="1:1" x14ac:dyDescent="0.35">
      <c r="A46">
        <f>BESSELY(8.1,0)</f>
        <v>0.2380913285653021</v>
      </c>
    </row>
    <row r="47" spans="1:1" x14ac:dyDescent="0.35">
      <c r="A47">
        <f>BESSELY(8.1,1)</f>
        <v>-0.13314879610095956</v>
      </c>
    </row>
    <row r="48" spans="1:1" x14ac:dyDescent="0.35">
      <c r="A48">
        <f>BESSELY(8.1,2)</f>
        <v>-0.27096757451615633</v>
      </c>
    </row>
    <row r="49" spans="1:1" x14ac:dyDescent="0.35">
      <c r="A49">
        <f>BESSELY(8.1,3)</f>
        <v>-6.6235180825344186E-4</v>
      </c>
    </row>
    <row r="50" spans="1:1" x14ac:dyDescent="0.35">
      <c r="A50">
        <f>BESSELY(8.1,4)</f>
        <v>0.27047694354707968</v>
      </c>
    </row>
    <row r="51" spans="1:1" x14ac:dyDescent="0.35">
      <c r="A51">
        <f>BESSELY(12,0)</f>
        <v>-0.22523731260778346</v>
      </c>
    </row>
    <row r="52" spans="1:1" x14ac:dyDescent="0.35">
      <c r="A52">
        <f>BESSELY(12,1)</f>
        <v>-5.7099218058107602E-2</v>
      </c>
    </row>
    <row r="53" spans="1:1" x14ac:dyDescent="0.35">
      <c r="A53">
        <f>BESSELY(12,2)</f>
        <v>0.21572077626476552</v>
      </c>
    </row>
    <row r="54" spans="1:1" x14ac:dyDescent="0.35">
      <c r="A54">
        <f>BESSELY(12,3)</f>
        <v>0.12900614347969611</v>
      </c>
    </row>
    <row r="55" spans="1:1" x14ac:dyDescent="0.35">
      <c r="A55">
        <f>BESSELY(12,4)</f>
        <v>-0.15121770452491745</v>
      </c>
    </row>
    <row r="56" spans="1:1" x14ac:dyDescent="0.35">
      <c r="A56">
        <f>BESSELY(20,0)</f>
        <v>6.2640596697286915E-2</v>
      </c>
    </row>
    <row r="57" spans="1:1" x14ac:dyDescent="0.35">
      <c r="A57">
        <f>BESSELY(20,1)</f>
        <v>-0.16551161434644293</v>
      </c>
    </row>
    <row r="58" spans="1:1" x14ac:dyDescent="0.35">
      <c r="A58">
        <f>BESSELY(20,2)</f>
        <v>-7.9191758131931217E-2</v>
      </c>
    </row>
    <row r="59" spans="1:1" x14ac:dyDescent="0.35">
      <c r="A59">
        <f>BESSELY(20,3)</f>
        <v>0.14967326272005668</v>
      </c>
    </row>
    <row r="60" spans="1:1" x14ac:dyDescent="0.35">
      <c r="A60">
        <f>BESSELY(20,4)</f>
        <v>0.12409373694794823</v>
      </c>
    </row>
    <row r="61" spans="1:1" x14ac:dyDescent="0.35">
      <c r="A61">
        <f>BESSELY(35,0)</f>
        <v>4.5797987265191416E-2</v>
      </c>
    </row>
    <row r="62" spans="1:1" x14ac:dyDescent="0.35">
      <c r="A62">
        <f>BESSELY(35,1)</f>
        <v>0.12751273345426276</v>
      </c>
    </row>
    <row r="63" spans="1:1" x14ac:dyDescent="0.35">
      <c r="A63">
        <f>BESSELY(35,2)</f>
        <v>-3.8511545353519257E-2</v>
      </c>
    </row>
    <row r="64" spans="1:1" x14ac:dyDescent="0.35">
      <c r="A64">
        <f>BESSELY(35,3)</f>
        <v>-0.13191405292323638</v>
      </c>
    </row>
    <row r="65" spans="1:1" x14ac:dyDescent="0.35">
      <c r="A65">
        <f>BESSELY(35,4)</f>
        <v>1.5897707709535878E-2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C1C0-6996-47AB-A572-82D0ADCEE62F}">
  <dimension ref="A1:A65"/>
  <sheetViews>
    <sheetView workbookViewId="0"/>
  </sheetViews>
  <sheetFormatPr defaultRowHeight="14.5" x14ac:dyDescent="0.35"/>
  <sheetData>
    <row r="1" spans="1:1" x14ac:dyDescent="0.35">
      <c r="A1">
        <f>BESSELI(0.1,0)</f>
        <v>1.0025015614596955</v>
      </c>
    </row>
    <row r="2" spans="1:1" x14ac:dyDescent="0.35">
      <c r="A2">
        <f>BESSELI(0.1,1)</f>
        <v>5.0062526025277901E-2</v>
      </c>
    </row>
    <row r="3" spans="1:1" x14ac:dyDescent="0.35">
      <c r="A3">
        <f>BESSELI(0.1,2)</f>
        <v>1.2510419904018255E-3</v>
      </c>
    </row>
    <row r="4" spans="1:1" x14ac:dyDescent="0.35">
      <c r="A4">
        <f>BESSELI(0.1,3)</f>
        <v>2.0846357391667984E-5</v>
      </c>
    </row>
    <row r="5" spans="1:1" x14ac:dyDescent="0.35">
      <c r="A5">
        <f>BESSELI(0.1,4)</f>
        <v>2.6054690174677391E-7</v>
      </c>
    </row>
    <row r="6" spans="1:1" x14ac:dyDescent="0.35">
      <c r="A6">
        <f>BESSELI(0.5,0)</f>
        <v>1.0634833439946074</v>
      </c>
    </row>
    <row r="7" spans="1:1" x14ac:dyDescent="0.35">
      <c r="A7">
        <f>BESSELI(0.5,1)</f>
        <v>0.25789430328903556</v>
      </c>
    </row>
    <row r="8" spans="1:1" x14ac:dyDescent="0.35">
      <c r="A8">
        <f>BESSELI(0.5,2)</f>
        <v>3.1906148375295325E-2</v>
      </c>
    </row>
    <row r="9" spans="1:1" x14ac:dyDescent="0.35">
      <c r="A9">
        <f>BESSELI(0.5,3)</f>
        <v>2.6451119024654478E-3</v>
      </c>
    </row>
    <row r="10" spans="1:1" x14ac:dyDescent="0.35">
      <c r="A10">
        <f>BESSELI(0.5,4)</f>
        <v>1.64805545709947E-4</v>
      </c>
    </row>
    <row r="11" spans="1:1" x14ac:dyDescent="0.35">
      <c r="A11">
        <f>BESSELI(1,0)</f>
        <v>1.2660658480342601</v>
      </c>
    </row>
    <row r="12" spans="1:1" x14ac:dyDescent="0.35">
      <c r="A12">
        <f>BESSELI(1,1)</f>
        <v>0.56515909758194349</v>
      </c>
    </row>
    <row r="13" spans="1:1" x14ac:dyDescent="0.35">
      <c r="A13">
        <f>BESSELI(1,2)</f>
        <v>0.13574766658069928</v>
      </c>
    </row>
    <row r="14" spans="1:1" x14ac:dyDescent="0.35">
      <c r="A14">
        <f>BESSELI(1,3)</f>
        <v>2.2168424403983256E-2</v>
      </c>
    </row>
    <row r="15" spans="1:1" x14ac:dyDescent="0.35">
      <c r="A15">
        <f>BESSELI(1,4)</f>
        <v>2.737120156799775E-3</v>
      </c>
    </row>
    <row r="16" spans="1:1" x14ac:dyDescent="0.35">
      <c r="A16">
        <f>BESSELI(1.9,0)</f>
        <v>2.1277402030264674</v>
      </c>
    </row>
    <row r="17" spans="1:1" x14ac:dyDescent="0.35">
      <c r="A17">
        <f>BESSELI(1.9,1)</f>
        <v>1.4482443765609321</v>
      </c>
    </row>
    <row r="18" spans="1:1" x14ac:dyDescent="0.35">
      <c r="A18">
        <f>BESSELI(1.9,2)</f>
        <v>0.6032724354874498</v>
      </c>
    </row>
    <row r="19" spans="1:1" x14ac:dyDescent="0.35">
      <c r="A19">
        <f>BESSELI(1.9,3)</f>
        <v>0.17819714655690963</v>
      </c>
    </row>
    <row r="20" spans="1:1" x14ac:dyDescent="0.35">
      <c r="A20">
        <f>BESSELI(1.9,4)</f>
        <v>4.0544604255103603E-2</v>
      </c>
    </row>
    <row r="21" spans="1:1" x14ac:dyDescent="0.35">
      <c r="A21">
        <f>BESSELI(2.5,0)</f>
        <v>3.2898391723912908</v>
      </c>
    </row>
    <row r="22" spans="1:1" x14ac:dyDescent="0.35">
      <c r="A22">
        <f>BESSELI(2.5,1)</f>
        <v>2.5167162420253608</v>
      </c>
    </row>
    <row r="23" spans="1:1" x14ac:dyDescent="0.35">
      <c r="A23">
        <f>BESSELI(2.5,2)</f>
        <v>1.276466158815611</v>
      </c>
    </row>
    <row r="24" spans="1:1" x14ac:dyDescent="0.35">
      <c r="A24">
        <f>BESSELI(2.5,3)</f>
        <v>0.47437041286462173</v>
      </c>
    </row>
    <row r="25" spans="1:1" x14ac:dyDescent="0.35">
      <c r="A25">
        <f>BESSELI(2.5,4)</f>
        <v>0.13797716794051873</v>
      </c>
    </row>
    <row r="26" spans="1:1" x14ac:dyDescent="0.35">
      <c r="A26">
        <f>BESSELI(3.75,0)</f>
        <v>9.1189459937909909</v>
      </c>
    </row>
    <row r="27" spans="1:1" x14ac:dyDescent="0.35">
      <c r="A27">
        <f>BESSELI(3.75,1)</f>
        <v>7.7800151513559497</v>
      </c>
    </row>
    <row r="28" spans="1:1" x14ac:dyDescent="0.35">
      <c r="A28">
        <f>BESSELI(3.75,2)</f>
        <v>4.9696044773907904</v>
      </c>
    </row>
    <row r="29" spans="1:1" x14ac:dyDescent="0.35">
      <c r="A29">
        <f>BESSELI(3.75,3)</f>
        <v>2.4791039007002023</v>
      </c>
    </row>
    <row r="30" spans="1:1" x14ac:dyDescent="0.35">
      <c r="A30">
        <f>BESSELI(3.75,4)</f>
        <v>1.003038236270466</v>
      </c>
    </row>
    <row r="31" spans="1:1" x14ac:dyDescent="0.35">
      <c r="A31">
        <f>BESSELI(5,0)</f>
        <v>27.239871894394888</v>
      </c>
    </row>
    <row r="32" spans="1:1" x14ac:dyDescent="0.35">
      <c r="A32">
        <f>BESSELI(5,1)</f>
        <v>24.335641845705506</v>
      </c>
    </row>
    <row r="33" spans="1:1" x14ac:dyDescent="0.35">
      <c r="A33">
        <f>BESSELI(5,2)</f>
        <v>17.505615012117481</v>
      </c>
    </row>
    <row r="34" spans="1:1" x14ac:dyDescent="0.35">
      <c r="A34">
        <f>BESSELI(5,3)</f>
        <v>10.331150195999527</v>
      </c>
    </row>
    <row r="35" spans="1:1" x14ac:dyDescent="0.35">
      <c r="A35">
        <f>BESSELI(5,4)</f>
        <v>5.1082347769180476</v>
      </c>
    </row>
    <row r="36" spans="1:1" x14ac:dyDescent="0.35">
      <c r="A36">
        <f>BESSELI(7.9,0)</f>
        <v>389.4062910546188</v>
      </c>
    </row>
    <row r="37" spans="1:1" x14ac:dyDescent="0.35">
      <c r="A37">
        <f>BESSELI(7.9,1)</f>
        <v>363.85394324515431</v>
      </c>
    </row>
    <row r="38" spans="1:1" x14ac:dyDescent="0.35">
      <c r="A38">
        <f>BESSELI(7.9,2)</f>
        <v>297.29136666298581</v>
      </c>
    </row>
    <row r="39" spans="1:1" x14ac:dyDescent="0.35">
      <c r="A39">
        <f>BESSELI(7.9,3)</f>
        <v>213.3266770872107</v>
      </c>
    </row>
    <row r="40" spans="1:1" x14ac:dyDescent="0.35">
      <c r="A40">
        <f>BESSELI(7.9,4)</f>
        <v>135.27110558409166</v>
      </c>
    </row>
    <row r="41" spans="1:1" x14ac:dyDescent="0.35">
      <c r="A41">
        <f>BESSELI(8,0)</f>
        <v>427.56412531370154</v>
      </c>
    </row>
    <row r="42" spans="1:1" x14ac:dyDescent="0.35">
      <c r="A42">
        <f>BESSELI(8,1)</f>
        <v>399.87313478959214</v>
      </c>
    </row>
    <row r="43" spans="1:1" x14ac:dyDescent="0.35">
      <c r="A43">
        <f>BESSELI(8,2)</f>
        <v>327.59583887539094</v>
      </c>
    </row>
    <row r="44" spans="1:1" x14ac:dyDescent="0.35">
      <c r="A44">
        <f>BESSELI(8,3)</f>
        <v>236.07522631554693</v>
      </c>
    </row>
    <row r="45" spans="1:1" x14ac:dyDescent="0.35">
      <c r="A45">
        <f>BESSELI(8,4)</f>
        <v>150.53941913873075</v>
      </c>
    </row>
    <row r="46" spans="1:1" x14ac:dyDescent="0.35">
      <c r="A46">
        <f>BESSELI(8.1,0)</f>
        <v>469.50061829002283</v>
      </c>
    </row>
    <row r="47" spans="1:1" x14ac:dyDescent="0.35">
      <c r="A47">
        <f>BESSELI(8.1,1)</f>
        <v>439.48430566496495</v>
      </c>
    </row>
    <row r="48" spans="1:1" x14ac:dyDescent="0.35">
      <c r="A48">
        <f>BESSELI(8.1,2)</f>
        <v>360.98597143818847</v>
      </c>
    </row>
    <row r="49" spans="1:1" x14ac:dyDescent="0.35">
      <c r="A49">
        <f>BESSELI(8.1,3)</f>
        <v>261.21964249650256</v>
      </c>
    </row>
    <row r="50" spans="1:1" x14ac:dyDescent="0.35">
      <c r="A50">
        <f>BESSELI(8.1,4)</f>
        <v>167.48993995929771</v>
      </c>
    </row>
    <row r="51" spans="1:1" x14ac:dyDescent="0.35">
      <c r="A51">
        <f>BESSELI(12,0)</f>
        <v>18948.924787133954</v>
      </c>
    </row>
    <row r="52" spans="1:1" x14ac:dyDescent="0.35">
      <c r="A52">
        <f>BESSELI(12,1)</f>
        <v>18141.349612466893</v>
      </c>
    </row>
    <row r="53" spans="1:1" x14ac:dyDescent="0.35">
      <c r="A53">
        <f>BESSELI(12,2)</f>
        <v>15925.366746561602</v>
      </c>
    </row>
    <row r="54" spans="1:1" x14ac:dyDescent="0.35">
      <c r="A54">
        <f>BESSELI(12,3)</f>
        <v>12832.892661247897</v>
      </c>
    </row>
    <row r="55" spans="1:1" x14ac:dyDescent="0.35">
      <c r="A55">
        <f>BESSELI(12,4)</f>
        <v>9508.9204159374967</v>
      </c>
    </row>
    <row r="56" spans="1:1" x14ac:dyDescent="0.35">
      <c r="A56">
        <f>BESSELI(20,0)</f>
        <v>43558285.787908286</v>
      </c>
    </row>
    <row r="57" spans="1:1" x14ac:dyDescent="0.35">
      <c r="A57">
        <f>BESSELI(20,1)</f>
        <v>42454969.057871826</v>
      </c>
    </row>
    <row r="58" spans="1:1" x14ac:dyDescent="0.35">
      <c r="A58">
        <f>BESSELI(20,2)</f>
        <v>39312788.145672314</v>
      </c>
    </row>
    <row r="59" spans="1:1" x14ac:dyDescent="0.35">
      <c r="A59">
        <f>BESSELI(20,3)</f>
        <v>34592418.90476191</v>
      </c>
    </row>
    <row r="60" spans="1:1" x14ac:dyDescent="0.35">
      <c r="A60">
        <f>BESSELI(20,4)</f>
        <v>28935062.463308547</v>
      </c>
    </row>
    <row r="61" spans="1:1" x14ac:dyDescent="0.35">
      <c r="A61">
        <f>BESSELI(35,0)</f>
        <v>107338809769496.3</v>
      </c>
    </row>
    <row r="62" spans="1:1" x14ac:dyDescent="0.35">
      <c r="A62">
        <f>BESSELI(35,1)</f>
        <v>105794135598041.14</v>
      </c>
    </row>
    <row r="63" spans="1:1" x14ac:dyDescent="0.35">
      <c r="A63">
        <f>BESSELI(35,2)</f>
        <v>101293489678872.38</v>
      </c>
    </row>
    <row r="64" spans="1:1" x14ac:dyDescent="0.35">
      <c r="A64">
        <f>BESSELI(35,3)</f>
        <v>94217724797020.563</v>
      </c>
    </row>
    <row r="65" spans="1:1" x14ac:dyDescent="0.35">
      <c r="A65">
        <f>BESSELI(35,4)</f>
        <v>85141821583727.781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65CF-CD71-420C-A160-F339341FCAD5}">
  <dimension ref="A1:A65"/>
  <sheetViews>
    <sheetView workbookViewId="0"/>
  </sheetViews>
  <sheetFormatPr defaultRowHeight="14.5" x14ac:dyDescent="0.35"/>
  <sheetData>
    <row r="1" spans="1:1" x14ac:dyDescent="0.35">
      <c r="A1">
        <f>BESSELK(0.1,0)</f>
        <v>2.427069024858024</v>
      </c>
    </row>
    <row r="2" spans="1:1" x14ac:dyDescent="0.35">
      <c r="A2">
        <f>BESSELK(0.1,1)</f>
        <v>9.8538447836009126</v>
      </c>
    </row>
    <row r="3" spans="1:1" x14ac:dyDescent="0.35">
      <c r="A3">
        <f>BESSELK(0.1,2)</f>
        <v>199.50396469687627</v>
      </c>
    </row>
    <row r="4" spans="1:1" x14ac:dyDescent="0.35">
      <c r="A4">
        <f>BESSELK(0.1,3)</f>
        <v>7990.0124326586511</v>
      </c>
    </row>
    <row r="5" spans="1:1" x14ac:dyDescent="0.35">
      <c r="A5">
        <f>BESSELK(0.1,4)</f>
        <v>479600.24992421595</v>
      </c>
    </row>
    <row r="6" spans="1:1" x14ac:dyDescent="0.35">
      <c r="A6">
        <f>BESSELK(0.5,0)</f>
        <v>0.9244190350213235</v>
      </c>
    </row>
    <row r="7" spans="1:1" x14ac:dyDescent="0.35">
      <c r="A7">
        <f>BESSELK(0.5,1)</f>
        <v>1.6564411280110791</v>
      </c>
    </row>
    <row r="8" spans="1:1" x14ac:dyDescent="0.35">
      <c r="A8">
        <f>BESSELK(0.5,2)</f>
        <v>7.5501835470656395</v>
      </c>
    </row>
    <row r="9" spans="1:1" x14ac:dyDescent="0.35">
      <c r="A9">
        <f>BESSELK(0.5,3)</f>
        <v>62.057909504536198</v>
      </c>
    </row>
    <row r="10" spans="1:1" x14ac:dyDescent="0.35">
      <c r="A10">
        <f>BESSELK(0.5,4)</f>
        <v>752.24509760149999</v>
      </c>
    </row>
    <row r="11" spans="1:1" x14ac:dyDescent="0.35">
      <c r="A11">
        <f>BESSELK(1,0)</f>
        <v>0.42102442108341798</v>
      </c>
    </row>
    <row r="12" spans="1:1" x14ac:dyDescent="0.35">
      <c r="A12">
        <f>BESSELK(1,1)</f>
        <v>0.60190723166690574</v>
      </c>
    </row>
    <row r="13" spans="1:1" x14ac:dyDescent="0.35">
      <c r="A13">
        <f>BESSELK(1,2)</f>
        <v>1.6248388844172295</v>
      </c>
    </row>
    <row r="14" spans="1:1" x14ac:dyDescent="0.35">
      <c r="A14">
        <f>BESSELK(1,3)</f>
        <v>7.1012627693358237</v>
      </c>
    </row>
    <row r="15" spans="1:1" x14ac:dyDescent="0.35">
      <c r="A15">
        <f>BESSELK(1,4)</f>
        <v>44.232415500432168</v>
      </c>
    </row>
    <row r="16" spans="1:1" x14ac:dyDescent="0.35">
      <c r="A16">
        <f>BESSELK(1.9,0)</f>
        <v>0.12884598687117244</v>
      </c>
    </row>
    <row r="17" spans="1:1" x14ac:dyDescent="0.35">
      <c r="A17">
        <f>BESSELK(1.9,1)</f>
        <v>0.1596601487779471</v>
      </c>
    </row>
    <row r="18" spans="1:1" x14ac:dyDescent="0.35">
      <c r="A18">
        <f>BESSELK(1.9,2)</f>
        <v>0.29690930137427463</v>
      </c>
    </row>
    <row r="19" spans="1:1" x14ac:dyDescent="0.35">
      <c r="A19">
        <f>BESSELK(1.9,3)</f>
        <v>0.78473236219747255</v>
      </c>
    </row>
    <row r="20" spans="1:1" x14ac:dyDescent="0.35">
      <c r="A20">
        <f>BESSELK(1.9,4)</f>
        <v>2.7750114977873461</v>
      </c>
    </row>
    <row r="21" spans="1:1" x14ac:dyDescent="0.35">
      <c r="A21">
        <f>BESSELK(2.5,0)</f>
        <v>6.2347554191019179E-2</v>
      </c>
    </row>
    <row r="22" spans="1:1" x14ac:dyDescent="0.35">
      <c r="A22">
        <f>BESSELK(2.5,1)</f>
        <v>7.3890815650266936E-2</v>
      </c>
    </row>
    <row r="23" spans="1:1" x14ac:dyDescent="0.35">
      <c r="A23">
        <f>BESSELK(2.5,2)</f>
        <v>0.12146020671123273</v>
      </c>
    </row>
    <row r="24" spans="1:1" x14ac:dyDescent="0.35">
      <c r="A24">
        <f>BESSELK(2.5,3)</f>
        <v>0.2682271463882393</v>
      </c>
    </row>
    <row r="25" spans="1:1" x14ac:dyDescent="0.35">
      <c r="A25">
        <f>BESSELK(2.5,4)</f>
        <v>0.76520535804300716</v>
      </c>
    </row>
    <row r="26" spans="1:1" x14ac:dyDescent="0.35">
      <c r="A26">
        <f>BESSELK(3.75,0)</f>
        <v>1.4774250797043214E-2</v>
      </c>
    </row>
    <row r="27" spans="1:1" x14ac:dyDescent="0.35">
      <c r="A27">
        <f>BESSELK(3.75,1)</f>
        <v>1.6638191885751462E-2</v>
      </c>
    </row>
    <row r="28" spans="1:1" x14ac:dyDescent="0.35">
      <c r="A28">
        <f>BESSELK(3.75,2)</f>
        <v>2.364795313611066E-2</v>
      </c>
    </row>
    <row r="29" spans="1:1" x14ac:dyDescent="0.35">
      <c r="A29">
        <f>BESSELK(3.75,3)</f>
        <v>4.1862675230936161E-2</v>
      </c>
    </row>
    <row r="30" spans="1:1" x14ac:dyDescent="0.35">
      <c r="A30">
        <f>BESSELK(3.75,4)</f>
        <v>9.062823350560853E-2</v>
      </c>
    </row>
    <row r="31" spans="1:1" x14ac:dyDescent="0.35">
      <c r="A31">
        <f>BESSELK(5,0)</f>
        <v>3.6910983819603066E-3</v>
      </c>
    </row>
    <row r="32" spans="1:1" x14ac:dyDescent="0.35">
      <c r="A32">
        <f>BESSELK(5,1)</f>
        <v>4.044613383208274E-3</v>
      </c>
    </row>
    <row r="33" spans="1:1" x14ac:dyDescent="0.35">
      <c r="A33">
        <f>BESSELK(5,2)</f>
        <v>5.308943735243616E-3</v>
      </c>
    </row>
    <row r="34" spans="1:1" x14ac:dyDescent="0.35">
      <c r="A34">
        <f>BESSELK(5,3)</f>
        <v>8.2917683714031666E-3</v>
      </c>
    </row>
    <row r="35" spans="1:1" x14ac:dyDescent="0.35">
      <c r="A35">
        <f>BESSELK(5,4)</f>
        <v>1.5259065780927417E-2</v>
      </c>
    </row>
    <row r="36" spans="1:1" x14ac:dyDescent="0.35">
      <c r="A36">
        <f>BESSELK(7.9,0)</f>
        <v>1.6286766327610117E-4</v>
      </c>
    </row>
    <row r="37" spans="1:1" x14ac:dyDescent="0.35">
      <c r="A37">
        <f>BESSELK(7.9,1)</f>
        <v>1.7288431171055246E-4</v>
      </c>
    </row>
    <row r="38" spans="1:1" x14ac:dyDescent="0.35">
      <c r="A38">
        <f>BESSELK(7.9,2)</f>
        <v>2.0663584345598788E-4</v>
      </c>
    </row>
    <row r="39" spans="1:1" x14ac:dyDescent="0.35">
      <c r="A39">
        <f>BESSELK(7.9,3)</f>
        <v>2.7751005523257163E-4</v>
      </c>
    </row>
    <row r="40" spans="1:1" x14ac:dyDescent="0.35">
      <c r="A40">
        <f>BESSELK(7.9,4)</f>
        <v>4.1740297401237134E-4</v>
      </c>
    </row>
    <row r="41" spans="1:1" x14ac:dyDescent="0.35">
      <c r="A41">
        <f>BESSELK(8,0)</f>
        <v>1.4647070118058459E-4</v>
      </c>
    </row>
    <row r="42" spans="1:1" x14ac:dyDescent="0.35">
      <c r="A42">
        <f>BESSELK(8,1)</f>
        <v>1.5536921660488915E-4</v>
      </c>
    </row>
    <row r="43" spans="1:1" x14ac:dyDescent="0.35">
      <c r="A43">
        <f>BESSELK(8,2)</f>
        <v>1.8531300533180687E-4</v>
      </c>
    </row>
    <row r="44" spans="1:1" x14ac:dyDescent="0.35">
      <c r="A44">
        <f>BESSELK(8,3)</f>
        <v>2.4802571927079258E-4</v>
      </c>
    </row>
    <row r="45" spans="1:1" x14ac:dyDescent="0.35">
      <c r="A45">
        <f>BESSELK(8,4)</f>
        <v>3.7133229478490128E-4</v>
      </c>
    </row>
    <row r="46" spans="1:1" x14ac:dyDescent="0.35">
      <c r="A46">
        <f>BESSELK(8.1,0)</f>
        <v>1.3173427495863921E-4</v>
      </c>
    </row>
    <row r="47" spans="1:1" x14ac:dyDescent="0.35">
      <c r="A47">
        <f>BESSELK(8.1,1)</f>
        <v>1.3964123334381858E-4</v>
      </c>
    </row>
    <row r="48" spans="1:1" x14ac:dyDescent="0.35">
      <c r="A48">
        <f>BESSELK(8.1,2)</f>
        <v>1.6621359183365615E-4</v>
      </c>
    </row>
    <row r="49" spans="1:1" x14ac:dyDescent="0.35">
      <c r="A49">
        <f>BESSELK(8.1,3)</f>
        <v>2.2172201943451296E-4</v>
      </c>
    </row>
    <row r="50" spans="1:1" x14ac:dyDescent="0.35">
      <c r="A50">
        <f>BESSELK(8.1,4)</f>
        <v>3.3045212474811024E-4</v>
      </c>
    </row>
    <row r="51" spans="1:1" x14ac:dyDescent="0.35">
      <c r="A51">
        <f>BESSELK(12,0)</f>
        <v>2.2008254024225752E-6</v>
      </c>
    </row>
    <row r="52" spans="1:1" x14ac:dyDescent="0.35">
      <c r="A52">
        <f>BESSELK(12,1)</f>
        <v>2.2907574663406422E-6</v>
      </c>
    </row>
    <row r="53" spans="1:1" x14ac:dyDescent="0.35">
      <c r="A53">
        <f>BESSELK(12,2)</f>
        <v>2.582618313479349E-6</v>
      </c>
    </row>
    <row r="54" spans="1:1" x14ac:dyDescent="0.35">
      <c r="A54">
        <f>BESSELK(12,3)</f>
        <v>3.1516302375004253E-6</v>
      </c>
    </row>
    <row r="55" spans="1:1" x14ac:dyDescent="0.35">
      <c r="A55">
        <f>BESSELK(12,4)</f>
        <v>4.158433432229562E-6</v>
      </c>
    </row>
    <row r="56" spans="1:1" x14ac:dyDescent="0.35">
      <c r="A56">
        <f>BESSELK(20,0)</f>
        <v>5.7412383666072524E-10</v>
      </c>
    </row>
    <row r="57" spans="1:1" x14ac:dyDescent="0.35">
      <c r="A57">
        <f>BESSELK(20,1)</f>
        <v>5.8830573421212425E-10</v>
      </c>
    </row>
    <row r="58" spans="1:1" x14ac:dyDescent="0.35">
      <c r="A58">
        <f>BESSELK(20,2)</f>
        <v>6.3295441008193769E-10</v>
      </c>
    </row>
    <row r="59" spans="1:1" x14ac:dyDescent="0.35">
      <c r="A59">
        <f>BESSELK(20,3)</f>
        <v>7.1489661622851179E-10</v>
      </c>
    </row>
    <row r="60" spans="1:1" x14ac:dyDescent="0.35">
      <c r="A60">
        <f>BESSELK(20,4)</f>
        <v>8.4742339495049126E-10</v>
      </c>
    </row>
    <row r="61" spans="1:1" x14ac:dyDescent="0.35">
      <c r="A61">
        <f>BESSELK(35,0)</f>
        <v>1.3310353420854499E-16</v>
      </c>
    </row>
    <row r="62" spans="1:1" x14ac:dyDescent="0.35">
      <c r="A62">
        <f>BESSELK(35,1)</f>
        <v>1.3499176107644673E-16</v>
      </c>
    </row>
    <row r="63" spans="1:1" x14ac:dyDescent="0.35">
      <c r="A63">
        <f>BESSELK(35,2)</f>
        <v>1.4081734912719909E-16</v>
      </c>
    </row>
    <row r="64" spans="1:1" x14ac:dyDescent="0.35">
      <c r="A64">
        <f>BESSELK(35,3)</f>
        <v>1.5108517240526948E-16</v>
      </c>
    </row>
    <row r="65" spans="1:1" x14ac:dyDescent="0.35">
      <c r="A65">
        <f>BESSELK(35,4)</f>
        <v>1.6671766439667386E-16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13EB-12B2-41E7-A818-B3428AD46FCB}">
  <dimension ref="A1:A64"/>
  <sheetViews>
    <sheetView workbookViewId="0"/>
  </sheetViews>
  <sheetFormatPr defaultRowHeight="14.5" x14ac:dyDescent="0.35"/>
  <sheetData>
    <row r="1" spans="1:1" x14ac:dyDescent="0.35">
      <c r="A1">
        <f>CONVERT(1,"ft","m")</f>
        <v>0.30480000000000002</v>
      </c>
    </row>
    <row r="2" spans="1:1" x14ac:dyDescent="0.35">
      <c r="A2">
        <f>CONVERT(1,"m","ft")</f>
        <v>3.2808398950131235</v>
      </c>
    </row>
    <row r="3" spans="1:1" x14ac:dyDescent="0.35">
      <c r="A3">
        <f>CONVERT(100,"C","F")</f>
        <v>212</v>
      </c>
    </row>
    <row r="4" spans="1:1" x14ac:dyDescent="0.35">
      <c r="A4">
        <f>CONVERT(0,"C","K")</f>
        <v>273.14999999999998</v>
      </c>
    </row>
    <row r="5" spans="1:1" x14ac:dyDescent="0.35">
      <c r="A5">
        <f>CONVERT(1,"Rank","K")</f>
        <v>0.55555555555555558</v>
      </c>
    </row>
    <row r="6" spans="1:1" x14ac:dyDescent="0.35">
      <c r="A6">
        <f>CONVERT(1,"Reau","C")</f>
        <v>1.25</v>
      </c>
    </row>
    <row r="7" spans="1:1" x14ac:dyDescent="0.35">
      <c r="A7">
        <f>CONVERT(98.6,"F","C")</f>
        <v>36.999999999999993</v>
      </c>
    </row>
    <row r="8" spans="1:1" x14ac:dyDescent="0.35">
      <c r="A8">
        <f>CONVERT(300,"K","F")</f>
        <v>80.330000000000041</v>
      </c>
    </row>
    <row r="9" spans="1:1" x14ac:dyDescent="0.35">
      <c r="A9">
        <f>CONVERT(1,"ozm","g")</f>
        <v>28.349523125000001</v>
      </c>
    </row>
    <row r="10" spans="1:1" x14ac:dyDescent="0.35">
      <c r="A10">
        <f>CONVERT(1,"ton","kg")</f>
        <v>907.18474000000003</v>
      </c>
    </row>
    <row r="11" spans="1:1" x14ac:dyDescent="0.35">
      <c r="A11">
        <f>CONVERT(1,"stone","lbm")</f>
        <v>13.999999999999998</v>
      </c>
    </row>
    <row r="12" spans="1:1" x14ac:dyDescent="0.35">
      <c r="A12">
        <f>CONVERT(1,"grain","g")</f>
        <v>6.4798910000000001E-2</v>
      </c>
    </row>
    <row r="13" spans="1:1" x14ac:dyDescent="0.35">
      <c r="A13">
        <f>CONVERT(1,"sg","kg")</f>
        <v>14.593902937206364</v>
      </c>
    </row>
    <row r="14" spans="1:1" x14ac:dyDescent="0.35">
      <c r="A14">
        <f>CONVERT(1,"u","g")</f>
        <v>1.660538782E-24</v>
      </c>
    </row>
    <row r="15" spans="1:1" x14ac:dyDescent="0.35">
      <c r="A15">
        <f>CONVERT(1,"lbf","N")</f>
        <v>4.4482216152605005</v>
      </c>
    </row>
    <row r="16" spans="1:1" x14ac:dyDescent="0.35">
      <c r="A16">
        <f>CONVERT(1,"dyn","N")</f>
        <v>1.0000000000000001E-5</v>
      </c>
    </row>
    <row r="17" spans="1:1" x14ac:dyDescent="0.35">
      <c r="A17">
        <f>CONVERT(1,"pond","N")</f>
        <v>9.8066500000000001E-3</v>
      </c>
    </row>
    <row r="18" spans="1:1" x14ac:dyDescent="0.35">
      <c r="A18">
        <f>CONVERT(1,"HP","W")</f>
        <v>745.69987158227025</v>
      </c>
    </row>
    <row r="19" spans="1:1" x14ac:dyDescent="0.35">
      <c r="A19">
        <f>CONVERT(1,"PS","W")</f>
        <v>735.49874999999997</v>
      </c>
    </row>
    <row r="20" spans="1:1" x14ac:dyDescent="0.35">
      <c r="A20">
        <f>CONVERT(1,"BTU","J")</f>
        <v>1055.05585262</v>
      </c>
    </row>
    <row r="21" spans="1:1" x14ac:dyDescent="0.35">
      <c r="A21">
        <f>CONVERT(1,"eV","J")</f>
        <v>1.602176487E-19</v>
      </c>
    </row>
    <row r="22" spans="1:1" x14ac:dyDescent="0.35">
      <c r="A22">
        <f>CONVERT(1,"cal","J")</f>
        <v>4.1867999999999999</v>
      </c>
    </row>
    <row r="23" spans="1:1" x14ac:dyDescent="0.35">
      <c r="A23">
        <f>CONVERT(1,"c","J")</f>
        <v>4.1840000000000002</v>
      </c>
    </row>
    <row r="24" spans="1:1" x14ac:dyDescent="0.35">
      <c r="A24">
        <f>CONVERT(1,"Wh","J")</f>
        <v>3600</v>
      </c>
    </row>
    <row r="25" spans="1:1" x14ac:dyDescent="0.35">
      <c r="A25">
        <f>CONVERT(1,"flb","J")</f>
        <v>1.3558179483314003</v>
      </c>
    </row>
    <row r="26" spans="1:1" x14ac:dyDescent="0.35">
      <c r="A26">
        <f>CONVERT(1,"HPh","J")</f>
        <v>2684519.5376961729</v>
      </c>
    </row>
    <row r="27" spans="1:1" x14ac:dyDescent="0.35">
      <c r="A27">
        <f>CONVERT(1,"atm","mmHg")</f>
        <v>760.00210017851521</v>
      </c>
    </row>
    <row r="28" spans="1:1" x14ac:dyDescent="0.35">
      <c r="A28">
        <f>CONVERT(1,"psi","Pa")</f>
        <v>6894.7572931683617</v>
      </c>
    </row>
    <row r="29" spans="1:1" x14ac:dyDescent="0.35">
      <c r="A29">
        <f>CONVERT(1,"Torr","Pa")</f>
        <v>133.32236842105263</v>
      </c>
    </row>
    <row r="30" spans="1:1" x14ac:dyDescent="0.35">
      <c r="A30">
        <f>CONVERT(1,"yr","day")</f>
        <v>365.25</v>
      </c>
    </row>
    <row r="31" spans="1:1" x14ac:dyDescent="0.35">
      <c r="A31">
        <f>CONVERT(1,"day","sec")</f>
        <v>86400</v>
      </c>
    </row>
    <row r="32" spans="1:1" x14ac:dyDescent="0.35">
      <c r="A32">
        <f>CONVERT(90,"mn","hr")</f>
        <v>1.5</v>
      </c>
    </row>
    <row r="33" spans="1:1" x14ac:dyDescent="0.35">
      <c r="A33">
        <f>CONVERT(1,"mph","m/s")</f>
        <v>0.44703999999999999</v>
      </c>
    </row>
    <row r="34" spans="1:1" x14ac:dyDescent="0.35">
      <c r="A34">
        <f>CONVERT(1,"kn","m/s")</f>
        <v>0.51444444444444448</v>
      </c>
    </row>
    <row r="35" spans="1:1" x14ac:dyDescent="0.35">
      <c r="A35">
        <f>CONVERT(1,"admkn","kn")</f>
        <v>1.0006393088552914</v>
      </c>
    </row>
    <row r="36" spans="1:1" x14ac:dyDescent="0.35">
      <c r="A36">
        <f>CONVERT(1,"ly","m")</f>
        <v>9460730472580800</v>
      </c>
    </row>
    <row r="37" spans="1:1" x14ac:dyDescent="0.35">
      <c r="A37">
        <f>CONVERT(1,"pc","ly")</f>
        <v>3.26156377694566</v>
      </c>
    </row>
    <row r="38" spans="1:1" x14ac:dyDescent="0.35">
      <c r="A38">
        <f>CONVERT(1,"Nmi","km")</f>
        <v>1.8520000000000001</v>
      </c>
    </row>
    <row r="39" spans="1:1" x14ac:dyDescent="0.35">
      <c r="A39">
        <f>CONVERT(1,"mi2","km2")</f>
        <v>2.5899881103359998</v>
      </c>
    </row>
    <row r="40" spans="1:1" x14ac:dyDescent="0.35">
      <c r="A40">
        <f>CONVERT(1,"ha","m2")</f>
        <v>10000</v>
      </c>
    </row>
    <row r="41" spans="1:1" x14ac:dyDescent="0.35">
      <c r="A41">
        <f>CONVERT(1,"us_acre","m2")</f>
        <v>4046.8726098742522</v>
      </c>
    </row>
    <row r="42" spans="1:1" x14ac:dyDescent="0.35">
      <c r="A42">
        <f>CONVERT(1,"uk_acre","ha")</f>
        <v>0.40468564224000003</v>
      </c>
    </row>
    <row r="43" spans="1:1" x14ac:dyDescent="0.35">
      <c r="A43">
        <f>CONVERT(1,"m3","l")</f>
        <v>1000</v>
      </c>
    </row>
    <row r="44" spans="1:1" x14ac:dyDescent="0.35">
      <c r="A44">
        <f>CONVERT(1,"ft3","l")</f>
        <v>28.316846592000001</v>
      </c>
    </row>
    <row r="45" spans="1:1" x14ac:dyDescent="0.35">
      <c r="A45">
        <f>CONVERT(1,"barrel","gal")</f>
        <v>42.000000000000007</v>
      </c>
    </row>
    <row r="46" spans="1:1" x14ac:dyDescent="0.35">
      <c r="A46">
        <f>CONVERT(1,"cup","tsp")</f>
        <v>48</v>
      </c>
    </row>
    <row r="47" spans="1:1" x14ac:dyDescent="0.35">
      <c r="A47">
        <f>CONVERT(1,"uk_gal","gal")</f>
        <v>1.200949925504855</v>
      </c>
    </row>
    <row r="48" spans="1:1" x14ac:dyDescent="0.35">
      <c r="A48">
        <f>CONVERT(1,"uk_pt","pt")</f>
        <v>1.200949925504855</v>
      </c>
    </row>
    <row r="49" spans="1:1" x14ac:dyDescent="0.35">
      <c r="A49">
        <f>CONVERT(1,"bushel","l")</f>
        <v>35.239070166879998</v>
      </c>
    </row>
    <row r="50" spans="1:1" x14ac:dyDescent="0.35">
      <c r="A50">
        <f>CONVERT(1,"byte","bit")</f>
        <v>8</v>
      </c>
    </row>
    <row r="51" spans="1:1" x14ac:dyDescent="0.35">
      <c r="A51">
        <f>CONVERT(1,"kibyte","byte")</f>
        <v>1024</v>
      </c>
    </row>
    <row r="52" spans="1:1" x14ac:dyDescent="0.35">
      <c r="A52">
        <f>CONVERT(1,"Mibyte","kbyte")</f>
        <v>1048.576</v>
      </c>
    </row>
    <row r="53" spans="1:1" x14ac:dyDescent="0.35">
      <c r="A53">
        <f>CONVERT(1,"kg","lbm")</f>
        <v>2.2046226218487757</v>
      </c>
    </row>
    <row r="54" spans="1:1" x14ac:dyDescent="0.35">
      <c r="A54">
        <f>CONVERT(1,"cm","in")</f>
        <v>0.39370078740157483</v>
      </c>
    </row>
    <row r="55" spans="1:1" x14ac:dyDescent="0.35">
      <c r="A55">
        <f>CONVERT(1,"mm","ang")</f>
        <v>10000000</v>
      </c>
    </row>
    <row r="56" spans="1:1" x14ac:dyDescent="0.35">
      <c r="A56">
        <f>CONVERT(1,"dam","m")</f>
        <v>10</v>
      </c>
    </row>
    <row r="57" spans="1:1" x14ac:dyDescent="0.35">
      <c r="A57">
        <f>CONVERT(1,"hm","km")</f>
        <v>0.1</v>
      </c>
    </row>
    <row r="58" spans="1:1" x14ac:dyDescent="0.35">
      <c r="A58">
        <f>CONVERT(1,"T","ga")</f>
        <v>10000</v>
      </c>
    </row>
    <row r="59" spans="1:1" x14ac:dyDescent="0.35">
      <c r="A59">
        <f>CONVERT(1,"pica","in")</f>
        <v>0.16666666666666669</v>
      </c>
    </row>
    <row r="60" spans="1:1" x14ac:dyDescent="0.35">
      <c r="A60">
        <f>CONVERT(1,"Pica","mm")</f>
        <v>0.3527777777777778</v>
      </c>
    </row>
    <row r="61" spans="1:1" x14ac:dyDescent="0.35">
      <c r="A61">
        <f>CONVERT(1,"survey_mi","mi")</f>
        <v>1.000002000004</v>
      </c>
    </row>
    <row r="62" spans="1:1" x14ac:dyDescent="0.35">
      <c r="A62">
        <f>CONVERT(1,"ell","m")</f>
        <v>1.143</v>
      </c>
    </row>
    <row r="63" spans="1:1" x14ac:dyDescent="0.35">
      <c r="A63">
        <f>CONVERT(1,"Morgen","m2")</f>
        <v>2500</v>
      </c>
    </row>
    <row r="64" spans="1:1" x14ac:dyDescent="0.35">
      <c r="A64">
        <f>CONVERT(1,"GRT","m3")</f>
        <v>2.8316846592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C7DC-4724-4583-AB49-1A251423B855}">
  <dimension ref="A1:A240"/>
  <sheetViews>
    <sheetView workbookViewId="0"/>
  </sheetViews>
  <sheetFormatPr defaultRowHeight="14.5" x14ac:dyDescent="0.35"/>
  <sheetData>
    <row r="1" spans="1:1" x14ac:dyDescent="0.35">
      <c r="A1">
        <f>_xlfn.VAR.P(Samples!A2:A13)</f>
        <v>5.5126083447076417E-2</v>
      </c>
    </row>
    <row r="2" spans="1:1" x14ac:dyDescent="0.35">
      <c r="A2">
        <f>_xlfn.STDEV.P(Samples!A2:A13)</f>
        <v>0.23478944492262938</v>
      </c>
    </row>
    <row r="3" spans="1:1" x14ac:dyDescent="0.35">
      <c r="A3">
        <f>_xlfn.VAR.S(Samples!A2:A13)</f>
        <v>6.0137545578628847E-2</v>
      </c>
    </row>
    <row r="4" spans="1:1" x14ac:dyDescent="0.35">
      <c r="A4">
        <f>_xlfn.STDEV.S(Samples!A2:A13)</f>
        <v>0.24522957729162453</v>
      </c>
    </row>
    <row r="5" spans="1:1" x14ac:dyDescent="0.35">
      <c r="A5">
        <f>DEVSQ(Samples!A2:A13)</f>
        <v>0.66151300136491664</v>
      </c>
    </row>
    <row r="6" spans="1:1" x14ac:dyDescent="0.35">
      <c r="A6">
        <f>AVEDEV(Samples!A2:A13)</f>
        <v>0.21513843055555557</v>
      </c>
    </row>
    <row r="7" spans="1:1" x14ac:dyDescent="0.35">
      <c r="A7">
        <f>GEOMEAN(Samples!A2:A13)</f>
        <v>0.31440087056174654</v>
      </c>
    </row>
    <row r="8" spans="1:1" x14ac:dyDescent="0.35">
      <c r="A8">
        <f>HARMEAN(Samples!A2:A13)</f>
        <v>0.19409694875145</v>
      </c>
    </row>
    <row r="9" spans="1:1" x14ac:dyDescent="0.35">
      <c r="A9">
        <f>SKEW(Samples!A2:A13)</f>
        <v>-0.21328267331878975</v>
      </c>
    </row>
    <row r="10" spans="1:1" x14ac:dyDescent="0.35">
      <c r="A10">
        <f>_xlfn.SKEW.P(Samples!A2:A13)</f>
        <v>-0.18563873913649886</v>
      </c>
    </row>
    <row r="11" spans="1:1" x14ac:dyDescent="0.35">
      <c r="A11">
        <f>KURT(Samples!A2:A13)</f>
        <v>-1.3364297611099301</v>
      </c>
    </row>
    <row r="12" spans="1:1" x14ac:dyDescent="0.35">
      <c r="A12" s="4">
        <f>NPV(0.07,Samples!A2:A13)</f>
        <v>3.1774074107864774</v>
      </c>
    </row>
    <row r="13" spans="1:1" x14ac:dyDescent="0.35">
      <c r="A13">
        <f>_xlfn.COVARIANCE.P(Samples!A2:A13,Samples!B2:B13)</f>
        <v>-2.305292999472222E-3</v>
      </c>
    </row>
    <row r="14" spans="1:1" x14ac:dyDescent="0.35">
      <c r="A14">
        <f>_xlfn.COVARIANCE.S(Samples!A2:A13,Samples!B2:B13)</f>
        <v>-2.5148650903333331E-3</v>
      </c>
    </row>
    <row r="15" spans="1:1" x14ac:dyDescent="0.35">
      <c r="A15">
        <f>CORREL(Samples!A2:A13,Samples!B2:B13)</f>
        <v>-0.45339942950790674</v>
      </c>
    </row>
    <row r="16" spans="1:1" x14ac:dyDescent="0.35">
      <c r="A16">
        <f>SLOPE(Samples!A2:A13,Samples!B2:B13)</f>
        <v>-4.9157857398472258</v>
      </c>
    </row>
    <row r="17" spans="1:1" x14ac:dyDescent="0.35">
      <c r="A17">
        <f>INTERCEPT(Samples!A2:A13,Samples!B2:B13)</f>
        <v>0.66829061493999842</v>
      </c>
    </row>
    <row r="18" spans="1:1" x14ac:dyDescent="0.35">
      <c r="A18">
        <f>RSQ(Samples!A2:A13,Samples!B2:B13)</f>
        <v>0.20557104267809534</v>
      </c>
    </row>
    <row r="19" spans="1:1" x14ac:dyDescent="0.35">
      <c r="A19">
        <f>STEYX(Samples!A2:A13,Samples!B2:B13)</f>
        <v>0.22924333881908421</v>
      </c>
    </row>
    <row r="20" spans="1:1" x14ac:dyDescent="0.35">
      <c r="A20">
        <f>INDEX(LINEST(Samples!A2:A13,Samples!B2:B13),1)</f>
        <v>-4.9157857398472267</v>
      </c>
    </row>
    <row r="21" spans="1:1" x14ac:dyDescent="0.35">
      <c r="A21">
        <f>DVAR(Samples!A1:J13,"V1",Samples!L1:L2)</f>
        <v>6.0137545578628847E-2</v>
      </c>
    </row>
    <row r="22" spans="1:1" x14ac:dyDescent="0.35">
      <c r="A22">
        <f>DVARP(Samples!A1:J13,"V1",Samples!L1:L2)</f>
        <v>5.5126083447076417E-2</v>
      </c>
    </row>
    <row r="23" spans="1:1" x14ac:dyDescent="0.35">
      <c r="A23">
        <f>DSTDEV(Samples!A1:J13,"V1",Samples!L1:L2)</f>
        <v>0.24522957729162453</v>
      </c>
    </row>
    <row r="24" spans="1:1" x14ac:dyDescent="0.35">
      <c r="A24">
        <f>DSTDEVP(Samples!A1:J13,"V1",Samples!L1:L2)</f>
        <v>0.23478944492262938</v>
      </c>
    </row>
    <row r="25" spans="1:1" x14ac:dyDescent="0.35">
      <c r="A25">
        <f>_xlfn.VAR.P(Samples!B2:B13)</f>
        <v>4.68957176222221E-4</v>
      </c>
    </row>
    <row r="26" spans="1:1" x14ac:dyDescent="0.35">
      <c r="A26">
        <f>_xlfn.STDEV.P(Samples!B2:B13)</f>
        <v>2.1655419095972746E-2</v>
      </c>
    </row>
    <row r="27" spans="1:1" x14ac:dyDescent="0.35">
      <c r="A27">
        <f>_xlfn.VAR.S(Samples!B2:B13)</f>
        <v>5.115896467878775E-4</v>
      </c>
    </row>
    <row r="28" spans="1:1" x14ac:dyDescent="0.35">
      <c r="A28">
        <f>_xlfn.STDEV.S(Samples!B2:B13)</f>
        <v>2.2618347569791156E-2</v>
      </c>
    </row>
    <row r="29" spans="1:1" x14ac:dyDescent="0.35">
      <c r="A29">
        <f>DEVSQ(Samples!B2:B13)</f>
        <v>5.627486114666666E-3</v>
      </c>
    </row>
    <row r="30" spans="1:1" x14ac:dyDescent="0.35">
      <c r="A30">
        <f>AVEDEV(Samples!B2:B13)</f>
        <v>1.7251722222222224E-2</v>
      </c>
    </row>
    <row r="31" spans="1:1" x14ac:dyDescent="0.35">
      <c r="A31">
        <f>GEOMEAN(Samples!B2:B13)</f>
        <v>4.7011118398745819E-2</v>
      </c>
    </row>
    <row r="32" spans="1:1" x14ac:dyDescent="0.35">
      <c r="A32">
        <f>HARMEAN(Samples!B2:B13)</f>
        <v>4.2445694261667478E-2</v>
      </c>
    </row>
    <row r="33" spans="1:1" x14ac:dyDescent="0.35">
      <c r="A33">
        <f>SKEW(Samples!B2:B13)</f>
        <v>0.45239064337083601</v>
      </c>
    </row>
    <row r="34" spans="1:1" x14ac:dyDescent="0.35">
      <c r="A34">
        <f>_xlfn.SKEW.P(Samples!B2:B13)</f>
        <v>0.39375551387142554</v>
      </c>
    </row>
    <row r="35" spans="1:1" x14ac:dyDescent="0.35">
      <c r="A35">
        <f>KURT(Samples!B2:B13)</f>
        <v>-0.55481315733140102</v>
      </c>
    </row>
    <row r="36" spans="1:1" x14ac:dyDescent="0.35">
      <c r="A36" s="4">
        <f>NPV(0.07,Samples!B2:B13)</f>
        <v>0.41494930188593887</v>
      </c>
    </row>
    <row r="37" spans="1:1" x14ac:dyDescent="0.35">
      <c r="A37">
        <f>_xlfn.COVARIANCE.P(Samples!B2:B13,Samples!C2:C13)</f>
        <v>13.472691331908969</v>
      </c>
    </row>
    <row r="38" spans="1:1" x14ac:dyDescent="0.35">
      <c r="A38">
        <f>_xlfn.COVARIANCE.S(Samples!B2:B13,Samples!C2:C13)</f>
        <v>14.697481452991603</v>
      </c>
    </row>
    <row r="39" spans="1:1" x14ac:dyDescent="0.35">
      <c r="A39">
        <f>CORREL(Samples!B2:B13,Samples!C2:C13)</f>
        <v>0.22647931628064036</v>
      </c>
    </row>
    <row r="40" spans="1:1" x14ac:dyDescent="0.35">
      <c r="A40">
        <f>SLOPE(Samples!B2:B13,Samples!C2:C13)</f>
        <v>1.785401587712969E-6</v>
      </c>
    </row>
    <row r="41" spans="1:1" x14ac:dyDescent="0.35">
      <c r="A41">
        <f>INTERCEPT(Samples!B2:B13,Samples!C2:C13)</f>
        <v>4.3036117168730445E-2</v>
      </c>
    </row>
    <row r="42" spans="1:1" x14ac:dyDescent="0.35">
      <c r="A42">
        <f>RSQ(Samples!B2:B13,Samples!C2:C13)</f>
        <v>5.1292880702946353E-2</v>
      </c>
    </row>
    <row r="43" spans="1:1" x14ac:dyDescent="0.35">
      <c r="A43">
        <f>STEYX(Samples!B2:B13,Samples!C2:C13)</f>
        <v>2.3105921623535346E-2</v>
      </c>
    </row>
    <row r="44" spans="1:1" x14ac:dyDescent="0.35">
      <c r="A44">
        <f>INDEX(LINEST(Samples!B2:B13,Samples!C2:C13),1)</f>
        <v>1.7854015877129699E-6</v>
      </c>
    </row>
    <row r="45" spans="1:1" x14ac:dyDescent="0.35">
      <c r="A45">
        <f>DVAR(Samples!A1:J13,"V2",Samples!L1:L2)</f>
        <v>5.115896467878775E-4</v>
      </c>
    </row>
    <row r="46" spans="1:1" x14ac:dyDescent="0.35">
      <c r="A46">
        <f>DVARP(Samples!A1:J13,"V2",Samples!L1:L2)</f>
        <v>4.68957176222221E-4</v>
      </c>
    </row>
    <row r="47" spans="1:1" x14ac:dyDescent="0.35">
      <c r="A47">
        <f>DSTDEV(Samples!A1:J13,"V2",Samples!L1:L2)</f>
        <v>2.2618347569791156E-2</v>
      </c>
    </row>
    <row r="48" spans="1:1" x14ac:dyDescent="0.35">
      <c r="A48">
        <f>DSTDEVP(Samples!A1:J13,"V2",Samples!L1:L2)</f>
        <v>2.1655419095972746E-2</v>
      </c>
    </row>
    <row r="49" spans="1:1" x14ac:dyDescent="0.35">
      <c r="A49">
        <f>_xlfn.VAR.P(Samples!C2:C13)</f>
        <v>7546028.537572301</v>
      </c>
    </row>
    <row r="50" spans="1:1" x14ac:dyDescent="0.35">
      <c r="A50">
        <f>_xlfn.STDEV.P(Samples!C2:C13)</f>
        <v>2747.0035561630243</v>
      </c>
    </row>
    <row r="51" spans="1:1" x14ac:dyDescent="0.35">
      <c r="A51">
        <f>_xlfn.VAR.S(Samples!C2:C13)</f>
        <v>8232031.1318970537</v>
      </c>
    </row>
    <row r="52" spans="1:1" x14ac:dyDescent="0.35">
      <c r="A52">
        <f>_xlfn.STDEV.S(Samples!C2:C13)</f>
        <v>2869.1516397529522</v>
      </c>
    </row>
    <row r="53" spans="1:1" x14ac:dyDescent="0.35">
      <c r="A53">
        <f>DEVSQ(Samples!C2:C13)</f>
        <v>90552342.450867668</v>
      </c>
    </row>
    <row r="54" spans="1:1" x14ac:dyDescent="0.35">
      <c r="A54">
        <f>AVEDEV(Samples!C2:C13)</f>
        <v>2462.2595551111112</v>
      </c>
    </row>
    <row r="55" spans="1:1" x14ac:dyDescent="0.35">
      <c r="A55">
        <f>GEOMEAN(Samples!C2:C13)</f>
        <v>3641.0260019150387</v>
      </c>
    </row>
    <row r="56" spans="1:1" x14ac:dyDescent="0.35">
      <c r="A56">
        <f>HARMEAN(Samples!C2:C13)</f>
        <v>2075.4643428426534</v>
      </c>
    </row>
    <row r="57" spans="1:1" x14ac:dyDescent="0.35">
      <c r="A57">
        <f>SKEW(Samples!C2:C13)</f>
        <v>-0.11123533989208888</v>
      </c>
    </row>
    <row r="58" spans="1:1" x14ac:dyDescent="0.35">
      <c r="A58">
        <f>_xlfn.SKEW.P(Samples!C2:C13)</f>
        <v>-9.6817936139250674E-2</v>
      </c>
    </row>
    <row r="59" spans="1:1" x14ac:dyDescent="0.35">
      <c r="A59">
        <f>KURT(Samples!C2:C13)</f>
        <v>-1.0437582594889636</v>
      </c>
    </row>
    <row r="60" spans="1:1" x14ac:dyDescent="0.35">
      <c r="A60" s="4">
        <f>NPV(0.07,Samples!C2:C13)</f>
        <v>40849.598157042339</v>
      </c>
    </row>
    <row r="61" spans="1:1" x14ac:dyDescent="0.35">
      <c r="A61">
        <f>_xlfn.COVARIANCE.P(Samples!C2:C13,Samples!D2:D13)</f>
        <v>-8201.5029551236476</v>
      </c>
    </row>
    <row r="62" spans="1:1" x14ac:dyDescent="0.35">
      <c r="A62">
        <f>_xlfn.COVARIANCE.S(Samples!C2:C13,Samples!D2:D13)</f>
        <v>-8947.0941328621611</v>
      </c>
    </row>
    <row r="63" spans="1:1" x14ac:dyDescent="0.35">
      <c r="A63">
        <f>CORREL(Samples!C2:C13,Samples!D2:D13)</f>
        <v>-0.10556806879084051</v>
      </c>
    </row>
    <row r="64" spans="1:1" x14ac:dyDescent="0.35">
      <c r="A64">
        <f>SLOPE(Samples!C2:C13,Samples!D2:D13)</f>
        <v>-10.253925347707874</v>
      </c>
    </row>
    <row r="65" spans="1:1" x14ac:dyDescent="0.35">
      <c r="A65">
        <f>INTERCEPT(Samples!C2:C13,Samples!D2:D13)</f>
        <v>5389.9751385025475</v>
      </c>
    </row>
    <row r="66" spans="1:1" x14ac:dyDescent="0.35">
      <c r="A66">
        <f>RSQ(Samples!C2:C13,Samples!D2:D13)</f>
        <v>1.1144617148227631E-2</v>
      </c>
    </row>
    <row r="67" spans="1:1" x14ac:dyDescent="0.35">
      <c r="A67">
        <f>STEYX(Samples!C2:C13,Samples!D2:D13)</f>
        <v>2992.3765014178534</v>
      </c>
    </row>
    <row r="68" spans="1:1" x14ac:dyDescent="0.35">
      <c r="A68">
        <f>INDEX(LINEST(Samples!C2:C13,Samples!D2:D13),1)</f>
        <v>-10.253925347707897</v>
      </c>
    </row>
    <row r="69" spans="1:1" x14ac:dyDescent="0.35">
      <c r="A69">
        <f>DVAR(Samples!A1:J13,"V3",Samples!L1:L2)</f>
        <v>8232031.1318970537</v>
      </c>
    </row>
    <row r="70" spans="1:1" x14ac:dyDescent="0.35">
      <c r="A70">
        <f>DVARP(Samples!A1:J13,"V3",Samples!L1:L2)</f>
        <v>7546028.537572301</v>
      </c>
    </row>
    <row r="71" spans="1:1" x14ac:dyDescent="0.35">
      <c r="A71">
        <f>DSTDEV(Samples!A1:J13,"V3",Samples!L1:L2)</f>
        <v>2869.1516397529522</v>
      </c>
    </row>
    <row r="72" spans="1:1" x14ac:dyDescent="0.35">
      <c r="A72">
        <f>DSTDEVP(Samples!A1:J13,"V3",Samples!L1:L2)</f>
        <v>2747.0035561630243</v>
      </c>
    </row>
    <row r="73" spans="1:1" x14ac:dyDescent="0.35">
      <c r="A73">
        <f>_xlfn.VAR.P(Samples!D2:D13)</f>
        <v>799.84032231685421</v>
      </c>
    </row>
    <row r="74" spans="1:1" x14ac:dyDescent="0.35">
      <c r="A74">
        <f>_xlfn.STDEV.P(Samples!D2:D13)</f>
        <v>28.28144837728178</v>
      </c>
    </row>
    <row r="75" spans="1:1" x14ac:dyDescent="0.35">
      <c r="A75">
        <f>_xlfn.VAR.S(Samples!D2:D13)</f>
        <v>872.55307889111418</v>
      </c>
    </row>
    <row r="76" spans="1:1" x14ac:dyDescent="0.35">
      <c r="A76">
        <f>_xlfn.STDEV.S(Samples!D2:D13)</f>
        <v>29.539009443295729</v>
      </c>
    </row>
    <row r="77" spans="1:1" x14ac:dyDescent="0.35">
      <c r="A77">
        <f>DEVSQ(Samples!D2:D13)</f>
        <v>9598.0838678022737</v>
      </c>
    </row>
    <row r="78" spans="1:1" x14ac:dyDescent="0.35">
      <c r="A78">
        <f>AVEDEV(Samples!D2:D13)</f>
        <v>24.17771445833333</v>
      </c>
    </row>
    <row r="79" spans="1:1" x14ac:dyDescent="0.35">
      <c r="A79">
        <f>GEOMEAN(Samples!D2:D13)</f>
        <v>45.157552290279675</v>
      </c>
    </row>
    <row r="80" spans="1:1" x14ac:dyDescent="0.35">
      <c r="A80">
        <f>HARMEAN(Samples!D2:D13)</f>
        <v>36.326960367198858</v>
      </c>
    </row>
    <row r="81" spans="1:1" x14ac:dyDescent="0.35">
      <c r="A81">
        <f>SKEW(Samples!D2:D13)</f>
        <v>0.29502686262531524</v>
      </c>
    </row>
    <row r="82" spans="1:1" x14ac:dyDescent="0.35">
      <c r="A82">
        <f>_xlfn.SKEW.P(Samples!D2:D13)</f>
        <v>0.25678792344889273</v>
      </c>
    </row>
    <row r="83" spans="1:1" x14ac:dyDescent="0.35">
      <c r="A83">
        <f>KURT(Samples!D2:D13)</f>
        <v>-1.2438506077921656</v>
      </c>
    </row>
    <row r="84" spans="1:1" x14ac:dyDescent="0.35">
      <c r="A84" s="4">
        <f>NPV(0.07,Samples!D2:D13)</f>
        <v>423.61466335669797</v>
      </c>
    </row>
    <row r="85" spans="1:1" x14ac:dyDescent="0.35">
      <c r="A85">
        <f>_xlfn.COVARIANCE.P(Samples!D2:D13,Samples!E2:E13)</f>
        <v>-119.62452276551107</v>
      </c>
    </row>
    <row r="86" spans="1:1" x14ac:dyDescent="0.35">
      <c r="A86">
        <f>_xlfn.COVARIANCE.S(Samples!D2:D13,Samples!E2:E13)</f>
        <v>-130.49947938055755</v>
      </c>
    </row>
    <row r="87" spans="1:1" x14ac:dyDescent="0.35">
      <c r="A87">
        <f>CORREL(Samples!D2:D13,Samples!E2:E13)</f>
        <v>-0.13352311817869783</v>
      </c>
    </row>
    <row r="88" spans="1:1" x14ac:dyDescent="0.35">
      <c r="A88">
        <f>SLOPE(Samples!D2:D13,Samples!E2:E13)</f>
        <v>-0.11920542159394465</v>
      </c>
    </row>
    <row r="89" spans="1:1" x14ac:dyDescent="0.35">
      <c r="A89">
        <f>INTERCEPT(Samples!D2:D13,Samples!E2:E13)</f>
        <v>58.183278414357773</v>
      </c>
    </row>
    <row r="90" spans="1:1" x14ac:dyDescent="0.35">
      <c r="A90">
        <f>RSQ(Samples!D2:D13,Samples!E2:E13)</f>
        <v>1.7828423088162508E-2</v>
      </c>
    </row>
    <row r="91" spans="1:1" x14ac:dyDescent="0.35">
      <c r="A91">
        <f>STEYX(Samples!D2:D13,Samples!E2:E13)</f>
        <v>30.703363281196783</v>
      </c>
    </row>
    <row r="92" spans="1:1" x14ac:dyDescent="0.35">
      <c r="A92">
        <f>INDEX(LINEST(Samples!D2:D13,Samples!E2:E13),1)</f>
        <v>-0.11920542159394466</v>
      </c>
    </row>
    <row r="93" spans="1:1" x14ac:dyDescent="0.35">
      <c r="A93">
        <f>DVAR(Samples!A1:J13,"V4",Samples!L1:L2)</f>
        <v>872.55307889111418</v>
      </c>
    </row>
    <row r="94" spans="1:1" x14ac:dyDescent="0.35">
      <c r="A94">
        <f>DVARP(Samples!A1:J13,"V4",Samples!L1:L2)</f>
        <v>799.84032231685421</v>
      </c>
    </row>
    <row r="95" spans="1:1" x14ac:dyDescent="0.35">
      <c r="A95">
        <f>DSTDEV(Samples!A1:J13,"V4",Samples!L1:L2)</f>
        <v>29.539009443295729</v>
      </c>
    </row>
    <row r="96" spans="1:1" x14ac:dyDescent="0.35">
      <c r="A96">
        <f>DSTDEVP(Samples!A1:J13,"V4",Samples!L1:L2)</f>
        <v>28.28144837728178</v>
      </c>
    </row>
    <row r="97" spans="1:1" x14ac:dyDescent="0.35">
      <c r="A97">
        <f>_xlfn.VAR.P(Samples!E2:E13)</f>
        <v>1003.5157895166384</v>
      </c>
    </row>
    <row r="98" spans="1:1" x14ac:dyDescent="0.35">
      <c r="A98">
        <f>_xlfn.STDEV.P(Samples!E2:E13)</f>
        <v>31.678317340361346</v>
      </c>
    </row>
    <row r="99" spans="1:1" x14ac:dyDescent="0.35">
      <c r="A99">
        <f>_xlfn.VAR.S(Samples!E2:E13)</f>
        <v>1094.7444976545148</v>
      </c>
    </row>
    <row r="100" spans="1:1" x14ac:dyDescent="0.35">
      <c r="A100">
        <f>_xlfn.STDEV.S(Samples!E2:E13)</f>
        <v>33.08692336338504</v>
      </c>
    </row>
    <row r="101" spans="1:1" x14ac:dyDescent="0.35">
      <c r="A101">
        <f>DEVSQ(Samples!E2:E13)</f>
        <v>12042.189474199658</v>
      </c>
    </row>
    <row r="102" spans="1:1" x14ac:dyDescent="0.35">
      <c r="A102">
        <f>AVEDEV(Samples!E2:E13)</f>
        <v>28.111518666666665</v>
      </c>
    </row>
    <row r="103" spans="1:1" x14ac:dyDescent="0.35">
      <c r="A103">
        <f>GEOMEAN(Samples!E2:E13)</f>
        <v>23.745464434434982</v>
      </c>
    </row>
    <row r="104" spans="1:1" x14ac:dyDescent="0.35">
      <c r="A104">
        <f>HARMEAN(Samples!E2:E13)</f>
        <v>13.003125855266225</v>
      </c>
    </row>
    <row r="105" spans="1:1" x14ac:dyDescent="0.35">
      <c r="A105">
        <f>SKEW(Samples!E2:E13)</f>
        <v>0.6935207292113893</v>
      </c>
    </row>
    <row r="106" spans="1:1" x14ac:dyDescent="0.35">
      <c r="A106">
        <f>_xlfn.SKEW.P(Samples!E2:E13)</f>
        <v>0.60363231448902466</v>
      </c>
    </row>
    <row r="107" spans="1:1" x14ac:dyDescent="0.35">
      <c r="A107">
        <f>KURT(Samples!E2:E13)</f>
        <v>-1.2020466079449772</v>
      </c>
    </row>
    <row r="108" spans="1:1" x14ac:dyDescent="0.35">
      <c r="A108" s="4">
        <f>NPV(0.07,Samples!E2:E13)</f>
        <v>306.4359952780236</v>
      </c>
    </row>
    <row r="109" spans="1:1" x14ac:dyDescent="0.35">
      <c r="A109">
        <f>_xlfn.COVARIANCE.P(Samples!E2:E13,Samples!F2:F13)</f>
        <v>276.09699386452007</v>
      </c>
    </row>
    <row r="110" spans="1:1" x14ac:dyDescent="0.35">
      <c r="A110">
        <f>_xlfn.COVARIANCE.S(Samples!E2:E13,Samples!F2:F13)</f>
        <v>301.19672057947645</v>
      </c>
    </row>
    <row r="111" spans="1:1" x14ac:dyDescent="0.35">
      <c r="A111">
        <f>CORREL(Samples!E2:E13,Samples!F2:F13)</f>
        <v>0.39053731500595895</v>
      </c>
    </row>
    <row r="112" spans="1:1" x14ac:dyDescent="0.35">
      <c r="A112">
        <f>SLOPE(Samples!E2:E13,Samples!F2:F13)</f>
        <v>0.55435453446162997</v>
      </c>
    </row>
    <row r="113" spans="1:1" x14ac:dyDescent="0.35">
      <c r="A113">
        <f>INTERCEPT(Samples!E2:E13,Samples!F2:F13)</f>
        <v>4.8886887074734773</v>
      </c>
    </row>
    <row r="114" spans="1:1" x14ac:dyDescent="0.35">
      <c r="A114">
        <f>RSQ(Samples!E2:E13,Samples!F2:F13)</f>
        <v>0.15251939441206361</v>
      </c>
    </row>
    <row r="115" spans="1:1" x14ac:dyDescent="0.35">
      <c r="A115">
        <f>STEYX(Samples!E2:E13,Samples!F2:F13)</f>
        <v>31.946082746088603</v>
      </c>
    </row>
    <row r="116" spans="1:1" x14ac:dyDescent="0.35">
      <c r="A116">
        <f>INDEX(LINEST(Samples!E2:E13,Samples!F2:F13),1)</f>
        <v>0.5543545344616303</v>
      </c>
    </row>
    <row r="117" spans="1:1" x14ac:dyDescent="0.35">
      <c r="A117">
        <f>DVAR(Samples!A1:J13,"V5",Samples!L1:L2)</f>
        <v>1094.7444976545148</v>
      </c>
    </row>
    <row r="118" spans="1:1" x14ac:dyDescent="0.35">
      <c r="A118">
        <f>DVARP(Samples!A1:J13,"V5",Samples!L1:L2)</f>
        <v>1003.5157895166384</v>
      </c>
    </row>
    <row r="119" spans="1:1" x14ac:dyDescent="0.35">
      <c r="A119">
        <f>DSTDEV(Samples!A1:J13,"V5",Samples!L1:L2)</f>
        <v>33.08692336338504</v>
      </c>
    </row>
    <row r="120" spans="1:1" x14ac:dyDescent="0.35">
      <c r="A120">
        <f>DSTDEVP(Samples!A1:J13,"V5",Samples!L1:L2)</f>
        <v>31.678317340361346</v>
      </c>
    </row>
    <row r="121" spans="1:1" x14ac:dyDescent="0.35">
      <c r="A121">
        <f>_xlfn.VAR.P(Samples!F2:F13)</f>
        <v>498.05129515654903</v>
      </c>
    </row>
    <row r="122" spans="1:1" x14ac:dyDescent="0.35">
      <c r="A122">
        <f>_xlfn.STDEV.P(Samples!F2:F13)</f>
        <v>22.317062870291625</v>
      </c>
    </row>
    <row r="123" spans="1:1" x14ac:dyDescent="0.35">
      <c r="A123">
        <f>_xlfn.VAR.S(Samples!F2:F13)</f>
        <v>543.32868562532599</v>
      </c>
    </row>
    <row r="124" spans="1:1" x14ac:dyDescent="0.35">
      <c r="A124">
        <f>_xlfn.STDEV.S(Samples!F2:F13)</f>
        <v>23.309411953657818</v>
      </c>
    </row>
    <row r="125" spans="1:1" x14ac:dyDescent="0.35">
      <c r="A125">
        <f>DEVSQ(Samples!F2:F13)</f>
        <v>5976.6155418785775</v>
      </c>
    </row>
    <row r="126" spans="1:1" x14ac:dyDescent="0.35">
      <c r="A126">
        <f>AVEDEV(Samples!F2:F13)</f>
        <v>19.086143944444444</v>
      </c>
    </row>
    <row r="127" spans="1:1" x14ac:dyDescent="0.35">
      <c r="A127">
        <f>GEOMEAN(Samples!F2:F13)</f>
        <v>53.342227608034221</v>
      </c>
    </row>
    <row r="128" spans="1:1" x14ac:dyDescent="0.35">
      <c r="A128">
        <f>HARMEAN(Samples!F2:F13)</f>
        <v>43.877928000582315</v>
      </c>
    </row>
    <row r="129" spans="1:1" x14ac:dyDescent="0.35">
      <c r="A129">
        <f>SKEW(Samples!F2:F13)</f>
        <v>-1.0779424360192711</v>
      </c>
    </row>
    <row r="130" spans="1:1" x14ac:dyDescent="0.35">
      <c r="A130">
        <f>_xlfn.SKEW.P(Samples!F2:F13)</f>
        <v>-0.93822846258704728</v>
      </c>
    </row>
    <row r="131" spans="1:1" x14ac:dyDescent="0.35">
      <c r="A131">
        <f>KURT(Samples!F2:F13)</f>
        <v>2.6908381870724973E-2</v>
      </c>
    </row>
    <row r="132" spans="1:1" x14ac:dyDescent="0.35">
      <c r="A132" s="4">
        <f>NPV(0.07,Samples!F2:F13)</f>
        <v>474.23048919559506</v>
      </c>
    </row>
    <row r="133" spans="1:1" x14ac:dyDescent="0.35">
      <c r="A133">
        <f>_xlfn.COVARIANCE.P(Samples!F2:F13,Samples!G2:G13)</f>
        <v>-76873.234886558072</v>
      </c>
    </row>
    <row r="134" spans="1:1" x14ac:dyDescent="0.35">
      <c r="A134">
        <f>_xlfn.COVARIANCE.S(Samples!F2:F13,Samples!G2:G13)</f>
        <v>-83861.710785336079</v>
      </c>
    </row>
    <row r="135" spans="1:1" x14ac:dyDescent="0.35">
      <c r="A135">
        <f>CORREL(Samples!F2:F13,Samples!G2:G13)</f>
        <v>-0.1172440280670503</v>
      </c>
    </row>
    <row r="136" spans="1:1" x14ac:dyDescent="0.35">
      <c r="A136">
        <f>SLOPE(Samples!F2:F13,Samples!G2:G13)</f>
        <v>-8.9059525803742955E-5</v>
      </c>
    </row>
    <row r="137" spans="1:1" x14ac:dyDescent="0.35">
      <c r="A137">
        <f>INTERCEPT(Samples!F2:F13,Samples!G2:G13)</f>
        <v>65.239514889474478</v>
      </c>
    </row>
    <row r="138" spans="1:1" x14ac:dyDescent="0.35">
      <c r="A138">
        <f>RSQ(Samples!F2:F13,Samples!G2:G13)</f>
        <v>1.3746162117387285E-2</v>
      </c>
    </row>
    <row r="139" spans="1:1" x14ac:dyDescent="0.35">
      <c r="A139">
        <f>STEYX(Samples!F2:F13,Samples!G2:G13)</f>
        <v>24.278509047564302</v>
      </c>
    </row>
    <row r="140" spans="1:1" x14ac:dyDescent="0.35">
      <c r="A140">
        <f>INDEX(LINEST(Samples!F2:F13,Samples!G2:G13),1)</f>
        <v>-8.9059525803742928E-5</v>
      </c>
    </row>
    <row r="141" spans="1:1" x14ac:dyDescent="0.35">
      <c r="A141">
        <f>DVAR(Samples!A1:J13,"V6",Samples!L1:L2)</f>
        <v>543.32868562532599</v>
      </c>
    </row>
    <row r="142" spans="1:1" x14ac:dyDescent="0.35">
      <c r="A142">
        <f>DVARP(Samples!A1:J13,"V6",Samples!L1:L2)</f>
        <v>498.05129515654903</v>
      </c>
    </row>
    <row r="143" spans="1:1" x14ac:dyDescent="0.35">
      <c r="A143">
        <f>DSTDEV(Samples!A1:J13,"V6",Samples!L1:L2)</f>
        <v>23.309411953657818</v>
      </c>
    </row>
    <row r="144" spans="1:1" x14ac:dyDescent="0.35">
      <c r="A144">
        <f>DSTDEVP(Samples!A1:J13,"V6",Samples!L1:L2)</f>
        <v>22.317062870291625</v>
      </c>
    </row>
    <row r="145" spans="1:1" x14ac:dyDescent="0.35">
      <c r="A145">
        <f>_xlfn.VAR.P(Samples!G2:G13)</f>
        <v>863166900.93276167</v>
      </c>
    </row>
    <row r="146" spans="1:1" x14ac:dyDescent="0.35">
      <c r="A146">
        <f>_xlfn.STDEV.P(Samples!G2:G13)</f>
        <v>29379.702192717366</v>
      </c>
    </row>
    <row r="147" spans="1:1" x14ac:dyDescent="0.35">
      <c r="A147">
        <f>_xlfn.VAR.S(Samples!G2:G13)</f>
        <v>941636619.19937694</v>
      </c>
    </row>
    <row r="148" spans="1:1" x14ac:dyDescent="0.35">
      <c r="A148">
        <f>_xlfn.STDEV.S(Samples!G2:G13)</f>
        <v>30686.098142308299</v>
      </c>
    </row>
    <row r="149" spans="1:1" x14ac:dyDescent="0.35">
      <c r="A149">
        <f>DEVSQ(Samples!G2:G13)</f>
        <v>10358002811.193132</v>
      </c>
    </row>
    <row r="150" spans="1:1" x14ac:dyDescent="0.35">
      <c r="A150">
        <f>AVEDEV(Samples!G2:G13)</f>
        <v>27002.191811347217</v>
      </c>
    </row>
    <row r="151" spans="1:1" x14ac:dyDescent="0.35">
      <c r="A151">
        <f>GEOMEAN(Samples!G2:G13)</f>
        <v>50609.438257048707</v>
      </c>
    </row>
    <row r="152" spans="1:1" x14ac:dyDescent="0.35">
      <c r="A152">
        <f>HARMEAN(Samples!G2:G13)</f>
        <v>40633.474160807433</v>
      </c>
    </row>
    <row r="153" spans="1:1" x14ac:dyDescent="0.35">
      <c r="A153">
        <f>SKEW(Samples!G2:G13)</f>
        <v>-0.37024920427975599</v>
      </c>
    </row>
    <row r="154" spans="1:1" x14ac:dyDescent="0.35">
      <c r="A154">
        <f>_xlfn.SKEW.P(Samples!G2:G13)</f>
        <v>-0.3222605680024111</v>
      </c>
    </row>
    <row r="155" spans="1:1" x14ac:dyDescent="0.35">
      <c r="A155">
        <f>KURT(Samples!G2:G13)</f>
        <v>-1.7124661828443659</v>
      </c>
    </row>
    <row r="156" spans="1:1" x14ac:dyDescent="0.35">
      <c r="A156" s="4">
        <f>NPV(0.07,Samples!G2:G13)</f>
        <v>455777.644488074</v>
      </c>
    </row>
    <row r="157" spans="1:1" x14ac:dyDescent="0.35">
      <c r="A157">
        <f>_xlfn.COVARIANCE.P(Samples!G2:G13,Samples!H2:H13)</f>
        <v>808.69725868853129</v>
      </c>
    </row>
    <row r="158" spans="1:1" x14ac:dyDescent="0.35">
      <c r="A158">
        <f>_xlfn.COVARIANCE.S(Samples!G2:G13,Samples!H2:H13)</f>
        <v>882.21519129657963</v>
      </c>
    </row>
    <row r="159" spans="1:1" x14ac:dyDescent="0.35">
      <c r="A159">
        <f>CORREL(Samples!G2:G13,Samples!H2:H13)</f>
        <v>0.12161882210188808</v>
      </c>
    </row>
    <row r="160" spans="1:1" x14ac:dyDescent="0.35">
      <c r="A160">
        <f>SLOPE(Samples!G2:G13,Samples!H2:H13)</f>
        <v>15787.39202604813</v>
      </c>
    </row>
    <row r="161" spans="1:1" x14ac:dyDescent="0.35">
      <c r="A161">
        <f>INTERCEPT(Samples!G2:G13,Samples!H2:H13)</f>
        <v>53320.738570986468</v>
      </c>
    </row>
    <row r="162" spans="1:1" x14ac:dyDescent="0.35">
      <c r="A162">
        <f>RSQ(Samples!G2:G13,Samples!H2:H13)</f>
        <v>1.4791137889450705E-2</v>
      </c>
    </row>
    <row r="163" spans="1:1" x14ac:dyDescent="0.35">
      <c r="A163">
        <f>STEYX(Samples!G2:G13,Samples!H2:H13)</f>
        <v>31944.946647871329</v>
      </c>
    </row>
    <row r="164" spans="1:1" x14ac:dyDescent="0.35">
      <c r="A164">
        <f>INDEX(LINEST(Samples!G2:G13,Samples!H2:H13),1)</f>
        <v>15787.392026048128</v>
      </c>
    </row>
    <row r="165" spans="1:1" x14ac:dyDescent="0.35">
      <c r="A165">
        <f>DVAR(Samples!A1:J13,"V7",Samples!L1:L2)</f>
        <v>941636619.19937694</v>
      </c>
    </row>
    <row r="166" spans="1:1" x14ac:dyDescent="0.35">
      <c r="A166">
        <f>DVARP(Samples!A1:J13,"V7",Samples!L1:L2)</f>
        <v>863166900.93276167</v>
      </c>
    </row>
    <row r="167" spans="1:1" x14ac:dyDescent="0.35">
      <c r="A167">
        <f>DSTDEV(Samples!A1:J13,"V7",Samples!L1:L2)</f>
        <v>30686.098142308299</v>
      </c>
    </row>
    <row r="168" spans="1:1" x14ac:dyDescent="0.35">
      <c r="A168">
        <f>DSTDEVP(Samples!A1:J13,"V7",Samples!L1:L2)</f>
        <v>29379.702192717366</v>
      </c>
    </row>
    <row r="169" spans="1:1" x14ac:dyDescent="0.35">
      <c r="A169">
        <f>_xlfn.VAR.P(Samples!H2:H13)</f>
        <v>5.122424637040969E-2</v>
      </c>
    </row>
    <row r="170" spans="1:1" x14ac:dyDescent="0.35">
      <c r="A170">
        <f>_xlfn.STDEV.P(Samples!H2:H13)</f>
        <v>0.22632774105356526</v>
      </c>
    </row>
    <row r="171" spans="1:1" x14ac:dyDescent="0.35">
      <c r="A171">
        <f>_xlfn.VAR.S(Samples!H2:H13)</f>
        <v>5.5880996040446961E-2</v>
      </c>
    </row>
    <row r="172" spans="1:1" x14ac:dyDescent="0.35">
      <c r="A172">
        <f>_xlfn.STDEV.S(Samples!H2:H13)</f>
        <v>0.23639161584211688</v>
      </c>
    </row>
    <row r="173" spans="1:1" x14ac:dyDescent="0.35">
      <c r="A173">
        <f>DEVSQ(Samples!H2:H13)</f>
        <v>0.61469095644491667</v>
      </c>
    </row>
    <row r="174" spans="1:1" x14ac:dyDescent="0.35">
      <c r="A174">
        <f>AVEDEV(Samples!H2:H13)</f>
        <v>0.19204384722222226</v>
      </c>
    </row>
    <row r="175" spans="1:1" x14ac:dyDescent="0.35">
      <c r="A175">
        <f>GEOMEAN(Samples!H2:H13)</f>
        <v>0.33680869469114683</v>
      </c>
    </row>
    <row r="176" spans="1:1" x14ac:dyDescent="0.35">
      <c r="A176">
        <f>HARMEAN(Samples!H2:H13)</f>
        <v>0.24034922456849575</v>
      </c>
    </row>
    <row r="177" spans="1:1" x14ac:dyDescent="0.35">
      <c r="A177">
        <f>SKEW(Samples!H2:H13)</f>
        <v>-0.23360688201806809</v>
      </c>
    </row>
    <row r="178" spans="1:1" x14ac:dyDescent="0.35">
      <c r="A178">
        <f>_xlfn.SKEW.P(Samples!H2:H13)</f>
        <v>-0.20332869218412294</v>
      </c>
    </row>
    <row r="179" spans="1:1" x14ac:dyDescent="0.35">
      <c r="A179">
        <f>KURT(Samples!H2:H13)</f>
        <v>-0.9424314251172099</v>
      </c>
    </row>
    <row r="180" spans="1:1" x14ac:dyDescent="0.35">
      <c r="A180" s="4">
        <f>NPV(0.07,Samples!H2:H13)</f>
        <v>3.2348881047193192</v>
      </c>
    </row>
    <row r="181" spans="1:1" x14ac:dyDescent="0.35">
      <c r="A181">
        <f>_xlfn.COVARIANCE.P(Samples!H2:H13,Samples!I2:I13)</f>
        <v>-1104.6471381894714</v>
      </c>
    </row>
    <row r="182" spans="1:1" x14ac:dyDescent="0.35">
      <c r="A182">
        <f>_xlfn.COVARIANCE.S(Samples!H2:H13,Samples!I2:I13)</f>
        <v>-1205.0696052976052</v>
      </c>
    </row>
    <row r="183" spans="1:1" x14ac:dyDescent="0.35">
      <c r="A183">
        <f>CORREL(Samples!H2:H13,Samples!I2:I13)</f>
        <v>-0.15439586222769339</v>
      </c>
    </row>
    <row r="184" spans="1:1" x14ac:dyDescent="0.35">
      <c r="A184">
        <f>SLOPE(Samples!H2:H13,Samples!I2:I13)</f>
        <v>-1.1054098246733426E-6</v>
      </c>
    </row>
    <row r="185" spans="1:1" x14ac:dyDescent="0.35">
      <c r="A185">
        <f>INTERCEPT(Samples!H2:H13,Samples!I2:I13)</f>
        <v>0.47471380879321012</v>
      </c>
    </row>
    <row r="186" spans="1:1" x14ac:dyDescent="0.35">
      <c r="A186">
        <f>RSQ(Samples!H2:H13,Samples!I2:I13)</f>
        <v>2.3838082273032895E-2</v>
      </c>
    </row>
    <row r="187" spans="1:1" x14ac:dyDescent="0.35">
      <c r="A187">
        <f>STEYX(Samples!H2:H13,Samples!I2:I13)</f>
        <v>0.24495671104354202</v>
      </c>
    </row>
    <row r="188" spans="1:1" x14ac:dyDescent="0.35">
      <c r="A188">
        <f>INDEX(LINEST(Samples!H2:H13,Samples!I2:I13),1)</f>
        <v>-1.1054098246733422E-6</v>
      </c>
    </row>
    <row r="189" spans="1:1" x14ac:dyDescent="0.35">
      <c r="A189">
        <f>DVAR(Samples!A1:J13,"V8",Samples!L1:L2)</f>
        <v>5.5880996040446961E-2</v>
      </c>
    </row>
    <row r="190" spans="1:1" x14ac:dyDescent="0.35">
      <c r="A190">
        <f>DVARP(Samples!A1:J13,"V8",Samples!L1:L2)</f>
        <v>5.122424637040969E-2</v>
      </c>
    </row>
    <row r="191" spans="1:1" x14ac:dyDescent="0.35">
      <c r="A191">
        <f>DSTDEV(Samples!A1:J13,"V8",Samples!L1:L2)</f>
        <v>0.23639161584211688</v>
      </c>
    </row>
    <row r="192" spans="1:1" x14ac:dyDescent="0.35">
      <c r="A192">
        <f>DSTDEVP(Samples!A1:J13,"V8",Samples!L1:L2)</f>
        <v>0.22632774105356526</v>
      </c>
    </row>
    <row r="193" spans="1:1" x14ac:dyDescent="0.35">
      <c r="A193">
        <f>_xlfn.VAR.P(Samples!I2:I13)</f>
        <v>999310041.88053262</v>
      </c>
    </row>
    <row r="194" spans="1:1" x14ac:dyDescent="0.35">
      <c r="A194">
        <f>_xlfn.STDEV.P(Samples!I2:I13)</f>
        <v>31611.865523574095</v>
      </c>
    </row>
    <row r="195" spans="1:1" x14ac:dyDescent="0.35">
      <c r="A195">
        <f>_xlfn.VAR.S(Samples!I2:I13)</f>
        <v>1090156409.3242178</v>
      </c>
    </row>
    <row r="196" spans="1:1" x14ac:dyDescent="0.35">
      <c r="A196">
        <f>_xlfn.STDEV.S(Samples!I2:I13)</f>
        <v>33017.51670438311</v>
      </c>
    </row>
    <row r="197" spans="1:1" x14ac:dyDescent="0.35">
      <c r="A197">
        <f>DEVSQ(Samples!I2:I13)</f>
        <v>11991720502.566406</v>
      </c>
    </row>
    <row r="198" spans="1:1" x14ac:dyDescent="0.35">
      <c r="A198">
        <f>AVEDEV(Samples!I2:I13)</f>
        <v>28210.940106333332</v>
      </c>
    </row>
    <row r="199" spans="1:1" x14ac:dyDescent="0.35">
      <c r="A199">
        <f>GEOMEAN(Samples!I2:I13)</f>
        <v>31588.338580141422</v>
      </c>
    </row>
    <row r="200" spans="1:1" x14ac:dyDescent="0.35">
      <c r="A200">
        <f>HARMEAN(Samples!I2:I13)</f>
        <v>16760.674215579296</v>
      </c>
    </row>
    <row r="201" spans="1:1" x14ac:dyDescent="0.35">
      <c r="A201">
        <f>SKEW(Samples!I2:I13)</f>
        <v>0.3000810965910688</v>
      </c>
    </row>
    <row r="202" spans="1:1" x14ac:dyDescent="0.35">
      <c r="A202">
        <f>_xlfn.SKEW.P(Samples!I2:I13)</f>
        <v>0.26118706945594294</v>
      </c>
    </row>
    <row r="203" spans="1:1" x14ac:dyDescent="0.35">
      <c r="A203">
        <f>KURT(Samples!I2:I13)</f>
        <v>-1.3847894488943084</v>
      </c>
    </row>
    <row r="204" spans="1:1" x14ac:dyDescent="0.35">
      <c r="A204" s="4">
        <f>NPV(0.07,Samples!I2:I13)</f>
        <v>362286.72036218806</v>
      </c>
    </row>
    <row r="205" spans="1:1" x14ac:dyDescent="0.35">
      <c r="A205">
        <f>_xlfn.COVARIANCE.P(Samples!I2:I13,Samples!J2:J13)</f>
        <v>12819336.227613874</v>
      </c>
    </row>
    <row r="206" spans="1:1" x14ac:dyDescent="0.35">
      <c r="A206">
        <f>_xlfn.COVARIANCE.S(Samples!I2:I13,Samples!J2:J13)</f>
        <v>13984730.430124225</v>
      </c>
    </row>
    <row r="207" spans="1:1" x14ac:dyDescent="0.35">
      <c r="A207">
        <f>CORREL(Samples!I2:I13,Samples!J2:J13)</f>
        <v>0.18674830583584798</v>
      </c>
    </row>
    <row r="208" spans="1:1" x14ac:dyDescent="0.35">
      <c r="A208">
        <f>SLOPE(Samples!I2:I13,Samples!J2:J13)</f>
        <v>2.7186171633873739</v>
      </c>
    </row>
    <row r="209" spans="1:1" x14ac:dyDescent="0.35">
      <c r="A209">
        <f>INTERCEPT(Samples!I2:I13,Samples!J2:J13)</f>
        <v>34371.93452423178</v>
      </c>
    </row>
    <row r="210" spans="1:1" x14ac:dyDescent="0.35">
      <c r="A210">
        <f>RSQ(Samples!I2:I13,Samples!J2:J13)</f>
        <v>3.4874929732559422E-2</v>
      </c>
    </row>
    <row r="211" spans="1:1" x14ac:dyDescent="0.35">
      <c r="A211">
        <f>STEYX(Samples!I2:I13,Samples!J2:J13)</f>
        <v>34019.861981887741</v>
      </c>
    </row>
    <row r="212" spans="1:1" x14ac:dyDescent="0.35">
      <c r="A212">
        <f>INDEX(LINEST(Samples!I2:I13,Samples!J2:J13),1)</f>
        <v>2.7186171633873739</v>
      </c>
    </row>
    <row r="213" spans="1:1" x14ac:dyDescent="0.35">
      <c r="A213">
        <f>DVAR(Samples!A1:J13,"V9",Samples!L1:L2)</f>
        <v>1090156409.3242178</v>
      </c>
    </row>
    <row r="214" spans="1:1" x14ac:dyDescent="0.35">
      <c r="A214">
        <f>DVARP(Samples!A1:J13,"V9",Samples!L1:L2)</f>
        <v>999310041.88053262</v>
      </c>
    </row>
    <row r="215" spans="1:1" x14ac:dyDescent="0.35">
      <c r="A215">
        <f>DSTDEV(Samples!A1:J13,"V9",Samples!L1:L2)</f>
        <v>33017.51670438311</v>
      </c>
    </row>
    <row r="216" spans="1:1" x14ac:dyDescent="0.35">
      <c r="A216">
        <f>DSTDEVP(Samples!A1:J13,"V9",Samples!L1:L2)</f>
        <v>31611.865523574095</v>
      </c>
    </row>
    <row r="217" spans="1:1" x14ac:dyDescent="0.35">
      <c r="A217">
        <f>_xlfn.VAR.P(Samples!J2:J13)</f>
        <v>4715388.5439467598</v>
      </c>
    </row>
    <row r="218" spans="1:1" x14ac:dyDescent="0.35">
      <c r="A218">
        <f>_xlfn.STDEV.P(Samples!J2:J13)</f>
        <v>2171.4945415420134</v>
      </c>
    </row>
    <row r="219" spans="1:1" x14ac:dyDescent="0.35">
      <c r="A219">
        <f>_xlfn.VAR.S(Samples!J2:J13)</f>
        <v>5144060.229760102</v>
      </c>
    </row>
    <row r="220" spans="1:1" x14ac:dyDescent="0.35">
      <c r="A220">
        <f>_xlfn.STDEV.S(Samples!J2:J13)</f>
        <v>2268.0520782733588</v>
      </c>
    </row>
    <row r="221" spans="1:1" x14ac:dyDescent="0.35">
      <c r="A221">
        <f>DEVSQ(Samples!J2:J13)</f>
        <v>56584662.527361177</v>
      </c>
    </row>
    <row r="222" spans="1:1" x14ac:dyDescent="0.35">
      <c r="A222">
        <f>AVEDEV(Samples!J2:J13)</f>
        <v>1672.7597454166669</v>
      </c>
    </row>
    <row r="223" spans="1:1" x14ac:dyDescent="0.35">
      <c r="A223">
        <f>GEOMEAN(Samples!J2:J13)</f>
        <v>3367.8489896639753</v>
      </c>
    </row>
    <row r="224" spans="1:1" x14ac:dyDescent="0.35">
      <c r="A224">
        <f>HARMEAN(Samples!J2:J13)</f>
        <v>1937.8766614861602</v>
      </c>
    </row>
    <row r="225" spans="1:1" x14ac:dyDescent="0.35">
      <c r="A225">
        <f>SKEW(Samples!J2:J13)</f>
        <v>-0.27873373524920625</v>
      </c>
    </row>
    <row r="226" spans="1:1" x14ac:dyDescent="0.35">
      <c r="A226">
        <f>_xlfn.SKEW.P(Samples!J2:J13)</f>
        <v>-0.24260657633978924</v>
      </c>
    </row>
    <row r="227" spans="1:1" x14ac:dyDescent="0.35">
      <c r="A227">
        <f>KURT(Samples!J2:J13)</f>
        <v>-0.34553476024289687</v>
      </c>
    </row>
    <row r="228" spans="1:1" x14ac:dyDescent="0.35">
      <c r="A228" s="4">
        <f>NPV(0.07,Samples!J2:J13)</f>
        <v>36582.571277151532</v>
      </c>
    </row>
    <row r="229" spans="1:1" x14ac:dyDescent="0.35">
      <c r="A229">
        <f>_xlfn.COVARIANCE.P(Samples!J2:J13,Samples!A2:A13)</f>
        <v>-80.937083158429104</v>
      </c>
    </row>
    <row r="230" spans="1:1" x14ac:dyDescent="0.35">
      <c r="A230">
        <f>_xlfn.COVARIANCE.S(Samples!J2:J13,Samples!A2:A13)</f>
        <v>-88.294999809195389</v>
      </c>
    </row>
    <row r="231" spans="1:1" x14ac:dyDescent="0.35">
      <c r="A231">
        <f>CORREL(Samples!J2:J13,Samples!A2:A13)</f>
        <v>-0.15874872209188701</v>
      </c>
    </row>
    <row r="232" spans="1:1" x14ac:dyDescent="0.35">
      <c r="A232">
        <f>SLOPE(Samples!J2:J13,Samples!A2:A13)</f>
        <v>-1468.2175496130155</v>
      </c>
    </row>
    <row r="233" spans="1:1" x14ac:dyDescent="0.35">
      <c r="A233">
        <f>INTERCEPT(Samples!J2:J13,Samples!A2:A13)</f>
        <v>4919.8702252976946</v>
      </c>
    </row>
    <row r="234" spans="1:1" x14ac:dyDescent="0.35">
      <c r="A234">
        <f>RSQ(Samples!J2:J13,Samples!A2:A13)</f>
        <v>2.5201156765807184E-2</v>
      </c>
    </row>
    <row r="235" spans="1:1" x14ac:dyDescent="0.35">
      <c r="A235">
        <f>STEYX(Samples!J2:J13,Samples!A2:A13)</f>
        <v>2348.5881626302398</v>
      </c>
    </row>
    <row r="236" spans="1:1" x14ac:dyDescent="0.35">
      <c r="A236">
        <f>INDEX(LINEST(Samples!J2:J13,Samples!A2:A13),1)</f>
        <v>-1468.2175496130151</v>
      </c>
    </row>
    <row r="237" spans="1:1" x14ac:dyDescent="0.35">
      <c r="A237">
        <f>DVAR(Samples!A1:J13,"V10",Samples!L1:L2)</f>
        <v>5144060.229760102</v>
      </c>
    </row>
    <row r="238" spans="1:1" x14ac:dyDescent="0.35">
      <c r="A238">
        <f>DVARP(Samples!A1:J13,"V10",Samples!L1:L2)</f>
        <v>4715388.5439467598</v>
      </c>
    </row>
    <row r="239" spans="1:1" x14ac:dyDescent="0.35">
      <c r="A239">
        <f>DSTDEV(Samples!A1:J13,"V10",Samples!L1:L2)</f>
        <v>2268.0520782733588</v>
      </c>
    </row>
    <row r="240" spans="1:1" x14ac:dyDescent="0.35">
      <c r="A240">
        <f>DSTDEVP(Samples!A1:J13,"V10",Samples!L1:L2)</f>
        <v>2171.4945415420134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1044-6649-48F1-86D2-99773051325E}">
  <dimension ref="A1:A51"/>
  <sheetViews>
    <sheetView workbookViewId="0"/>
  </sheetViews>
  <sheetFormatPr defaultRowHeight="14.5" x14ac:dyDescent="0.35"/>
  <sheetData>
    <row r="1" spans="1:1" x14ac:dyDescent="0.35">
      <c r="A1">
        <f>_xlfn.NORM.S.DIST(-9,TRUE)</f>
        <v>1.1285884059538324E-19</v>
      </c>
    </row>
    <row r="2" spans="1:1" x14ac:dyDescent="0.35">
      <c r="A2">
        <f>_xlfn.NORM.S.DIST(-8.64,TRUE)</f>
        <v>2.8106510652342251E-18</v>
      </c>
    </row>
    <row r="3" spans="1:1" x14ac:dyDescent="0.35">
      <c r="A3">
        <f>_xlfn.NORM.S.DIST(-8.28,TRUE)</f>
        <v>6.1587640577329369E-17</v>
      </c>
    </row>
    <row r="4" spans="1:1" x14ac:dyDescent="0.35">
      <c r="A4">
        <f>_xlfn.NORM.S.DIST(-7.92,TRUE)</f>
        <v>1.1875529036880496E-15</v>
      </c>
    </row>
    <row r="5" spans="1:1" x14ac:dyDescent="0.35">
      <c r="A5">
        <f>_xlfn.NORM.S.DIST(-7.56,TRUE)</f>
        <v>2.0153468025753193E-14</v>
      </c>
    </row>
    <row r="6" spans="1:1" x14ac:dyDescent="0.35">
      <c r="A6">
        <f>_xlfn.NORM.S.DIST(-7.2,TRUE)</f>
        <v>3.0106279811174208E-13</v>
      </c>
    </row>
    <row r="7" spans="1:1" x14ac:dyDescent="0.35">
      <c r="A7">
        <f>_xlfn.NORM.S.DIST(-6.84,TRUE)</f>
        <v>3.9596590254358599E-12</v>
      </c>
    </row>
    <row r="8" spans="1:1" x14ac:dyDescent="0.35">
      <c r="A8">
        <f>_xlfn.NORM.S.DIST(-6.48,TRUE)</f>
        <v>4.5861309176724937E-11</v>
      </c>
    </row>
    <row r="9" spans="1:1" x14ac:dyDescent="0.35">
      <c r="A9">
        <f>_xlfn.NORM.S.DIST(-6.12,TRUE)</f>
        <v>4.6787678741816128E-10</v>
      </c>
    </row>
    <row r="10" spans="1:1" x14ac:dyDescent="0.35">
      <c r="A10">
        <f>_xlfn.NORM.S.DIST(-5.76,TRUE)</f>
        <v>4.2056968045220242E-9</v>
      </c>
    </row>
    <row r="11" spans="1:1" x14ac:dyDescent="0.35">
      <c r="A11">
        <f>_xlfn.NORM.S.DIST(-5.4,TRUE)</f>
        <v>3.3320448485428455E-8</v>
      </c>
    </row>
    <row r="12" spans="1:1" x14ac:dyDescent="0.35">
      <c r="A12">
        <f>_xlfn.NORM.S.DIST(-5.04,TRUE)</f>
        <v>2.3276592304859962E-7</v>
      </c>
    </row>
    <row r="13" spans="1:1" x14ac:dyDescent="0.35">
      <c r="A13">
        <f>_xlfn.NORM.S.DIST(-4.68,TRUE)</f>
        <v>1.4343745844201329E-6</v>
      </c>
    </row>
    <row r="14" spans="1:1" x14ac:dyDescent="0.35">
      <c r="A14">
        <f>_xlfn.NORM.S.DIST(-4.32,TRUE)</f>
        <v>7.801460038101338E-6</v>
      </c>
    </row>
    <row r="15" spans="1:1" x14ac:dyDescent="0.35">
      <c r="A15">
        <f>_xlfn.NORM.S.DIST(-3.96,TRUE)</f>
        <v>3.747488169107341E-5</v>
      </c>
    </row>
    <row r="16" spans="1:1" x14ac:dyDescent="0.35">
      <c r="A16">
        <f>_xlfn.NORM.S.DIST(-3.6,TRUE)</f>
        <v>1.5910859015753364E-4</v>
      </c>
    </row>
    <row r="17" spans="1:1" x14ac:dyDescent="0.35">
      <c r="A17">
        <f>_xlfn.NORM.S.DIST(-3.24,TRUE)</f>
        <v>5.9764849793441559E-4</v>
      </c>
    </row>
    <row r="18" spans="1:1" x14ac:dyDescent="0.35">
      <c r="A18">
        <f>_xlfn.NORM.S.DIST(-2.88,TRUE)</f>
        <v>1.9883758548943252E-3</v>
      </c>
    </row>
    <row r="19" spans="1:1" x14ac:dyDescent="0.35">
      <c r="A19">
        <f>_xlfn.NORM.S.DIST(-2.52,TRUE)</f>
        <v>5.8677417153325615E-3</v>
      </c>
    </row>
    <row r="20" spans="1:1" x14ac:dyDescent="0.35">
      <c r="A20">
        <f>_xlfn.NORM.S.DIST(-2.16,TRUE)</f>
        <v>1.538633478392545E-2</v>
      </c>
    </row>
    <row r="21" spans="1:1" x14ac:dyDescent="0.35">
      <c r="A21">
        <f>_xlfn.NORM.S.DIST(-1.8,TRUE)</f>
        <v>3.5930319112925789E-2</v>
      </c>
    </row>
    <row r="22" spans="1:1" x14ac:dyDescent="0.35">
      <c r="A22">
        <f>_xlfn.NORM.S.DIST(-1.44,TRUE)</f>
        <v>7.4933699534327061E-2</v>
      </c>
    </row>
    <row r="23" spans="1:1" x14ac:dyDescent="0.35">
      <c r="A23">
        <f>_xlfn.NORM.S.DIST(-1.08,TRUE)</f>
        <v>0.14007109008876906</v>
      </c>
    </row>
    <row r="24" spans="1:1" x14ac:dyDescent="0.35">
      <c r="A24">
        <f>_xlfn.NORM.S.DIST(-0.72,TRUE)</f>
        <v>0.23576249777925118</v>
      </c>
    </row>
    <row r="25" spans="1:1" x14ac:dyDescent="0.35">
      <c r="A25">
        <f>_xlfn.NORM.S.DIST(-0.36,TRUE)</f>
        <v>0.35942356678200876</v>
      </c>
    </row>
    <row r="26" spans="1:1" x14ac:dyDescent="0.35">
      <c r="A26">
        <f>_xlfn.NORM.S.DIST(0,TRUE)</f>
        <v>0.5</v>
      </c>
    </row>
    <row r="27" spans="1:1" x14ac:dyDescent="0.35">
      <c r="A27">
        <f>_xlfn.NORM.S.DIST(0.36,TRUE)</f>
        <v>0.64057643321799129</v>
      </c>
    </row>
    <row r="28" spans="1:1" x14ac:dyDescent="0.35">
      <c r="A28">
        <f>_xlfn.NORM.S.DIST(0.72,TRUE)</f>
        <v>0.76423750222074882</v>
      </c>
    </row>
    <row r="29" spans="1:1" x14ac:dyDescent="0.35">
      <c r="A29">
        <f>_xlfn.NORM.S.DIST(1.08,TRUE)</f>
        <v>0.85992890991123094</v>
      </c>
    </row>
    <row r="30" spans="1:1" x14ac:dyDescent="0.35">
      <c r="A30">
        <f>_xlfn.NORM.S.DIST(1.44,TRUE)</f>
        <v>0.92506630046567295</v>
      </c>
    </row>
    <row r="31" spans="1:1" x14ac:dyDescent="0.35">
      <c r="A31">
        <f>_xlfn.NORM.S.DIST(1.8,TRUE)</f>
        <v>0.96406968088707423</v>
      </c>
    </row>
    <row r="32" spans="1:1" x14ac:dyDescent="0.35">
      <c r="A32">
        <f>_xlfn.NORM.S.DIST(2.16,TRUE)</f>
        <v>0.98461366521607452</v>
      </c>
    </row>
    <row r="33" spans="1:1" x14ac:dyDescent="0.35">
      <c r="A33">
        <f>_xlfn.NORM.S.DIST(2.52,TRUE)</f>
        <v>0.99413225828466745</v>
      </c>
    </row>
    <row r="34" spans="1:1" x14ac:dyDescent="0.35">
      <c r="A34">
        <f>_xlfn.NORM.S.DIST(2.88,TRUE)</f>
        <v>0.99801162414510569</v>
      </c>
    </row>
    <row r="35" spans="1:1" x14ac:dyDescent="0.35">
      <c r="A35">
        <f>_xlfn.NORM.S.DIST(3.24,TRUE)</f>
        <v>0.99940235150206558</v>
      </c>
    </row>
    <row r="36" spans="1:1" x14ac:dyDescent="0.35">
      <c r="A36">
        <f>_xlfn.NORM.S.DIST(3.6,TRUE)</f>
        <v>0.99984089140984245</v>
      </c>
    </row>
    <row r="37" spans="1:1" x14ac:dyDescent="0.35">
      <c r="A37">
        <f>_xlfn.NORM.S.DIST(3.96,TRUE)</f>
        <v>0.99996252511830896</v>
      </c>
    </row>
    <row r="38" spans="1:1" x14ac:dyDescent="0.35">
      <c r="A38">
        <f>_xlfn.NORM.S.DIST(4.32,TRUE)</f>
        <v>0.99999219853996191</v>
      </c>
    </row>
    <row r="39" spans="1:1" x14ac:dyDescent="0.35">
      <c r="A39">
        <f>_xlfn.NORM.S.DIST(4.68,TRUE)</f>
        <v>0.99999856562541556</v>
      </c>
    </row>
    <row r="40" spans="1:1" x14ac:dyDescent="0.35">
      <c r="A40">
        <f>_xlfn.NORM.S.DIST(5.04,TRUE)</f>
        <v>0.99999976723407691</v>
      </c>
    </row>
    <row r="41" spans="1:1" x14ac:dyDescent="0.35">
      <c r="A41">
        <f>_xlfn.NORM.S.DIST(5.4,TRUE)</f>
        <v>0.99999996667955149</v>
      </c>
    </row>
    <row r="42" spans="1:1" x14ac:dyDescent="0.35">
      <c r="A42">
        <f>_xlfn.NORM.S.DIST(5.76,TRUE)</f>
        <v>0.99999999579430321</v>
      </c>
    </row>
    <row r="43" spans="1:1" x14ac:dyDescent="0.35">
      <c r="A43">
        <f>_xlfn.NORM.S.DIST(6.12,TRUE)</f>
        <v>0.99999999953212326</v>
      </c>
    </row>
    <row r="44" spans="1:1" x14ac:dyDescent="0.35">
      <c r="A44">
        <f>_xlfn.NORM.S.DIST(6.48,TRUE)</f>
        <v>0.99999999995413869</v>
      </c>
    </row>
    <row r="45" spans="1:1" x14ac:dyDescent="0.35">
      <c r="A45">
        <f>_xlfn.NORM.S.DIST(6.84,TRUE)</f>
        <v>0.99999999999604039</v>
      </c>
    </row>
    <row r="46" spans="1:1" x14ac:dyDescent="0.35">
      <c r="A46">
        <f>_xlfn.NORM.S.DIST(7.2,TRUE)</f>
        <v>0.99999999999969891</v>
      </c>
    </row>
    <row r="47" spans="1:1" x14ac:dyDescent="0.35">
      <c r="A47">
        <f>_xlfn.NORM.S.DIST(7.56,TRUE)</f>
        <v>0.99999999999997979</v>
      </c>
    </row>
    <row r="48" spans="1:1" x14ac:dyDescent="0.35">
      <c r="A48">
        <f>_xlfn.NORM.S.DIST(7.92,TRUE)</f>
        <v>0.99999999999999878</v>
      </c>
    </row>
    <row r="49" spans="1:1" x14ac:dyDescent="0.35">
      <c r="A49">
        <f>_xlfn.NORM.S.DIST(8.28,TRUE)</f>
        <v>0.99999999999999989</v>
      </c>
    </row>
    <row r="50" spans="1:1" x14ac:dyDescent="0.35">
      <c r="A50">
        <f>_xlfn.NORM.S.DIST(8.64,TRUE)</f>
        <v>1</v>
      </c>
    </row>
    <row r="51" spans="1:1" x14ac:dyDescent="0.35">
      <c r="A51">
        <f>_xlfn.NORM.S.DIST(9,TRUE)</f>
        <v>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A462-8778-4947-A4F8-7A8FF5C0358F}">
  <dimension ref="A1:A25"/>
  <sheetViews>
    <sheetView workbookViewId="0"/>
  </sheetViews>
  <sheetFormatPr defaultRowHeight="14.5" x14ac:dyDescent="0.35"/>
  <sheetData>
    <row r="1" spans="1:1" x14ac:dyDescent="0.35">
      <c r="A1">
        <f>_xlfn.NORM.S.INV(1E-300)</f>
        <v>-37.047096299361201</v>
      </c>
    </row>
    <row r="2" spans="1:1" x14ac:dyDescent="0.35">
      <c r="A2">
        <f>_xlfn.NORM.S.INV(1E-100)</f>
        <v>-21.273453560965319</v>
      </c>
    </row>
    <row r="3" spans="1:1" x14ac:dyDescent="0.35">
      <c r="A3">
        <f>_xlfn.NORM.S.INV(1E-20)</f>
        <v>-9.2623400897984052</v>
      </c>
    </row>
    <row r="4" spans="1:1" x14ac:dyDescent="0.35">
      <c r="A4">
        <f>_xlfn.NORM.S.INV(0.0000000001)</f>
        <v>-6.3613409024040557</v>
      </c>
    </row>
    <row r="5" spans="1:1" x14ac:dyDescent="0.35">
      <c r="A5">
        <f>_xlfn.NORM.S.INV(0.00001)</f>
        <v>-4.2648907939228256</v>
      </c>
    </row>
    <row r="6" spans="1:1" x14ac:dyDescent="0.35">
      <c r="A6">
        <f>_xlfn.NORM.S.INV(0.001)</f>
        <v>-3.0902323061678132</v>
      </c>
    </row>
    <row r="7" spans="1:1" x14ac:dyDescent="0.35">
      <c r="A7">
        <f>_xlfn.NORM.S.INV(0.01)</f>
        <v>-2.3263478740408408</v>
      </c>
    </row>
    <row r="8" spans="1:1" x14ac:dyDescent="0.35">
      <c r="A8">
        <f>_xlfn.NORM.S.INV(0.02425)</f>
        <v>-1.9729610513118845</v>
      </c>
    </row>
    <row r="9" spans="1:1" x14ac:dyDescent="0.35">
      <c r="A9">
        <f>_xlfn.NORM.S.INV(0.05)</f>
        <v>-1.6448536269514726</v>
      </c>
    </row>
    <row r="10" spans="1:1" x14ac:dyDescent="0.35">
      <c r="A10">
        <f>_xlfn.NORM.S.INV(0.1)</f>
        <v>-1.2815515655446006</v>
      </c>
    </row>
    <row r="11" spans="1:1" x14ac:dyDescent="0.35">
      <c r="A11">
        <f>_xlfn.NORM.S.INV(0.2)</f>
        <v>-0.84162123357291452</v>
      </c>
    </row>
    <row r="12" spans="1:1" x14ac:dyDescent="0.35">
      <c r="A12">
        <f>_xlfn.NORM.S.INV(0.3)</f>
        <v>-0.52440051270804089</v>
      </c>
    </row>
    <row r="13" spans="1:1" x14ac:dyDescent="0.35">
      <c r="A13">
        <f>_xlfn.NORM.S.INV(0.4)</f>
        <v>-0.25334710313579978</v>
      </c>
    </row>
    <row r="14" spans="1:1" x14ac:dyDescent="0.35">
      <c r="A14">
        <f>_xlfn.NORM.S.INV(0.49)</f>
        <v>-2.506890825871106E-2</v>
      </c>
    </row>
    <row r="15" spans="1:1" x14ac:dyDescent="0.35">
      <c r="A15">
        <f>_xlfn.NORM.S.INV(0.51)</f>
        <v>2.506890825871106E-2</v>
      </c>
    </row>
    <row r="16" spans="1:1" x14ac:dyDescent="0.35">
      <c r="A16">
        <f>_xlfn.NORM.S.INV(0.6)</f>
        <v>0.25334710313579978</v>
      </c>
    </row>
    <row r="17" spans="1:1" x14ac:dyDescent="0.35">
      <c r="A17">
        <f>_xlfn.NORM.S.INV(0.7)</f>
        <v>0.52440051270804078</v>
      </c>
    </row>
    <row r="18" spans="1:1" x14ac:dyDescent="0.35">
      <c r="A18">
        <f>_xlfn.NORM.S.INV(0.8)</f>
        <v>0.84162123357291474</v>
      </c>
    </row>
    <row r="19" spans="1:1" x14ac:dyDescent="0.35">
      <c r="A19">
        <f>_xlfn.NORM.S.INV(0.9)</f>
        <v>1.2815515655446006</v>
      </c>
    </row>
    <row r="20" spans="1:1" x14ac:dyDescent="0.35">
      <c r="A20">
        <f>_xlfn.NORM.S.INV(0.95)</f>
        <v>1.6448536269514715</v>
      </c>
    </row>
    <row r="21" spans="1:1" x14ac:dyDescent="0.35">
      <c r="A21">
        <f>_xlfn.NORM.S.INV(0.975)</f>
        <v>1.9599639845400536</v>
      </c>
    </row>
    <row r="22" spans="1:1" x14ac:dyDescent="0.35">
      <c r="A22">
        <f>_xlfn.NORM.S.INV(0.99)</f>
        <v>2.3263478740408408</v>
      </c>
    </row>
    <row r="23" spans="1:1" x14ac:dyDescent="0.35">
      <c r="A23">
        <f>_xlfn.NORM.S.INV(0.999)</f>
        <v>3.0902323061678132</v>
      </c>
    </row>
    <row r="24" spans="1:1" x14ac:dyDescent="0.35">
      <c r="A24">
        <f>_xlfn.NORM.S.INV(0.99999)</f>
        <v>4.2648907939238399</v>
      </c>
    </row>
    <row r="25" spans="1:1" x14ac:dyDescent="0.35">
      <c r="A25">
        <f>_xlfn.NORM.S.INV(0.9999999)</f>
        <v>5.1993375822906618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DF7F-17A8-4FEA-A7CB-59E367718F82}">
  <dimension ref="A1:A32"/>
  <sheetViews>
    <sheetView workbookViewId="0"/>
  </sheetViews>
  <sheetFormatPr defaultRowHeight="14.5" x14ac:dyDescent="0.35"/>
  <sheetData>
    <row r="1" spans="1:1" x14ac:dyDescent="0.35">
      <c r="A1">
        <f>_xlfn.T.DIST(-5,1,TRUE)</f>
        <v>6.2832958189001198E-2</v>
      </c>
    </row>
    <row r="2" spans="1:1" x14ac:dyDescent="0.35">
      <c r="A2">
        <f>_xlfn.T.DIST(-5,2,TRUE)</f>
        <v>1.8874775675311858E-2</v>
      </c>
    </row>
    <row r="3" spans="1:1" x14ac:dyDescent="0.35">
      <c r="A3">
        <f>_xlfn.T.DIST(-5,5,TRUE)</f>
        <v>2.0523579900266621E-3</v>
      </c>
    </row>
    <row r="4" spans="1:1" x14ac:dyDescent="0.35">
      <c r="A4">
        <f>_xlfn.T.DIST(-5,30,TRUE)</f>
        <v>1.1648342733503888E-5</v>
      </c>
    </row>
    <row r="5" spans="1:1" x14ac:dyDescent="0.35">
      <c r="A5">
        <f>_xlfn.T.DIST(-2,1,TRUE)</f>
        <v>0.14758361765043326</v>
      </c>
    </row>
    <row r="6" spans="1:1" x14ac:dyDescent="0.35">
      <c r="A6">
        <f>_xlfn.T.DIST(-2,2,TRUE)</f>
        <v>9.1751709536136983E-2</v>
      </c>
    </row>
    <row r="7" spans="1:1" x14ac:dyDescent="0.35">
      <c r="A7">
        <f>_xlfn.T.DIST(-2,5,TRUE)</f>
        <v>5.0969739414929181E-2</v>
      </c>
    </row>
    <row r="8" spans="1:1" x14ac:dyDescent="0.35">
      <c r="A8">
        <f>_xlfn.T.DIST(-2,30,TRUE)</f>
        <v>2.7312522481491536E-2</v>
      </c>
    </row>
    <row r="9" spans="1:1" x14ac:dyDescent="0.35">
      <c r="A9">
        <f>_xlfn.T.DIST(-1,1,TRUE)</f>
        <v>0.25000000000000006</v>
      </c>
    </row>
    <row r="10" spans="1:1" x14ac:dyDescent="0.35">
      <c r="A10">
        <f>_xlfn.T.DIST(-1,2,TRUE)</f>
        <v>0.21132486540518708</v>
      </c>
    </row>
    <row r="11" spans="1:1" x14ac:dyDescent="0.35">
      <c r="A11">
        <f>_xlfn.T.DIST(-1,5,TRUE)</f>
        <v>0.18160873382456139</v>
      </c>
    </row>
    <row r="12" spans="1:1" x14ac:dyDescent="0.35">
      <c r="A12">
        <f>_xlfn.T.DIST(-1,30,TRUE)</f>
        <v>0.16265430771301492</v>
      </c>
    </row>
    <row r="13" spans="1:1" x14ac:dyDescent="0.35">
      <c r="A13">
        <f>_xlfn.T.DIST(-0.5,1,TRUE)</f>
        <v>0.35241638234956674</v>
      </c>
    </row>
    <row r="14" spans="1:1" x14ac:dyDescent="0.35">
      <c r="A14">
        <f>_xlfn.T.DIST(-0.5,2,TRUE)</f>
        <v>0.33333333333333331</v>
      </c>
    </row>
    <row r="15" spans="1:1" x14ac:dyDescent="0.35">
      <c r="A15">
        <f>_xlfn.T.DIST(-0.5,5,TRUE)</f>
        <v>0.31914943582046457</v>
      </c>
    </row>
    <row r="16" spans="1:1" x14ac:dyDescent="0.35">
      <c r="A16">
        <f>_xlfn.T.DIST(-0.5,30,TRUE)</f>
        <v>0.31036150244256366</v>
      </c>
    </row>
    <row r="17" spans="1:1" x14ac:dyDescent="0.35">
      <c r="A17">
        <f>_xlfn.T.DIST(0.3,1,TRUE)</f>
        <v>0.59277357907774242</v>
      </c>
    </row>
    <row r="18" spans="1:1" x14ac:dyDescent="0.35">
      <c r="A18">
        <f>_xlfn.T.DIST(0.3,2,TRUE)</f>
        <v>0.6037571695799111</v>
      </c>
    </row>
    <row r="19" spans="1:1" x14ac:dyDescent="0.35">
      <c r="A19">
        <f>_xlfn.T.DIST(0.3,5,TRUE)</f>
        <v>0.6118754788683628</v>
      </c>
    </row>
    <row r="20" spans="1:1" x14ac:dyDescent="0.35">
      <c r="A20">
        <f>_xlfn.T.DIST(0.3,30,TRUE)</f>
        <v>0.61687694735782361</v>
      </c>
    </row>
    <row r="21" spans="1:1" x14ac:dyDescent="0.35">
      <c r="A21">
        <f>_xlfn.T.DIST(1,1,TRUE)</f>
        <v>0.75</v>
      </c>
    </row>
    <row r="22" spans="1:1" x14ac:dyDescent="0.35">
      <c r="A22">
        <f>_xlfn.T.DIST(1,2,TRUE)</f>
        <v>0.78867513459481287</v>
      </c>
    </row>
    <row r="23" spans="1:1" x14ac:dyDescent="0.35">
      <c r="A23">
        <f>_xlfn.T.DIST(1,5,TRUE)</f>
        <v>0.81839126617543867</v>
      </c>
    </row>
    <row r="24" spans="1:1" x14ac:dyDescent="0.35">
      <c r="A24">
        <f>_xlfn.T.DIST(1,30,TRUE)</f>
        <v>0.83734569228698508</v>
      </c>
    </row>
    <row r="25" spans="1:1" x14ac:dyDescent="0.35">
      <c r="A25">
        <f>_xlfn.T.DIST(2,1,TRUE)</f>
        <v>0.85241638234956674</v>
      </c>
    </row>
    <row r="26" spans="1:1" x14ac:dyDescent="0.35">
      <c r="A26">
        <f>_xlfn.T.DIST(2,2,TRUE)</f>
        <v>0.90824829046386302</v>
      </c>
    </row>
    <row r="27" spans="1:1" x14ac:dyDescent="0.35">
      <c r="A27">
        <f>_xlfn.T.DIST(2,5,TRUE)</f>
        <v>0.94903026058507078</v>
      </c>
    </row>
    <row r="28" spans="1:1" x14ac:dyDescent="0.35">
      <c r="A28">
        <f>_xlfn.T.DIST(2,30,TRUE)</f>
        <v>0.97268747751850848</v>
      </c>
    </row>
    <row r="29" spans="1:1" x14ac:dyDescent="0.35">
      <c r="A29">
        <f>_xlfn.T.DIST(5,1,TRUE)</f>
        <v>0.93716704181099875</v>
      </c>
    </row>
    <row r="30" spans="1:1" x14ac:dyDescent="0.35">
      <c r="A30">
        <f>_xlfn.T.DIST(5,2,TRUE)</f>
        <v>0.98112522432468818</v>
      </c>
    </row>
    <row r="31" spans="1:1" x14ac:dyDescent="0.35">
      <c r="A31">
        <f>_xlfn.T.DIST(5,5,TRUE)</f>
        <v>0.99794764200997332</v>
      </c>
    </row>
    <row r="32" spans="1:1" x14ac:dyDescent="0.35">
      <c r="A32">
        <f>_xlfn.T.DIST(5,30,TRUE)</f>
        <v>0.99998835165726652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0C84-EEAB-4EC9-8009-747FC7E5BC02}">
  <dimension ref="A1:A20"/>
  <sheetViews>
    <sheetView workbookViewId="0"/>
  </sheetViews>
  <sheetFormatPr defaultRowHeight="14.5" x14ac:dyDescent="0.35"/>
  <sheetData>
    <row r="1" spans="1:1" x14ac:dyDescent="0.35">
      <c r="A1">
        <f>_xlfn.CHISQ.DIST(0.1,1,TRUE)</f>
        <v>0.24817036595415079</v>
      </c>
    </row>
    <row r="2" spans="1:1" x14ac:dyDescent="0.35">
      <c r="A2">
        <f>_xlfn.CHISQ.DIST(0.1,2,TRUE)</f>
        <v>4.8770575499285991E-2</v>
      </c>
    </row>
    <row r="3" spans="1:1" x14ac:dyDescent="0.35">
      <c r="A3">
        <f>_xlfn.CHISQ.DIST(0.1,5,TRUE)</f>
        <v>1.6231661192261511E-4</v>
      </c>
    </row>
    <row r="4" spans="1:1" x14ac:dyDescent="0.35">
      <c r="A4">
        <f>_xlfn.CHISQ.DIST(0.1,10,TRUE)</f>
        <v>2.4979513360065133E-9</v>
      </c>
    </row>
    <row r="5" spans="1:1" x14ac:dyDescent="0.35">
      <c r="A5">
        <f>_xlfn.CHISQ.DIST(0.1,50,TRUE)</f>
        <v>1.8311572110619019E-58</v>
      </c>
    </row>
    <row r="6" spans="1:1" x14ac:dyDescent="0.35">
      <c r="A6">
        <f>_xlfn.CHISQ.DIST(1,1,TRUE)</f>
        <v>0.68268949213708607</v>
      </c>
    </row>
    <row r="7" spans="1:1" x14ac:dyDescent="0.35">
      <c r="A7">
        <f>_xlfn.CHISQ.DIST(1,2,TRUE)</f>
        <v>0.39346934028736658</v>
      </c>
    </row>
    <row r="8" spans="1:1" x14ac:dyDescent="0.35">
      <c r="A8">
        <f>_xlfn.CHISQ.DIST(1,5,TRUE)</f>
        <v>3.7434226752703616E-2</v>
      </c>
    </row>
    <row r="9" spans="1:1" x14ac:dyDescent="0.35">
      <c r="A9">
        <f>_xlfn.CHISQ.DIST(1,10,TRUE)</f>
        <v>1.7211562995584078E-4</v>
      </c>
    </row>
    <row r="10" spans="1:1" x14ac:dyDescent="0.35">
      <c r="A10">
        <f>_xlfn.CHISQ.DIST(1,50,TRUE)</f>
        <v>1.1881853393548467E-33</v>
      </c>
    </row>
    <row r="11" spans="1:1" x14ac:dyDescent="0.35">
      <c r="A11">
        <f>_xlfn.CHISQ.DIST(5,1,TRUE)</f>
        <v>0.9746526813225318</v>
      </c>
    </row>
    <row r="12" spans="1:1" x14ac:dyDescent="0.35">
      <c r="A12">
        <f>_xlfn.CHISQ.DIST(5,2,TRUE)</f>
        <v>0.91791500137610116</v>
      </c>
    </row>
    <row r="13" spans="1:1" x14ac:dyDescent="0.35">
      <c r="A13">
        <f>_xlfn.CHISQ.DIST(5,5,TRUE)</f>
        <v>0.58411981300449223</v>
      </c>
    </row>
    <row r="14" spans="1:1" x14ac:dyDescent="0.35">
      <c r="A14">
        <f>_xlfn.CHISQ.DIST(5,10,TRUE)</f>
        <v>0.10882198108584876</v>
      </c>
    </row>
    <row r="15" spans="1:1" x14ac:dyDescent="0.35">
      <c r="A15">
        <f>_xlfn.CHISQ.DIST(5,50,TRUE)</f>
        <v>5.1981002752145288E-17</v>
      </c>
    </row>
    <row r="16" spans="1:1" x14ac:dyDescent="0.35">
      <c r="A16">
        <f>_xlfn.CHISQ.DIST(20,1,TRUE)</f>
        <v>0.99999225578356898</v>
      </c>
    </row>
    <row r="17" spans="1:1" x14ac:dyDescent="0.35">
      <c r="A17">
        <f>_xlfn.CHISQ.DIST(20,2,TRUE)</f>
        <v>0.99995460007023751</v>
      </c>
    </row>
    <row r="18" spans="1:1" x14ac:dyDescent="0.35">
      <c r="A18">
        <f>_xlfn.CHISQ.DIST(20,5,TRUE)</f>
        <v>0.99875026943696865</v>
      </c>
    </row>
    <row r="19" spans="1:1" x14ac:dyDescent="0.35">
      <c r="A19">
        <f>_xlfn.CHISQ.DIST(20,10,TRUE)</f>
        <v>0.97074731192303898</v>
      </c>
    </row>
    <row r="20" spans="1:1" x14ac:dyDescent="0.35">
      <c r="A20">
        <f>_xlfn.CHISQ.DIST(20,50,TRUE)</f>
        <v>4.6949381426799637E-5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0E53-BA40-4ED1-AB65-77DFE383B123}">
  <dimension ref="A1:A12"/>
  <sheetViews>
    <sheetView workbookViewId="0"/>
  </sheetViews>
  <sheetFormatPr defaultRowHeight="14.5" x14ac:dyDescent="0.35"/>
  <sheetData>
    <row r="1" spans="1:1" x14ac:dyDescent="0.35">
      <c r="A1">
        <f>_xlfn.GAMMA.DIST(0.5,0.5,2,TRUE)</f>
        <v>0.52049987781304652</v>
      </c>
    </row>
    <row r="2" spans="1:1" x14ac:dyDescent="0.35">
      <c r="A2">
        <f>_xlfn.GAMMA.DIST(0.5,2,2,TRUE)</f>
        <v>2.6499021160743909E-2</v>
      </c>
    </row>
    <row r="3" spans="1:1" x14ac:dyDescent="0.35">
      <c r="A3">
        <f>_xlfn.GAMMA.DIST(0.5,7,2,TRUE)</f>
        <v>9.7345218140316423E-9</v>
      </c>
    </row>
    <row r="4" spans="1:1" x14ac:dyDescent="0.35">
      <c r="A4">
        <f>_xlfn.GAMMA.DIST(3,0.5,2,TRUE)</f>
        <v>0.91673548333644961</v>
      </c>
    </row>
    <row r="5" spans="1:1" x14ac:dyDescent="0.35">
      <c r="A5">
        <f>_xlfn.GAMMA.DIST(3,2,2,TRUE)</f>
        <v>0.44217459962892536</v>
      </c>
    </row>
    <row r="6" spans="1:1" x14ac:dyDescent="0.35">
      <c r="A6">
        <f>_xlfn.GAMMA.DIST(3,7,2,TRUE)</f>
        <v>9.259919135246429E-4</v>
      </c>
    </row>
    <row r="7" spans="1:1" x14ac:dyDescent="0.35">
      <c r="A7">
        <f>_xlfn.GAMMA.DIST(9,0.5,2,TRUE)</f>
        <v>0.99730020393673979</v>
      </c>
    </row>
    <row r="8" spans="1:1" x14ac:dyDescent="0.35">
      <c r="A8">
        <f>_xlfn.GAMMA.DIST(9,2,2,TRUE)</f>
        <v>0.93890051903966731</v>
      </c>
    </row>
    <row r="9" spans="1:1" x14ac:dyDescent="0.35">
      <c r="A9">
        <f>_xlfn.GAMMA.DIST(9,7,2,TRUE)</f>
        <v>0.16894942127458851</v>
      </c>
    </row>
    <row r="10" spans="1:1" x14ac:dyDescent="0.35">
      <c r="A10">
        <f>_xlfn.GAMMA.DIST(30,0.5,2,TRUE)</f>
        <v>0.99999995679536946</v>
      </c>
    </row>
    <row r="11" spans="1:1" x14ac:dyDescent="0.35">
      <c r="A11">
        <f>_xlfn.GAMMA.DIST(30,2,2,TRUE)</f>
        <v>0.99999510556287197</v>
      </c>
    </row>
    <row r="12" spans="1:1" x14ac:dyDescent="0.35">
      <c r="A12">
        <f>_xlfn.GAMMA.DIST(30,7,2,TRUE)</f>
        <v>0.99236810036248502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863D-B964-4866-95C8-3AA87856E573}">
  <dimension ref="A1:A15"/>
  <sheetViews>
    <sheetView workbookViewId="0"/>
  </sheetViews>
  <sheetFormatPr defaultRowHeight="14.5" x14ac:dyDescent="0.35"/>
  <sheetData>
    <row r="1" spans="1:1" x14ac:dyDescent="0.35">
      <c r="A1">
        <f>_xlfn.BINOM.DIST(0,20,0.1,FALSE)</f>
        <v>0.12157665459056925</v>
      </c>
    </row>
    <row r="2" spans="1:1" x14ac:dyDescent="0.35">
      <c r="A2">
        <f>_xlfn.BINOM.DIST(0,20,0.5,FALSE)</f>
        <v>9.5367431640625E-7</v>
      </c>
    </row>
    <row r="3" spans="1:1" x14ac:dyDescent="0.35">
      <c r="A3">
        <f>_xlfn.BINOM.DIST(0,20,0.73,FALSE)</f>
        <v>4.2391158275216179E-12</v>
      </c>
    </row>
    <row r="4" spans="1:1" x14ac:dyDescent="0.35">
      <c r="A4">
        <f>_xlfn.BINOM.DIST(3,20,0.1,FALSE)</f>
        <v>0.19011987137619887</v>
      </c>
    </row>
    <row r="5" spans="1:1" x14ac:dyDescent="0.35">
      <c r="A5">
        <f>_xlfn.BINOM.DIST(3,20,0.5,FALSE)</f>
        <v>1.0871887207031263E-3</v>
      </c>
    </row>
    <row r="6" spans="1:1" x14ac:dyDescent="0.35">
      <c r="A6">
        <f>_xlfn.BINOM.DIST(3,20,0.73,FALSE)</f>
        <v>9.5511886345449363E-8</v>
      </c>
    </row>
    <row r="7" spans="1:1" x14ac:dyDescent="0.35">
      <c r="A7">
        <f>_xlfn.BINOM.DIST(10,20,0.1,FALSE)</f>
        <v>6.442043387911556E-6</v>
      </c>
    </row>
    <row r="8" spans="1:1" x14ac:dyDescent="0.35">
      <c r="A8">
        <f>_xlfn.BINOM.DIST(10,20,0.5,FALSE)</f>
        <v>0.17619705200195307</v>
      </c>
    </row>
    <row r="9" spans="1:1" x14ac:dyDescent="0.35">
      <c r="A9">
        <f>_xlfn.BINOM.DIST(10,20,0.73,FALSE)</f>
        <v>1.6348006206485639E-2</v>
      </c>
    </row>
    <row r="10" spans="1:1" x14ac:dyDescent="0.35">
      <c r="A10">
        <f>_xlfn.BINOM.DIST(17,20,0.1,FALSE)</f>
        <v>8.3106000000000242E-15</v>
      </c>
    </row>
    <row r="11" spans="1:1" x14ac:dyDescent="0.35">
      <c r="A11">
        <f>_xlfn.BINOM.DIST(17,20,0.5,FALSE)</f>
        <v>1.0871887207031261E-3</v>
      </c>
    </row>
    <row r="12" spans="1:1" x14ac:dyDescent="0.35">
      <c r="A12">
        <f>_xlfn.BINOM.DIST(17,20,0.73,FALSE)</f>
        <v>0.10653314934195374</v>
      </c>
    </row>
    <row r="13" spans="1:1" x14ac:dyDescent="0.35">
      <c r="A13">
        <f>_xlfn.BINOM.DIST(20,20,0.1,FALSE)</f>
        <v>1.0000000000000063E-20</v>
      </c>
    </row>
    <row r="14" spans="1:1" x14ac:dyDescent="0.35">
      <c r="A14">
        <f>_xlfn.BINOM.DIST(20,20,0.5,FALSE)</f>
        <v>9.5367431640625E-7</v>
      </c>
    </row>
    <row r="15" spans="1:1" x14ac:dyDescent="0.35">
      <c r="A15">
        <f>_xlfn.BINOM.DIST(20,20,0.73,FALSE)</f>
        <v>1.8469587772135196E-3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FA86-256E-47FA-B8FE-88D4C05DFF9E}">
  <dimension ref="A1:A12"/>
  <sheetViews>
    <sheetView workbookViewId="0"/>
  </sheetViews>
  <sheetFormatPr defaultRowHeight="14.5" x14ac:dyDescent="0.35"/>
  <sheetData>
    <row r="1" spans="1:1" x14ac:dyDescent="0.35">
      <c r="A1">
        <f>_xlfn.POISSON.DIST(0,0.5,TRUE)</f>
        <v>0.60653065971263342</v>
      </c>
    </row>
    <row r="2" spans="1:1" x14ac:dyDescent="0.35">
      <c r="A2">
        <f>_xlfn.POISSON.DIST(0,0.5,FALSE)</f>
        <v>0.60653065971263342</v>
      </c>
    </row>
    <row r="3" spans="1:1" x14ac:dyDescent="0.35">
      <c r="A3">
        <f>_xlfn.POISSON.DIST(0,6,TRUE)</f>
        <v>2.4787521766663585E-3</v>
      </c>
    </row>
    <row r="4" spans="1:1" x14ac:dyDescent="0.35">
      <c r="A4">
        <f>_xlfn.POISSON.DIST(0,6,FALSE)</f>
        <v>2.4787521766663585E-3</v>
      </c>
    </row>
    <row r="5" spans="1:1" x14ac:dyDescent="0.35">
      <c r="A5">
        <f>_xlfn.POISSON.DIST(4,0.5,TRUE)</f>
        <v>0.99982788437004411</v>
      </c>
    </row>
    <row r="6" spans="1:1" x14ac:dyDescent="0.35">
      <c r="A6">
        <f>_xlfn.POISSON.DIST(4,0.5,FALSE)</f>
        <v>1.5795069263349827E-3</v>
      </c>
    </row>
    <row r="7" spans="1:1" x14ac:dyDescent="0.35">
      <c r="A7">
        <f>_xlfn.POISSON.DIST(4,6,TRUE)</f>
        <v>0.28505650031663121</v>
      </c>
    </row>
    <row r="8" spans="1:1" x14ac:dyDescent="0.35">
      <c r="A8">
        <f>_xlfn.POISSON.DIST(4,6,FALSE)</f>
        <v>0.13385261753998337</v>
      </c>
    </row>
    <row r="9" spans="1:1" x14ac:dyDescent="0.35">
      <c r="A9">
        <f>_xlfn.POISSON.DIST(15,0.5,TRUE)</f>
        <v>1</v>
      </c>
    </row>
    <row r="10" spans="1:1" x14ac:dyDescent="0.35">
      <c r="A10">
        <f>_xlfn.POISSON.DIST(15,0.5,FALSE)</f>
        <v>1.4154782907687952E-17</v>
      </c>
    </row>
    <row r="11" spans="1:1" x14ac:dyDescent="0.35">
      <c r="A11">
        <f>_xlfn.POISSON.DIST(15,6,TRUE)</f>
        <v>0.99949090172878252</v>
      </c>
    </row>
    <row r="12" spans="1:1" x14ac:dyDescent="0.35">
      <c r="A12">
        <f>_xlfn.POISSON.DIST(15,6,FALSE)</f>
        <v>8.9125556214435036E-4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4FE7-6F27-4FB9-B6FE-C36BA7452AE8}">
  <dimension ref="A1:A18"/>
  <sheetViews>
    <sheetView workbookViewId="0"/>
  </sheetViews>
  <sheetFormatPr defaultRowHeight="14.5" x14ac:dyDescent="0.35"/>
  <sheetData>
    <row r="1" spans="1:1" x14ac:dyDescent="0.35">
      <c r="A1">
        <f>_xlfn.WEIBULL.DIST(0.5,0.7,1,FALSE)</f>
        <v>0.46565838343842442</v>
      </c>
    </row>
    <row r="2" spans="1:1" x14ac:dyDescent="0.35">
      <c r="A2">
        <f>_xlfn.WEIBULL.DIST(0.5,0.7,4,FALSE)</f>
        <v>0.25862009974343186</v>
      </c>
    </row>
    <row r="3" spans="1:1" x14ac:dyDescent="0.35">
      <c r="A3">
        <f>_xlfn.WEIBULL.DIST(0.5,1.5,1,FALSE)</f>
        <v>0.74478337643884407</v>
      </c>
    </row>
    <row r="4" spans="1:1" x14ac:dyDescent="0.35">
      <c r="A4">
        <f>_xlfn.WEIBULL.DIST(0.5,1.5,4,FALSE)</f>
        <v>0.12685073513099346</v>
      </c>
    </row>
    <row r="5" spans="1:1" x14ac:dyDescent="0.35">
      <c r="A5">
        <f>_xlfn.WEIBULL.DIST(0.5,3,1,FALSE)</f>
        <v>0.66187267693844654</v>
      </c>
    </row>
    <row r="6" spans="1:1" x14ac:dyDescent="0.35">
      <c r="A6">
        <f>_xlfn.WEIBULL.DIST(0.5,3,4,FALSE)</f>
        <v>1.1695884153603233E-2</v>
      </c>
    </row>
    <row r="7" spans="1:1" x14ac:dyDescent="0.35">
      <c r="A7">
        <f>_xlfn.WEIBULL.DIST(2,0.7,1,FALSE)</f>
        <v>0.11201484287264359</v>
      </c>
    </row>
    <row r="8" spans="1:1" x14ac:dyDescent="0.35">
      <c r="A8">
        <f>_xlfn.WEIBULL.DIST(2,0.7,4,FALSE)</f>
        <v>0.11641459585960609</v>
      </c>
    </row>
    <row r="9" spans="1:1" x14ac:dyDescent="0.35">
      <c r="A9">
        <f>_xlfn.WEIBULL.DIST(2,1.5,1,FALSE)</f>
        <v>0.12538222260315818</v>
      </c>
    </row>
    <row r="10" spans="1:1" x14ac:dyDescent="0.35">
      <c r="A10">
        <f>_xlfn.WEIBULL.DIST(2,1.5,4,FALSE)</f>
        <v>0.18619584410971102</v>
      </c>
    </row>
    <row r="11" spans="1:1" x14ac:dyDescent="0.35">
      <c r="A11">
        <f>_xlfn.WEIBULL.DIST(2,3,1,FALSE)</f>
        <v>4.0255515348301494E-3</v>
      </c>
    </row>
    <row r="12" spans="1:1" x14ac:dyDescent="0.35">
      <c r="A12">
        <f>_xlfn.WEIBULL.DIST(2,3,4,FALSE)</f>
        <v>0.16546816923461169</v>
      </c>
    </row>
    <row r="13" spans="1:1" x14ac:dyDescent="0.35">
      <c r="A13">
        <f>_xlfn.WEIBULL.DIST(9,0.7,1,FALSE)</f>
        <v>3.4431138127941456E-3</v>
      </c>
    </row>
    <row r="14" spans="1:1" x14ac:dyDescent="0.35">
      <c r="A14">
        <f>_xlfn.WEIBULL.DIST(9,0.7,4,FALSE)</f>
        <v>2.3509118690557475E-2</v>
      </c>
    </row>
    <row r="15" spans="1:1" x14ac:dyDescent="0.35">
      <c r="A15">
        <f>_xlfn.WEIBULL.DIST(9,1.5,1,FALSE)</f>
        <v>8.4578796744258758E-12</v>
      </c>
    </row>
    <row r="16" spans="1:1" x14ac:dyDescent="0.35">
      <c r="A16">
        <f>_xlfn.WEIBULL.DIST(9,1.5,4,FALSE)</f>
        <v>1.9247691550312151E-2</v>
      </c>
    </row>
    <row r="17" spans="1:1" x14ac:dyDescent="0.35">
      <c r="A17">
        <f>_xlfn.WEIBULL.DIST(9,3,1,FALSE)</f>
        <v>0</v>
      </c>
    </row>
    <row r="18" spans="1:1" x14ac:dyDescent="0.35">
      <c r="A18">
        <f>_xlfn.WEIBULL.DIST(9,3,4,FALSE)</f>
        <v>4.2908241538821167E-5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03E3-831F-45FE-974D-D79EE6238C46}">
  <dimension ref="A1:A24"/>
  <sheetViews>
    <sheetView tabSelected="1" workbookViewId="0"/>
  </sheetViews>
  <sheetFormatPr defaultRowHeight="14.5" x14ac:dyDescent="0.35"/>
  <sheetData>
    <row r="1" spans="1:1" x14ac:dyDescent="0.35">
      <c r="A1">
        <f>_xlfn.GAMMA(0.1)</f>
        <v>9.5135076986687324</v>
      </c>
    </row>
    <row r="2" spans="1:1" x14ac:dyDescent="0.35">
      <c r="A2">
        <f>_xlfn.GAMMA(0.5)</f>
        <v>1.7724538509055161</v>
      </c>
    </row>
    <row r="3" spans="1:1" x14ac:dyDescent="0.35">
      <c r="A3">
        <f>_xlfn.GAMMA(1.5)</f>
        <v>0.88622692545275805</v>
      </c>
    </row>
    <row r="4" spans="1:1" x14ac:dyDescent="0.35">
      <c r="A4">
        <f>_xlfn.GAMMA(3)</f>
        <v>2</v>
      </c>
    </row>
    <row r="5" spans="1:1" x14ac:dyDescent="0.35">
      <c r="A5">
        <f>_xlfn.GAMMA(4.5)</f>
        <v>11.63172839656745</v>
      </c>
    </row>
    <row r="6" spans="1:1" x14ac:dyDescent="0.35">
      <c r="A6">
        <f>_xlfn.GAMMA(10.3)</f>
        <v>716430.68906237651</v>
      </c>
    </row>
    <row r="7" spans="1:1" x14ac:dyDescent="0.35">
      <c r="A7">
        <f>_xlfn.GAMMA(25)</f>
        <v>6.2044840173323941E+23</v>
      </c>
    </row>
    <row r="8" spans="1:1" x14ac:dyDescent="0.35">
      <c r="A8">
        <f>_xlfn.GAMMA(70.5)</f>
        <v>1.429158828303247E+99</v>
      </c>
    </row>
    <row r="9" spans="1:1" x14ac:dyDescent="0.35">
      <c r="A9">
        <f>_xlfn.GAMMA(120)</f>
        <v>5.5745857612076058E+196</v>
      </c>
    </row>
    <row r="10" spans="1:1" x14ac:dyDescent="0.35">
      <c r="A10">
        <f>_xlfn.GAMMA(170.6)</f>
        <v>9.2959959535008942E+305</v>
      </c>
    </row>
    <row r="11" spans="1:1" x14ac:dyDescent="0.35">
      <c r="A11">
        <f>_xlfn.GAMMA(-0.5)</f>
        <v>-3.5449077018110318</v>
      </c>
    </row>
    <row r="12" spans="1:1" x14ac:dyDescent="0.35">
      <c r="A12">
        <f>_xlfn.GAMMA(-1.5)</f>
        <v>2.3632718012073544</v>
      </c>
    </row>
    <row r="13" spans="1:1" x14ac:dyDescent="0.35">
      <c r="A13">
        <f>_xlfn.GAMMA(-7.25)</f>
        <v>5.3039770635214805E-4</v>
      </c>
    </row>
    <row r="14" spans="1:1" x14ac:dyDescent="0.35">
      <c r="A14">
        <f>_xlfn.GAMMA(-33.5)</f>
        <v>6.2276090425358181E-38</v>
      </c>
    </row>
    <row r="15" spans="1:1" x14ac:dyDescent="0.35">
      <c r="A15">
        <f>GAMMALN(0.1)</f>
        <v>2.2527126517342055</v>
      </c>
    </row>
    <row r="16" spans="1:1" x14ac:dyDescent="0.35">
      <c r="A16">
        <f>GAMMALN(0.5)</f>
        <v>0.57236494292470008</v>
      </c>
    </row>
    <row r="17" spans="1:1" x14ac:dyDescent="0.35">
      <c r="A17">
        <f>GAMMALN(1.5)</f>
        <v>-0.12078223763524523</v>
      </c>
    </row>
    <row r="18" spans="1:1" x14ac:dyDescent="0.35">
      <c r="A18">
        <f>GAMMALN(3)</f>
        <v>0.6931471805599454</v>
      </c>
    </row>
    <row r="19" spans="1:1" x14ac:dyDescent="0.35">
      <c r="A19">
        <f>GAMMALN(4.5)</f>
        <v>2.4537365708424423</v>
      </c>
    </row>
    <row r="20" spans="1:1" x14ac:dyDescent="0.35">
      <c r="A20">
        <f>GAMMALN(10.3)</f>
        <v>13.482036786138357</v>
      </c>
    </row>
    <row r="21" spans="1:1" x14ac:dyDescent="0.35">
      <c r="A21">
        <f>GAMMALN(25)</f>
        <v>54.784729398112319</v>
      </c>
    </row>
    <row r="22" spans="1:1" x14ac:dyDescent="0.35">
      <c r="A22">
        <f>GAMMALN(70.5)</f>
        <v>228.31301024565028</v>
      </c>
    </row>
    <row r="23" spans="1:1" x14ac:dyDescent="0.35">
      <c r="A23">
        <f>GAMMALN(1000)</f>
        <v>5905.2204232091808</v>
      </c>
    </row>
    <row r="24" spans="1:1" x14ac:dyDescent="0.35">
      <c r="A24">
        <f>GAMMALN(10000000000)</f>
        <v>220258509288.81058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132</vt:i4>
      </vt:variant>
    </vt:vector>
  </HeadingPairs>
  <TitlesOfParts>
    <vt:vector size="132" baseType="lpstr">
      <vt:lpstr>Data</vt:lpstr>
      <vt:lpstr>About</vt:lpstr>
      <vt:lpstr>Numbers</vt:lpstr>
      <vt:lpstr>Pairs</vt:lpstr>
      <vt:lpstr>FileLiterals</vt:lpstr>
      <vt:lpstr>Powers</vt:lpstr>
      <vt:lpstr>Rounding</vt:lpstr>
      <vt:lpstr>Divisions</vt:lpstr>
      <vt:lpstr>DatePairs</vt:lpstr>
      <vt:lpstr>Reals</vt:lpstr>
      <vt:lpstr>Wholes</vt:lpstr>
      <vt:lpstr>Times</vt:lpstr>
      <vt:lpstr>Ties</vt:lpstr>
      <vt:lpstr>Crit</vt:lpstr>
      <vt:lpstr>Stats</vt:lpstr>
      <vt:lpstr>Db</vt:lpstr>
      <vt:lpstr>Samples</vt:lpstr>
      <vt:lpstr>Operators</vt:lpstr>
      <vt:lpstr>Compare</vt:lpstr>
      <vt:lpstr>Math</vt:lpstr>
      <vt:lpstr>Aggregate</vt:lpstr>
      <vt:lpstr>Conditional</vt:lpstr>
      <vt:lpstr>Logic</vt:lpstr>
      <vt:lpstr>Text</vt:lpstr>
      <vt:lpstr>Info</vt:lpstr>
      <vt:lpstr>Lookup</vt:lpstr>
      <vt:lpstr>Dates</vt:lpstr>
      <vt:lpstr>NearZero</vt:lpstr>
      <vt:lpstr>Power</vt:lpstr>
      <vt:lpstr>Errors</vt:lpstr>
      <vt:lpstr>Literals</vt:lpstr>
      <vt:lpstr>ToText</vt:lpstr>
      <vt:lpstr>General</vt:lpstr>
      <vt:lpstr>Difference</vt:lpstr>
      <vt:lpstr>DifferenceSum</vt:lpstr>
      <vt:lpstr>Equal</vt:lpstr>
      <vt:lpstr>Less</vt:lpstr>
      <vt:lpstr>Coerce</vt:lpstr>
      <vt:lpstr>Value</vt:lpstr>
      <vt:lpstr>DateValue</vt:lpstr>
      <vt:lpstr>TimeValue</vt:lpstr>
      <vt:lpstr>WordsEqual</vt:lpstr>
      <vt:lpstr>WordsLess</vt:lpstr>
      <vt:lpstr>PowerData</vt:lpstr>
      <vt:lpstr>PowerFunction</vt:lpstr>
      <vt:lpstr>DifferenceReversed</vt:lpstr>
      <vt:lpstr>SumNested</vt:lpstr>
      <vt:lpstr>TiesText</vt:lpstr>
      <vt:lpstr>Exp</vt:lpstr>
      <vt:lpstr>Ln</vt:lpstr>
      <vt:lpstr>Sin</vt:lpstr>
      <vt:lpstr>Cos</vt:lpstr>
      <vt:lpstr>Tan</vt:lpstr>
      <vt:lpstr>Atan</vt:lpstr>
      <vt:lpstr>Sinh</vt:lpstr>
      <vt:lpstr>Cosh</vt:lpstr>
      <vt:lpstr>Tanh</vt:lpstr>
      <vt:lpstr>Sqrt</vt:lpstr>
      <vt:lpstr>Asin</vt:lpstr>
      <vt:lpstr>Acos</vt:lpstr>
      <vt:lpstr>Log10</vt:lpstr>
      <vt:lpstr>Log2</vt:lpstr>
      <vt:lpstr>Degrees</vt:lpstr>
      <vt:lpstr>Radians</vt:lpstr>
      <vt:lpstr>Atan2</vt:lpstr>
      <vt:lpstr>Round</vt:lpstr>
      <vt:lpstr>RoundUp</vt:lpstr>
      <vt:lpstr>RoundDown</vt:lpstr>
      <vt:lpstr>Trunc</vt:lpstr>
      <vt:lpstr>Int</vt:lpstr>
      <vt:lpstr>TruncWhole</vt:lpstr>
      <vt:lpstr>Mod</vt:lpstr>
      <vt:lpstr>Quotient</vt:lpstr>
      <vt:lpstr>Ceiling</vt:lpstr>
      <vt:lpstr>Floor</vt:lpstr>
      <vt:lpstr>MRound</vt:lpstr>
      <vt:lpstr>CeilingMath</vt:lpstr>
      <vt:lpstr>FloorMath</vt:lpstr>
      <vt:lpstr>Hour</vt:lpstr>
      <vt:lpstr>Minute</vt:lpstr>
      <vt:lpstr>Second</vt:lpstr>
      <vt:lpstr>Days360</vt:lpstr>
      <vt:lpstr>Days360Europe</vt:lpstr>
      <vt:lpstr>YearFrac0</vt:lpstr>
      <vt:lpstr>YearFrac1</vt:lpstr>
      <vt:lpstr>YearFrac2</vt:lpstr>
      <vt:lpstr>YearFrac3</vt:lpstr>
      <vt:lpstr>YearFrac4</vt:lpstr>
      <vt:lpstr>CountIf</vt:lpstr>
      <vt:lpstr>SumIf</vt:lpstr>
      <vt:lpstr>ValueLong</vt:lpstr>
      <vt:lpstr>Lookups2</vt:lpstr>
      <vt:lpstr>Stats2</vt:lpstr>
      <vt:lpstr>TextFns2</vt:lpstr>
      <vt:lpstr>DateFns2</vt:lpstr>
      <vt:lpstr>Financial</vt:lpstr>
      <vt:lpstr>Distributions</vt:lpstr>
      <vt:lpstr>Descriptive</vt:lpstr>
      <vt:lpstr>Engineering</vt:lpstr>
      <vt:lpstr>Matrix</vt:lpstr>
      <vt:lpstr>Database</vt:lpstr>
      <vt:lpstr>Subtotals</vt:lpstr>
      <vt:lpstr>Arrays</vt:lpstr>
      <vt:lpstr>Misc</vt:lpstr>
      <vt:lpstr>Cot</vt:lpstr>
      <vt:lpstr>Csc</vt:lpstr>
      <vt:lpstr>Sec</vt:lpstr>
      <vt:lpstr>Coth</vt:lpstr>
      <vt:lpstr>Csch</vt:lpstr>
      <vt:lpstr>Sech</vt:lpstr>
      <vt:lpstr>Acot</vt:lpstr>
      <vt:lpstr>Acoth</vt:lpstr>
      <vt:lpstr>EcmaCeiling</vt:lpstr>
      <vt:lpstr>Workdays</vt:lpstr>
      <vt:lpstr>TextBytes</vt:lpstr>
      <vt:lpstr>Regex</vt:lpstr>
      <vt:lpstr>Ranges</vt:lpstr>
      <vt:lpstr>Besselj</vt:lpstr>
      <vt:lpstr>Bessely</vt:lpstr>
      <vt:lpstr>Besseli</vt:lpstr>
      <vt:lpstr>Besselk</vt:lpstr>
      <vt:lpstr>Convert</vt:lpstr>
      <vt:lpstr>Spread</vt:lpstr>
      <vt:lpstr>NormGrid</vt:lpstr>
      <vt:lpstr>NormInvGrid</vt:lpstr>
      <vt:lpstr>TGrid</vt:lpstr>
      <vt:lpstr>ChiGrid</vt:lpstr>
      <vt:lpstr>GammaGrid</vt:lpstr>
      <vt:lpstr>BinomGrid</vt:lpstr>
      <vt:lpstr>PoissonGrid</vt:lpstr>
      <vt:lpstr>WeibullGrid</vt:lpstr>
      <vt:lpstr>GammaFunction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2026-09-20T00:27:29Z</dcterms:created>
  <dcterms:modified xsi:type="dcterms:W3CDTF">2026-09-23T08:27:11Z</dcterms:modified>
</cp:coreProperties>
</file>